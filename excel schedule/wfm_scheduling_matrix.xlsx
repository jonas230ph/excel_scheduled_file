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fig_Settings" sheetId="1" state="visible" r:id="rId1"/>
    <sheet xmlns:r="http://schemas.openxmlformats.org/officeDocument/2006/relationships" name="Staffing_Requirements" sheetId="2" state="visible" r:id="rId2"/>
    <sheet xmlns:r="http://schemas.openxmlformats.org/officeDocument/2006/relationships" name="Schedule_Data" sheetId="3" state="visible" r:id="rId3"/>
    <sheet xmlns:r="http://schemas.openxmlformats.org/officeDocument/2006/relationships" name="Calc_Engine" sheetId="4" state="hidden" r:id="rId4"/>
    <sheet xmlns:r="http://schemas.openxmlformats.org/officeDocument/2006/relationships" name="Schedule_Matrix" sheetId="5" state="visible" r:id="rId5"/>
    <sheet xmlns:r="http://schemas.openxmlformats.org/officeDocument/2006/relationships" name="Summary_Dashboard" sheetId="6" state="visible" r:id="rId6"/>
    <sheet xmlns:r="http://schemas.openxmlformats.org/officeDocument/2006/relationships" name="TestCases" sheetId="7" state="visible" r:id="rId7"/>
  </sheets>
  <definedNames>
    <definedName name="SelectedDate">'Schedule_Matrix'!$E$2</definedName>
    <definedName name="IntervalHeaders">'Schedule_Matrix'!$H$1:$BC$1</definedName>
    <definedName name="ActiveActivityCodes">'Config_Settings'!$A$2:$A$13</definedName>
    <definedName name="tblDailyMatrix">'Schedule_Matrix'!$A$1:$BC$257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:mm:ss"/>
    <numFmt numFmtId="166" formatCode="yyyy-mm-dd hh:mm"/>
    <numFmt numFmtId="167" formatCode="hh:mm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21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2" fontId="1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1" fillId="0" borderId="0" pivotButton="0" quotePrefix="0" xfId="0"/>
    <xf numFmtId="2" fontId="1" fillId="0" borderId="0" pivotButton="0" quotePrefix="0" xfId="0"/>
    <xf numFmtId="167" fontId="0" fillId="0" borderId="0" applyAlignment="1" pivotButton="0" quotePrefix="0" xfId="0">
      <alignment vertical="center"/>
    </xf>
  </cellXfs>
  <cellStyles count="1">
    <cellStyle name="Normal" xfId="0" builtinId="0" hidden="0"/>
  </cellStyles>
  <dxfs count="10">
    <dxf>
      <fill>
        <patternFill patternType="solid">
          <fgColor rgb="00FFC000"/>
        </patternFill>
      </fill>
    </dxf>
    <dxf>
      <fill>
        <patternFill patternType="solid">
          <fgColor rgb="00FFD966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C9DAF8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BFBFBF"/>
        </patternFill>
      </fill>
    </dxf>
    <dxf>
      <fill>
        <patternFill patternType="solid">
          <fgColor rgb="00F8696B"/>
        </patternFill>
      </fill>
    </dxf>
    <dxf>
      <fill>
        <patternFill patternType="solid">
          <fgColor rgb="0063BE7B"/>
        </patternFill>
      </fill>
    </dxf>
    <dxf>
      <fill>
        <patternFill patternType="solid">
          <fgColor rgb="005B9B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Selected-Day Net Staffing Variance</a:t>
            </a:r>
          </a:p>
        </rich>
      </tx>
    </title>
    <plotArea>
      <lineChart>
        <grouping val="standard"/>
        <ser>
          <idx val="0"/>
          <order val="0"/>
          <tx>
            <strRef>
              <f>'Summary_Dashboard'!D1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'Summary_Dashboard'!$A$2:$A$49</f>
            </numRef>
          </cat>
          <val>
            <numRef>
              <f>'Summary_Dashboard'!$D$2:$D$49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Interval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Agents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ctivityCodes" displayName="tblActivityCodes" ref="A1:H40" headerRowCount="1">
  <autoFilter ref="A1:H40"/>
  <tableColumns count="8">
    <tableColumn id="1" name="Code"/>
    <tableColumn id="2" name="DisplayLabel"/>
    <tableColumn id="3" name="IsActive"/>
    <tableColumn id="4" name="CountsAsStaffed"/>
    <tableColumn id="5" name="IsPaid"/>
    <tableColumn id="6" name="Category"/>
    <tableColumn id="7" name="NumericValue"/>
    <tableColumn id="8" name="ColorGrou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Parameters" displayName="tblParameters" ref="J1:K30" headerRowCount="1">
  <autoFilter ref="J1:K30"/>
  <tableColumns count="2">
    <tableColumn id="10" name="Parameter"/>
    <tableColumn id="11" name="Valu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hresholds" displayName="tblThresholds" ref="M1:Q20" headerRowCount="1">
  <autoFilter ref="M1:Q20"/>
  <tableColumns count="5">
    <tableColumn id="13" name="State"/>
    <tableColumn id="14" name="MinVariance"/>
    <tableColumn id="15" name="MaxVariance"/>
    <tableColumn id="16" name="FillColor"/>
    <tableColumn id="17" name="FontColo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Requirements" displayName="tblRequirements" ref="A1:C337" headerRowCount="1">
  <autoFilter ref="A1:C337"/>
  <tableColumns count="3">
    <tableColumn id="1" name="OperationalDate"/>
    <tableColumn id="2" name="IntervalStart"/>
    <tableColumn id="3" name="RequiredHeadcou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cheduleData" displayName="tblScheduleData" ref="A1:K1000" headerRowCount="1">
  <autoFilter ref="A1:K1000"/>
  <tableColumns count="11">
    <tableColumn id="1" name="EmployeeID"/>
    <tableColumn id="2" name="Name"/>
    <tableColumn id="3" name="OperationalDate"/>
    <tableColumn id="4" name="ShiftStart"/>
    <tableColumn id="5" name="ShiftEnd"/>
    <tableColumn id="6" name="ActivityCode"/>
    <tableColumn id="7" name="ContractualHours"/>
    <tableColumn id="8" name="CurrentShift"/>
    <tableColumn id="9" name="Notes"/>
    <tableColumn id="10" name="ValidationState"/>
    <tableColumn id="11" name="SourceRow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TestCases" displayName="tblTestCases" ref="A1:H100" headerRowCount="1">
  <autoFilter ref="A1:H100"/>
  <tableColumns count="8">
    <tableColumn id="1" name="TestID"/>
    <tableColumn id="2" name="Scenario"/>
    <tableColumn id="3" name="Input"/>
    <tableColumn id="4" name="Expected"/>
    <tableColumn id="5" name="Actual"/>
    <tableColumn id="6" name="Pass"/>
    <tableColumn id="7" name="Requirement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/Relationships>
</file>

<file path=xl/worksheets/_rels/sheet2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DisplayLabel</t>
        </is>
      </c>
      <c r="C1" s="1" t="inlineStr">
        <is>
          <t>IsActive</t>
        </is>
      </c>
      <c r="D1" s="1" t="inlineStr">
        <is>
          <t>CountsAsStaffed</t>
        </is>
      </c>
      <c r="E1" s="1" t="inlineStr">
        <is>
          <t>IsPaid</t>
        </is>
      </c>
      <c r="F1" s="1" t="inlineStr">
        <is>
          <t>Category</t>
        </is>
      </c>
      <c r="G1" s="1" t="inlineStr">
        <is>
          <t>NumericValue</t>
        </is>
      </c>
      <c r="H1" s="1" t="inlineStr">
        <is>
          <t>ColorGroup</t>
        </is>
      </c>
      <c r="I1" s="1" t="n"/>
      <c r="J1" s="1" t="inlineStr">
        <is>
          <t>Parameter</t>
        </is>
      </c>
      <c r="K1" s="1" t="inlineStr">
        <is>
          <t>Value</t>
        </is>
      </c>
      <c r="L1" s="1" t="n"/>
      <c r="M1" s="1" t="inlineStr">
        <is>
          <t>State</t>
        </is>
      </c>
      <c r="N1" s="1" t="inlineStr">
        <is>
          <t>MinVariance</t>
        </is>
      </c>
      <c r="O1" s="1" t="inlineStr">
        <is>
          <t>MaxVariance</t>
        </is>
      </c>
      <c r="P1" s="1" t="inlineStr">
        <is>
          <t>FillColor</t>
        </is>
      </c>
      <c r="Q1" s="1" t="inlineStr">
        <is>
          <t>FontColor</t>
        </is>
      </c>
    </row>
    <row r="2">
      <c r="A2" s="2" t="inlineStr">
        <is>
          <t>OWD</t>
        </is>
      </c>
      <c r="B2" s="2" t="inlineStr">
        <is>
          <t>On Work Duty</t>
        </is>
      </c>
      <c r="C2" s="2" t="b">
        <v>1</v>
      </c>
      <c r="D2" s="2" t="b">
        <v>1</v>
      </c>
      <c r="E2" s="2" t="b">
        <v>1</v>
      </c>
      <c r="F2" s="2" t="inlineStr">
        <is>
          <t>Productive</t>
        </is>
      </c>
      <c r="G2" s="2" t="n">
        <v>1</v>
      </c>
      <c r="H2" s="2" t="inlineStr">
        <is>
          <t>Productive</t>
        </is>
      </c>
      <c r="I2" s="2" t="n"/>
      <c r="J2" s="2" t="inlineStr">
        <is>
          <t>IntervalMinutes</t>
        </is>
      </c>
      <c r="K2" s="2" t="n">
        <v>30</v>
      </c>
      <c r="L2" s="2" t="n"/>
      <c r="M2" s="2" t="inlineStr">
        <is>
          <t>Under</t>
        </is>
      </c>
      <c r="N2" s="2" t="n"/>
      <c r="O2" s="2" t="n">
        <v>-1</v>
      </c>
      <c r="P2" s="2" t="inlineStr">
        <is>
          <t>F8696B</t>
        </is>
      </c>
      <c r="Q2" s="2" t="inlineStr">
        <is>
          <t>FFFFFF</t>
        </is>
      </c>
    </row>
    <row r="3">
      <c r="A3" s="2" t="inlineStr">
        <is>
          <t>OT</t>
        </is>
      </c>
      <c r="B3" s="2" t="inlineStr">
        <is>
          <t>Overtime</t>
        </is>
      </c>
      <c r="C3" s="2" t="b">
        <v>1</v>
      </c>
      <c r="D3" s="2" t="b">
        <v>1</v>
      </c>
      <c r="E3" s="2" t="b">
        <v>1</v>
      </c>
      <c r="F3" s="2" t="inlineStr">
        <is>
          <t>Productive</t>
        </is>
      </c>
      <c r="G3" s="2" t="n">
        <v>1</v>
      </c>
      <c r="H3" s="2" t="inlineStr">
        <is>
          <t>Productive</t>
        </is>
      </c>
      <c r="I3" s="2" t="n"/>
      <c r="J3" s="2" t="inlineStr">
        <is>
          <t>IntervalsPerDay</t>
        </is>
      </c>
      <c r="K3" s="2" t="n">
        <v>48</v>
      </c>
      <c r="L3" s="2" t="n"/>
      <c r="M3" s="2" t="inlineStr">
        <is>
          <t>Exact</t>
        </is>
      </c>
      <c r="N3" s="2" t="n">
        <v>0</v>
      </c>
      <c r="O3" s="2" t="n">
        <v>0</v>
      </c>
      <c r="P3" s="2" t="inlineStr">
        <is>
          <t>63BE7B</t>
        </is>
      </c>
      <c r="Q3" s="2" t="inlineStr">
        <is>
          <t>FFFFFF</t>
        </is>
      </c>
    </row>
    <row r="4">
      <c r="A4" s="2" t="inlineStr">
        <is>
          <t>Brk</t>
        </is>
      </c>
      <c r="B4" s="2" t="inlineStr">
        <is>
          <t>Break</t>
        </is>
      </c>
      <c r="C4" s="2" t="b">
        <v>1</v>
      </c>
      <c r="D4" s="2" t="b">
        <v>0</v>
      </c>
      <c r="E4" s="2" t="b">
        <v>1</v>
      </c>
      <c r="F4" s="2" t="inlineStr">
        <is>
          <t>Break</t>
        </is>
      </c>
      <c r="G4" s="2" t="n">
        <v>0</v>
      </c>
      <c r="H4" s="2" t="inlineStr">
        <is>
          <t>Nonproductive</t>
        </is>
      </c>
      <c r="I4" s="2" t="n"/>
      <c r="J4" s="2" t="inlineStr">
        <is>
          <t>MaxRosterRows</t>
        </is>
      </c>
      <c r="K4" s="2" t="n">
        <v>250</v>
      </c>
      <c r="L4" s="2" t="n"/>
      <c r="M4" s="2" t="inlineStr">
        <is>
          <t>Over</t>
        </is>
      </c>
      <c r="N4" s="2" t="n">
        <v>1</v>
      </c>
      <c r="O4" s="2" t="n"/>
      <c r="P4" s="2" t="inlineStr">
        <is>
          <t>5B9BD5</t>
        </is>
      </c>
      <c r="Q4" s="2" t="inlineStr">
        <is>
          <t>FFFFFF</t>
        </is>
      </c>
    </row>
    <row r="5">
      <c r="A5" s="2" t="inlineStr">
        <is>
          <t>Lch</t>
        </is>
      </c>
      <c r="B5" s="2" t="inlineStr">
        <is>
          <t>Lunch</t>
        </is>
      </c>
      <c r="C5" s="2" t="b">
        <v>1</v>
      </c>
      <c r="D5" s="2" t="b">
        <v>0</v>
      </c>
      <c r="E5" s="2" t="b">
        <v>0</v>
      </c>
      <c r="F5" s="2" t="inlineStr">
        <is>
          <t>Meal</t>
        </is>
      </c>
      <c r="G5" s="2" t="n">
        <v>0</v>
      </c>
      <c r="H5" s="2" t="inlineStr">
        <is>
          <t>Nonproductive</t>
        </is>
      </c>
      <c r="I5" s="2" t="n"/>
      <c r="J5" s="2" t="inlineStr">
        <is>
          <t>DayStartTime</t>
        </is>
      </c>
      <c r="K5" s="3" t="n">
        <v>0</v>
      </c>
      <c r="L5" s="2" t="n"/>
      <c r="M5" s="2" t="inlineStr">
        <is>
          <t>InvalidCode</t>
        </is>
      </c>
      <c r="N5" s="2" t="n"/>
      <c r="O5" s="2" t="n"/>
      <c r="P5" s="2" t="inlineStr">
        <is>
          <t>FFC000</t>
        </is>
      </c>
      <c r="Q5" s="2" t="inlineStr">
        <is>
          <t>000000</t>
        </is>
      </c>
    </row>
    <row r="6">
      <c r="A6" s="2" t="inlineStr">
        <is>
          <t>Mt</t>
        </is>
      </c>
      <c r="B6" s="2" t="inlineStr">
        <is>
          <t>Meeting</t>
        </is>
      </c>
      <c r="C6" s="2" t="b">
        <v>1</v>
      </c>
      <c r="D6" s="2" t="b">
        <v>0</v>
      </c>
      <c r="E6" s="2" t="b">
        <v>1</v>
      </c>
      <c r="F6" s="2" t="inlineStr">
        <is>
          <t>Meeting</t>
        </is>
      </c>
      <c r="G6" s="2" t="n">
        <v>0</v>
      </c>
      <c r="H6" s="2" t="inlineStr">
        <is>
          <t>Nonproductive</t>
        </is>
      </c>
      <c r="I6" s="2" t="n"/>
      <c r="J6" s="2" t="inlineStr">
        <is>
          <t>ToleranceHeadcount</t>
        </is>
      </c>
      <c r="K6" s="2" t="n">
        <v>0</v>
      </c>
      <c r="L6" s="2" t="n"/>
      <c r="M6" s="2" t="inlineStr">
        <is>
          <t>InvalidSchedule</t>
        </is>
      </c>
      <c r="N6" s="2" t="n"/>
      <c r="O6" s="2" t="n"/>
      <c r="P6" s="2" t="inlineStr">
        <is>
          <t>FFD966</t>
        </is>
      </c>
      <c r="Q6" s="2" t="inlineStr">
        <is>
          <t>000000</t>
        </is>
      </c>
    </row>
    <row r="7">
      <c r="A7" s="2" t="inlineStr">
        <is>
          <t>Trn</t>
        </is>
      </c>
      <c r="B7" s="2" t="inlineStr">
        <is>
          <t>Training</t>
        </is>
      </c>
      <c r="C7" s="2" t="b">
        <v>1</v>
      </c>
      <c r="D7" s="2" t="b">
        <v>0</v>
      </c>
      <c r="E7" s="2" t="b">
        <v>1</v>
      </c>
      <c r="F7" s="2" t="inlineStr">
        <is>
          <t>Training</t>
        </is>
      </c>
      <c r="G7" s="2" t="n">
        <v>0</v>
      </c>
      <c r="H7" s="2" t="inlineStr">
        <is>
          <t>Nonproductive</t>
        </is>
      </c>
      <c r="I7" s="2" t="n"/>
      <c r="J7" s="2" t="inlineStr">
        <is>
          <t>WorkbookEngineVersion</t>
        </is>
      </c>
      <c r="K7" s="2" t="inlineStr">
        <is>
          <t>1.0.0-phase1</t>
        </is>
      </c>
      <c r="L7" s="2" t="n"/>
      <c r="M7" s="2" t="inlineStr">
        <is>
          <t>Duplicate</t>
        </is>
      </c>
      <c r="N7" s="2" t="n"/>
      <c r="O7" s="2" t="n"/>
      <c r="P7" s="2" t="inlineStr">
        <is>
          <t>D9EAD3</t>
        </is>
      </c>
      <c r="Q7" s="2" t="inlineStr">
        <is>
          <t>000000</t>
        </is>
      </c>
    </row>
    <row r="8">
      <c r="A8" s="2" t="inlineStr">
        <is>
          <t>PTO</t>
        </is>
      </c>
      <c r="B8" s="2" t="inlineStr">
        <is>
          <t>Paid Time Off</t>
        </is>
      </c>
      <c r="C8" s="2" t="b">
        <v>1</v>
      </c>
      <c r="D8" s="2" t="b">
        <v>0</v>
      </c>
      <c r="E8" s="2" t="b">
        <v>1</v>
      </c>
      <c r="F8" s="2" t="inlineStr">
        <is>
          <t>Absence</t>
        </is>
      </c>
      <c r="G8" s="2" t="n">
        <v>0</v>
      </c>
      <c r="H8" s="2" t="inlineStr">
        <is>
          <t>Inactive</t>
        </is>
      </c>
      <c r="I8" s="2" t="n"/>
      <c r="J8" s="2" t="inlineStr">
        <is>
          <t>TemplateSchemaVersion</t>
        </is>
      </c>
      <c r="K8" s="2" t="inlineStr">
        <is>
          <t>1.0.0</t>
        </is>
      </c>
      <c r="L8" s="2" t="n"/>
      <c r="M8" s="2" t="inlineStr">
        <is>
          <t>MissingDate</t>
        </is>
      </c>
      <c r="N8" s="2" t="n"/>
      <c r="O8" s="2" t="n"/>
      <c r="P8" s="2" t="inlineStr">
        <is>
          <t>C9DAF8</t>
        </is>
      </c>
      <c r="Q8" s="2" t="inlineStr">
        <is>
          <t>000000</t>
        </is>
      </c>
    </row>
    <row r="9">
      <c r="A9" s="2" t="inlineStr">
        <is>
          <t>Sick</t>
        </is>
      </c>
      <c r="B9" s="2" t="inlineStr">
        <is>
          <t>Sick Leave</t>
        </is>
      </c>
      <c r="C9" s="2" t="b">
        <v>1</v>
      </c>
      <c r="D9" s="2" t="b">
        <v>0</v>
      </c>
      <c r="E9" s="2" t="b">
        <v>1</v>
      </c>
      <c r="F9" s="2" t="inlineStr">
        <is>
          <t>Absence</t>
        </is>
      </c>
      <c r="G9" s="2" t="n">
        <v>0</v>
      </c>
      <c r="H9" s="2" t="inlineStr">
        <is>
          <t>Inactive</t>
        </is>
      </c>
      <c r="I9" s="2" t="n"/>
      <c r="J9" s="2" t="inlineStr">
        <is>
          <t>FormulaSetVersion</t>
        </is>
      </c>
      <c r="K9" s="2" t="inlineStr">
        <is>
          <t>1.0.0</t>
        </is>
      </c>
      <c r="L9" s="2" t="n"/>
      <c r="M9" s="2" t="inlineStr">
        <is>
          <t>MissingRequirement</t>
        </is>
      </c>
      <c r="N9" s="2" t="n"/>
      <c r="O9" s="2" t="n"/>
      <c r="P9" s="2" t="inlineStr">
        <is>
          <t>BFBFBF</t>
        </is>
      </c>
      <c r="Q9" s="2" t="inlineStr">
        <is>
          <t>000000</t>
        </is>
      </c>
    </row>
    <row r="10">
      <c r="A10" s="2" t="inlineStr">
        <is>
          <t>Off</t>
        </is>
      </c>
      <c r="B10" s="2" t="inlineStr">
        <is>
          <t>Off</t>
        </is>
      </c>
      <c r="C10" s="2" t="b">
        <v>1</v>
      </c>
      <c r="D10" s="2" t="b">
        <v>0</v>
      </c>
      <c r="E10" s="2" t="b">
        <v>0</v>
      </c>
      <c r="F10" s="2" t="inlineStr">
        <is>
          <t>Off</t>
        </is>
      </c>
      <c r="G10" s="2" t="n">
        <v>0</v>
      </c>
      <c r="H10" s="2" t="inlineStr">
        <is>
          <t>Inactive</t>
        </is>
      </c>
      <c r="I10" s="2" t="n"/>
      <c r="J10" s="2" t="inlineStr">
        <is>
          <t>DataSnapshotID</t>
        </is>
      </c>
      <c r="K10" s="2" t="inlineStr">
        <is>
          <t>sample-2026-06-11</t>
        </is>
      </c>
      <c r="L10" s="2" t="n"/>
      <c r="M10" s="2" t="inlineStr">
        <is>
          <t>Nonproductive</t>
        </is>
      </c>
      <c r="N10" s="2" t="n"/>
      <c r="O10" s="2" t="n"/>
      <c r="P10" s="2" t="inlineStr">
        <is>
          <t>F4B183</t>
        </is>
      </c>
      <c r="Q10" s="2" t="inlineStr">
        <is>
          <t>000000</t>
        </is>
      </c>
    </row>
    <row r="11">
      <c r="A11" s="2" t="inlineStr">
        <is>
          <t>UA</t>
        </is>
      </c>
      <c r="B11" s="2" t="inlineStr">
        <is>
          <t>Unapproved Absence</t>
        </is>
      </c>
      <c r="C11" s="2" t="b">
        <v>1</v>
      </c>
      <c r="D11" s="2" t="b">
        <v>0</v>
      </c>
      <c r="E11" s="2" t="b">
        <v>0</v>
      </c>
      <c r="F11" s="2" t="inlineStr">
        <is>
          <t>Absence</t>
        </is>
      </c>
      <c r="G11" s="2" t="n">
        <v>0</v>
      </c>
      <c r="H11" s="2" t="inlineStr">
        <is>
          <t>Inactive</t>
        </is>
      </c>
      <c r="I11" s="2" t="n"/>
      <c r="J11" s="2" t="inlineStr"/>
      <c r="K11" s="2" t="n"/>
      <c r="L11" s="2" t="n"/>
      <c r="M11" s="2" t="inlineStr"/>
      <c r="N11" s="2" t="n"/>
      <c r="O11" s="2" t="n"/>
      <c r="P11" s="2" t="n"/>
      <c r="Q11" s="2" t="n"/>
    </row>
    <row r="12">
      <c r="A12" s="2" t="inlineStr">
        <is>
          <t>AL</t>
        </is>
      </c>
      <c r="B12" s="2" t="inlineStr">
        <is>
          <t>Annual Leave</t>
        </is>
      </c>
      <c r="C12" s="2" t="b">
        <v>1</v>
      </c>
      <c r="D12" s="2" t="b">
        <v>0</v>
      </c>
      <c r="E12" s="2" t="b">
        <v>1</v>
      </c>
      <c r="F12" s="2" t="inlineStr">
        <is>
          <t>Absence</t>
        </is>
      </c>
      <c r="G12" s="2" t="n">
        <v>0</v>
      </c>
      <c r="H12" s="2" t="inlineStr">
        <is>
          <t>Inactive</t>
        </is>
      </c>
      <c r="I12" s="2" t="n"/>
      <c r="J12" s="2" t="inlineStr"/>
      <c r="K12" s="2" t="n"/>
      <c r="L12" s="2" t="n"/>
      <c r="M12" s="2" t="inlineStr"/>
      <c r="N12" s="2" t="n"/>
      <c r="O12" s="2" t="n"/>
      <c r="P12" s="2" t="n"/>
      <c r="Q12" s="2" t="n"/>
    </row>
    <row r="13">
      <c r="A13" s="2" t="inlineStr">
        <is>
          <t>SL</t>
        </is>
      </c>
      <c r="B13" s="2" t="inlineStr">
        <is>
          <t>Sick Leave Short Code</t>
        </is>
      </c>
      <c r="C13" s="2" t="b">
        <v>1</v>
      </c>
      <c r="D13" s="2" t="b">
        <v>0</v>
      </c>
      <c r="E13" s="2" t="b">
        <v>1</v>
      </c>
      <c r="F13" s="2" t="inlineStr">
        <is>
          <t>Absence</t>
        </is>
      </c>
      <c r="G13" s="2" t="n">
        <v>0</v>
      </c>
      <c r="H13" s="2" t="inlineStr">
        <is>
          <t>Inactive</t>
        </is>
      </c>
      <c r="I13" s="2" t="n"/>
      <c r="J13" s="2" t="inlineStr"/>
      <c r="K13" s="2" t="n"/>
      <c r="L13" s="2" t="n"/>
      <c r="M13" s="2" t="inlineStr"/>
      <c r="N13" s="2" t="n"/>
      <c r="O13" s="2" t="n"/>
      <c r="P13" s="2" t="n"/>
      <c r="Q13" s="2" t="n"/>
    </row>
    <row r="14">
      <c r="A14" s="2" t="inlineStr"/>
      <c r="B14" s="2" t="n"/>
      <c r="C14" s="2" t="n"/>
      <c r="D14" s="2" t="n"/>
      <c r="E14" s="2" t="n"/>
      <c r="F14" s="2" t="n"/>
      <c r="G14" s="2" t="n"/>
      <c r="H14" s="2" t="n"/>
      <c r="I14" s="2" t="n"/>
      <c r="J14" s="2" t="inlineStr"/>
      <c r="K14" s="2" t="n"/>
      <c r="L14" s="2" t="n"/>
      <c r="M14" s="2" t="inlineStr"/>
      <c r="N14" s="2" t="n"/>
      <c r="O14" s="2" t="n"/>
      <c r="P14" s="2" t="n"/>
      <c r="Q14" s="2" t="n"/>
    </row>
    <row r="15">
      <c r="A15" s="2" t="inlineStr"/>
      <c r="B15" s="2" t="n"/>
      <c r="C15" s="2" t="n"/>
      <c r="D15" s="2" t="n"/>
      <c r="E15" s="2" t="n"/>
      <c r="F15" s="2" t="n"/>
      <c r="G15" s="2" t="n"/>
      <c r="H15" s="2" t="n"/>
      <c r="I15" s="2" t="n"/>
      <c r="J15" s="2" t="inlineStr"/>
      <c r="K15" s="2" t="n"/>
      <c r="L15" s="2" t="n"/>
      <c r="M15" s="2" t="inlineStr"/>
      <c r="N15" s="2" t="n"/>
      <c r="O15" s="2" t="n"/>
      <c r="P15" s="2" t="n"/>
      <c r="Q15" s="2" t="n"/>
    </row>
    <row r="16">
      <c r="A16" s="2" t="inlineStr"/>
      <c r="B16" s="2" t="n"/>
      <c r="C16" s="2" t="n"/>
      <c r="D16" s="2" t="n"/>
      <c r="E16" s="2" t="n"/>
      <c r="F16" s="2" t="n"/>
      <c r="G16" s="2" t="n"/>
      <c r="H16" s="2" t="n"/>
      <c r="I16" s="2" t="n"/>
      <c r="J16" s="2" t="inlineStr"/>
      <c r="K16" s="2" t="n"/>
      <c r="L16" s="2" t="n"/>
      <c r="M16" s="2" t="inlineStr"/>
      <c r="N16" s="2" t="n"/>
      <c r="O16" s="2" t="n"/>
      <c r="P16" s="2" t="n"/>
      <c r="Q16" s="2" t="n"/>
    </row>
    <row r="17">
      <c r="A17" s="2" t="inlineStr"/>
      <c r="B17" s="2" t="n"/>
      <c r="C17" s="2" t="n"/>
      <c r="D17" s="2" t="n"/>
      <c r="E17" s="2" t="n"/>
      <c r="F17" s="2" t="n"/>
      <c r="G17" s="2" t="n"/>
      <c r="H17" s="2" t="n"/>
      <c r="I17" s="2" t="n"/>
      <c r="J17" s="2" t="inlineStr"/>
      <c r="K17" s="2" t="n"/>
      <c r="L17" s="2" t="n"/>
      <c r="M17" s="2" t="inlineStr"/>
      <c r="N17" s="2" t="n"/>
      <c r="O17" s="2" t="n"/>
      <c r="P17" s="2" t="n"/>
      <c r="Q17" s="2" t="n"/>
    </row>
    <row r="18">
      <c r="A18" s="2" t="inlineStr"/>
      <c r="B18" s="2" t="n"/>
      <c r="C18" s="2" t="n"/>
      <c r="D18" s="2" t="n"/>
      <c r="E18" s="2" t="n"/>
      <c r="F18" s="2" t="n"/>
      <c r="G18" s="2" t="n"/>
      <c r="H18" s="2" t="n"/>
      <c r="I18" s="2" t="n"/>
      <c r="J18" s="2" t="inlineStr"/>
      <c r="K18" s="2" t="n"/>
      <c r="L18" s="2" t="n"/>
      <c r="M18" s="2" t="inlineStr"/>
      <c r="N18" s="2" t="n"/>
      <c r="O18" s="2" t="n"/>
      <c r="P18" s="2" t="n"/>
      <c r="Q18" s="2" t="n"/>
    </row>
    <row r="19">
      <c r="A19" s="2" t="inlineStr"/>
      <c r="B19" s="2" t="n"/>
      <c r="C19" s="2" t="n"/>
      <c r="D19" s="2" t="n"/>
      <c r="E19" s="2" t="n"/>
      <c r="F19" s="2" t="n"/>
      <c r="G19" s="2" t="n"/>
      <c r="H19" s="2" t="n"/>
      <c r="I19" s="2" t="n"/>
      <c r="J19" s="2" t="inlineStr"/>
      <c r="K19" s="2" t="n"/>
      <c r="L19" s="2" t="n"/>
      <c r="M19" s="2" t="inlineStr"/>
      <c r="N19" s="2" t="n"/>
      <c r="O19" s="2" t="n"/>
      <c r="P19" s="2" t="n"/>
      <c r="Q19" s="2" t="n"/>
    </row>
    <row r="20">
      <c r="A20" s="2" t="inlineStr"/>
      <c r="B20" s="2" t="n"/>
      <c r="C20" s="2" t="n"/>
      <c r="D20" s="2" t="n"/>
      <c r="E20" s="2" t="n"/>
      <c r="F20" s="2" t="n"/>
      <c r="G20" s="2" t="n"/>
      <c r="H20" s="2" t="n"/>
      <c r="I20" s="2" t="n"/>
      <c r="J20" s="2" t="inlineStr"/>
      <c r="K20" s="2" t="n"/>
      <c r="L20" s="2" t="n"/>
      <c r="M20" s="2" t="inlineStr"/>
      <c r="N20" s="2" t="n"/>
      <c r="O20" s="2" t="n"/>
      <c r="P20" s="2" t="n"/>
      <c r="Q20" s="2" t="n"/>
    </row>
    <row r="21">
      <c r="A21" s="2" t="inlineStr"/>
      <c r="B21" s="2" t="n"/>
      <c r="C21" s="2" t="n"/>
      <c r="D21" s="2" t="n"/>
      <c r="E21" s="2" t="n"/>
      <c r="F21" s="2" t="n"/>
      <c r="G21" s="2" t="n"/>
      <c r="H21" s="2" t="n"/>
      <c r="I21" s="2" t="n"/>
      <c r="J21" s="2" t="inlineStr"/>
      <c r="K21" s="2" t="n"/>
      <c r="L21" s="2" t="n"/>
      <c r="M21" s="2" t="n"/>
      <c r="N21" s="2" t="n"/>
      <c r="O21" s="2" t="n"/>
      <c r="P21" s="2" t="n"/>
      <c r="Q21" s="2" t="n"/>
    </row>
    <row r="22">
      <c r="A22" s="2" t="inlineStr"/>
      <c r="B22" s="2" t="n"/>
      <c r="C22" s="2" t="n"/>
      <c r="D22" s="2" t="n"/>
      <c r="E22" s="2" t="n"/>
      <c r="F22" s="2" t="n"/>
      <c r="G22" s="2" t="n"/>
      <c r="H22" s="2" t="n"/>
      <c r="I22" s="2" t="n"/>
      <c r="J22" s="2" t="inlineStr"/>
      <c r="K22" s="2" t="n"/>
      <c r="L22" s="2" t="n"/>
      <c r="M22" s="2" t="n"/>
      <c r="N22" s="2" t="n"/>
      <c r="O22" s="2" t="n"/>
      <c r="P22" s="2" t="n"/>
      <c r="Q22" s="2" t="n"/>
    </row>
    <row r="23">
      <c r="A23" s="2" t="inlineStr"/>
      <c r="B23" s="2" t="n"/>
      <c r="C23" s="2" t="n"/>
      <c r="D23" s="2" t="n"/>
      <c r="E23" s="2" t="n"/>
      <c r="F23" s="2" t="n"/>
      <c r="G23" s="2" t="n"/>
      <c r="H23" s="2" t="n"/>
      <c r="I23" s="2" t="n"/>
      <c r="J23" s="2" t="inlineStr"/>
      <c r="K23" s="2" t="n"/>
      <c r="L23" s="2" t="n"/>
      <c r="M23" s="2" t="n"/>
      <c r="N23" s="2" t="n"/>
      <c r="O23" s="2" t="n"/>
      <c r="P23" s="2" t="n"/>
      <c r="Q23" s="2" t="n"/>
    </row>
    <row r="24">
      <c r="A24" s="2" t="inlineStr"/>
      <c r="B24" s="2" t="n"/>
      <c r="C24" s="2" t="n"/>
      <c r="D24" s="2" t="n"/>
      <c r="E24" s="2" t="n"/>
      <c r="F24" s="2" t="n"/>
      <c r="G24" s="2" t="n"/>
      <c r="H24" s="2" t="n"/>
      <c r="I24" s="2" t="n"/>
      <c r="J24" s="2" t="inlineStr"/>
      <c r="K24" s="2" t="n"/>
      <c r="L24" s="2" t="n"/>
      <c r="M24" s="2" t="n"/>
      <c r="N24" s="2" t="n"/>
      <c r="O24" s="2" t="n"/>
      <c r="P24" s="2" t="n"/>
      <c r="Q24" s="2" t="n"/>
    </row>
    <row r="25">
      <c r="A25" s="2" t="inlineStr"/>
      <c r="B25" s="2" t="n"/>
      <c r="C25" s="2" t="n"/>
      <c r="D25" s="2" t="n"/>
      <c r="E25" s="2" t="n"/>
      <c r="F25" s="2" t="n"/>
      <c r="G25" s="2" t="n"/>
      <c r="H25" s="2" t="n"/>
      <c r="I25" s="2" t="n"/>
      <c r="J25" s="2" t="inlineStr"/>
      <c r="K25" s="2" t="n"/>
      <c r="L25" s="2" t="n"/>
      <c r="M25" s="2" t="n"/>
      <c r="N25" s="2" t="n"/>
      <c r="O25" s="2" t="n"/>
      <c r="P25" s="2" t="n"/>
      <c r="Q25" s="2" t="n"/>
    </row>
    <row r="26">
      <c r="A26" s="2" t="inlineStr"/>
      <c r="B26" s="2" t="n"/>
      <c r="C26" s="2" t="n"/>
      <c r="D26" s="2" t="n"/>
      <c r="E26" s="2" t="n"/>
      <c r="F26" s="2" t="n"/>
      <c r="G26" s="2" t="n"/>
      <c r="H26" s="2" t="n"/>
      <c r="I26" s="2" t="n"/>
      <c r="J26" s="2" t="inlineStr"/>
      <c r="K26" s="2" t="n"/>
      <c r="L26" s="2" t="n"/>
      <c r="M26" s="2" t="n"/>
      <c r="N26" s="2" t="n"/>
      <c r="O26" s="2" t="n"/>
      <c r="P26" s="2" t="n"/>
      <c r="Q26" s="2" t="n"/>
    </row>
    <row r="27">
      <c r="A27" s="2" t="inlineStr"/>
      <c r="B27" s="2" t="n"/>
      <c r="C27" s="2" t="n"/>
      <c r="D27" s="2" t="n"/>
      <c r="E27" s="2" t="n"/>
      <c r="F27" s="2" t="n"/>
      <c r="G27" s="2" t="n"/>
      <c r="H27" s="2" t="n"/>
      <c r="I27" s="2" t="n"/>
      <c r="J27" s="2" t="inlineStr"/>
      <c r="K27" s="2" t="n"/>
      <c r="L27" s="2" t="n"/>
      <c r="M27" s="2" t="n"/>
      <c r="N27" s="2" t="n"/>
      <c r="O27" s="2" t="n"/>
      <c r="P27" s="2" t="n"/>
      <c r="Q27" s="2" t="n"/>
    </row>
    <row r="28">
      <c r="A28" s="2" t="inlineStr"/>
      <c r="B28" s="2" t="n"/>
      <c r="C28" s="2" t="n"/>
      <c r="D28" s="2" t="n"/>
      <c r="E28" s="2" t="n"/>
      <c r="F28" s="2" t="n"/>
      <c r="G28" s="2" t="n"/>
      <c r="H28" s="2" t="n"/>
      <c r="I28" s="2" t="n"/>
      <c r="J28" s="2" t="inlineStr"/>
      <c r="K28" s="2" t="n"/>
      <c r="L28" s="2" t="n"/>
      <c r="M28" s="2" t="n"/>
      <c r="N28" s="2" t="n"/>
      <c r="O28" s="2" t="n"/>
      <c r="P28" s="2" t="n"/>
      <c r="Q28" s="2" t="n"/>
    </row>
    <row r="29">
      <c r="A29" s="2" t="inlineStr"/>
      <c r="B29" s="2" t="n"/>
      <c r="C29" s="2" t="n"/>
      <c r="D29" s="2" t="n"/>
      <c r="E29" s="2" t="n"/>
      <c r="F29" s="2" t="n"/>
      <c r="G29" s="2" t="n"/>
      <c r="H29" s="2" t="n"/>
      <c r="I29" s="2" t="n"/>
      <c r="J29" s="2" t="inlineStr"/>
      <c r="K29" s="2" t="n"/>
      <c r="L29" s="2" t="n"/>
      <c r="M29" s="2" t="n"/>
      <c r="N29" s="2" t="n"/>
      <c r="O29" s="2" t="n"/>
      <c r="P29" s="2" t="n"/>
      <c r="Q29" s="2" t="n"/>
    </row>
    <row r="30">
      <c r="A30" s="2" t="inlineStr"/>
      <c r="B30" s="2" t="n"/>
      <c r="C30" s="2" t="n"/>
      <c r="D30" s="2" t="n"/>
      <c r="E30" s="2" t="n"/>
      <c r="F30" s="2" t="n"/>
      <c r="G30" s="2" t="n"/>
      <c r="H30" s="2" t="n"/>
      <c r="I30" s="2" t="n"/>
      <c r="J30" s="2" t="inlineStr"/>
      <c r="K30" s="2" t="n"/>
      <c r="L30" s="2" t="n"/>
      <c r="M30" s="2" t="n"/>
      <c r="N30" s="2" t="n"/>
      <c r="O30" s="2" t="n"/>
      <c r="P30" s="2" t="n"/>
      <c r="Q30" s="2" t="n"/>
    </row>
    <row r="31">
      <c r="A31" s="2" t="inlineStr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</row>
    <row r="32">
      <c r="A32" s="2" t="inlineStr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</row>
    <row r="33">
      <c r="A33" s="2" t="inlineStr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</row>
    <row r="34">
      <c r="A34" s="2" t="inlineStr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</row>
    <row r="35">
      <c r="A35" s="2" t="inlineStr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</row>
    <row r="36">
      <c r="A36" s="2" t="inlineStr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</row>
    <row r="37">
      <c r="A37" s="2" t="inlineStr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</row>
    <row r="38">
      <c r="A38" s="2" t="inlineStr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</row>
    <row r="39">
      <c r="A39" s="2" t="inlineStr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</row>
    <row r="40">
      <c r="A40" s="2" t="inlineStr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3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OperationalDate</t>
        </is>
      </c>
      <c r="B1" s="1" t="inlineStr">
        <is>
          <t>IntervalStart</t>
        </is>
      </c>
      <c r="C1" s="1" t="inlineStr">
        <is>
          <t>RequiredHeadcount</t>
        </is>
      </c>
    </row>
    <row r="2">
      <c r="A2" s="4" t="n">
        <v>46184</v>
      </c>
      <c r="B2" s="3" t="n">
        <v>0</v>
      </c>
      <c r="C2" s="2" t="n">
        <v>2</v>
      </c>
    </row>
    <row r="3">
      <c r="A3" s="4" t="n">
        <v>46184</v>
      </c>
      <c r="B3" s="3" t="n">
        <v>0.02083333333333333</v>
      </c>
      <c r="C3" s="2" t="n">
        <v>2</v>
      </c>
    </row>
    <row r="4">
      <c r="A4" s="4" t="n">
        <v>46184</v>
      </c>
      <c r="B4" s="3" t="n">
        <v>0.04166666666666666</v>
      </c>
      <c r="C4" s="2" t="n">
        <v>2</v>
      </c>
    </row>
    <row r="5">
      <c r="A5" s="4" t="n">
        <v>46184</v>
      </c>
      <c r="B5" s="3" t="n">
        <v>0.0625</v>
      </c>
      <c r="C5" s="2" t="n">
        <v>2</v>
      </c>
    </row>
    <row r="6">
      <c r="A6" s="4" t="n">
        <v>46184</v>
      </c>
      <c r="B6" s="3" t="n">
        <v>0.08333333333333333</v>
      </c>
      <c r="C6" s="2" t="n">
        <v>2</v>
      </c>
    </row>
    <row r="7">
      <c r="A7" s="4" t="n">
        <v>46184</v>
      </c>
      <c r="B7" s="3" t="n">
        <v>0.1041666666666667</v>
      </c>
      <c r="C7" s="2" t="n">
        <v>2</v>
      </c>
    </row>
    <row r="8">
      <c r="A8" s="4" t="n">
        <v>46184</v>
      </c>
      <c r="B8" s="3" t="n">
        <v>0.125</v>
      </c>
      <c r="C8" s="2" t="n">
        <v>2</v>
      </c>
    </row>
    <row r="9">
      <c r="A9" s="4" t="n">
        <v>46184</v>
      </c>
      <c r="B9" s="3" t="n">
        <v>0.1458333333333333</v>
      </c>
      <c r="C9" s="2" t="n">
        <v>2</v>
      </c>
    </row>
    <row r="10">
      <c r="A10" s="4" t="n">
        <v>46184</v>
      </c>
      <c r="B10" s="3" t="n">
        <v>0.1666666666666667</v>
      </c>
      <c r="C10" s="2" t="n">
        <v>2</v>
      </c>
    </row>
    <row r="11">
      <c r="A11" s="4" t="n">
        <v>46184</v>
      </c>
      <c r="B11" s="3" t="n">
        <v>0.1875</v>
      </c>
      <c r="C11" s="2" t="n">
        <v>2</v>
      </c>
    </row>
    <row r="12">
      <c r="A12" s="4" t="n">
        <v>46184</v>
      </c>
      <c r="B12" s="3" t="n">
        <v>0.2083333333333333</v>
      </c>
      <c r="C12" s="2" t="n">
        <v>2</v>
      </c>
    </row>
    <row r="13">
      <c r="A13" s="4" t="n">
        <v>46184</v>
      </c>
      <c r="B13" s="3" t="n">
        <v>0.2291666666666667</v>
      </c>
      <c r="C13" s="2" t="n">
        <v>2</v>
      </c>
    </row>
    <row r="14">
      <c r="A14" s="4" t="n">
        <v>46184</v>
      </c>
      <c r="B14" s="3" t="n">
        <v>0.25</v>
      </c>
      <c r="C14" s="2" t="n">
        <v>2</v>
      </c>
    </row>
    <row r="15">
      <c r="A15" s="4" t="n">
        <v>46184</v>
      </c>
      <c r="B15" s="3" t="n">
        <v>0.2708333333333333</v>
      </c>
      <c r="C15" s="2" t="n">
        <v>2</v>
      </c>
    </row>
    <row r="16">
      <c r="A16" s="4" t="n">
        <v>46184</v>
      </c>
      <c r="B16" s="3" t="n">
        <v>0.2916666666666667</v>
      </c>
      <c r="C16" s="2" t="n">
        <v>2</v>
      </c>
    </row>
    <row r="17">
      <c r="A17" s="4" t="n">
        <v>46184</v>
      </c>
      <c r="B17" s="3" t="n">
        <v>0.3125</v>
      </c>
      <c r="C17" s="2" t="n">
        <v>2</v>
      </c>
    </row>
    <row r="18">
      <c r="A18" s="4" t="n">
        <v>46184</v>
      </c>
      <c r="B18" s="3" t="n">
        <v>0.3333333333333333</v>
      </c>
      <c r="C18" s="2" t="n">
        <v>4</v>
      </c>
    </row>
    <row r="19">
      <c r="A19" s="4" t="n">
        <v>46184</v>
      </c>
      <c r="B19" s="3" t="n">
        <v>0.3541666666666667</v>
      </c>
      <c r="C19" s="2" t="n">
        <v>4</v>
      </c>
    </row>
    <row r="20">
      <c r="A20" s="4" t="n">
        <v>46184</v>
      </c>
      <c r="B20" s="3" t="n">
        <v>0.375</v>
      </c>
      <c r="C20" s="2" t="n">
        <v>4</v>
      </c>
    </row>
    <row r="21">
      <c r="A21" s="4" t="n">
        <v>46184</v>
      </c>
      <c r="B21" s="3" t="n">
        <v>0.3958333333333333</v>
      </c>
      <c r="C21" s="2" t="n">
        <v>4</v>
      </c>
    </row>
    <row r="22">
      <c r="A22" s="4" t="n">
        <v>46184</v>
      </c>
      <c r="B22" s="3" t="n">
        <v>0.4166666666666667</v>
      </c>
      <c r="C22" s="2" t="n">
        <v>4</v>
      </c>
    </row>
    <row r="23">
      <c r="A23" s="4" t="n">
        <v>46184</v>
      </c>
      <c r="B23" s="3" t="n">
        <v>0.4375</v>
      </c>
      <c r="C23" s="2" t="n">
        <v>4</v>
      </c>
    </row>
    <row r="24">
      <c r="A24" s="4" t="n">
        <v>46184</v>
      </c>
      <c r="B24" s="3" t="n">
        <v>0.4583333333333333</v>
      </c>
      <c r="C24" s="2" t="n">
        <v>4</v>
      </c>
    </row>
    <row r="25">
      <c r="A25" s="4" t="n">
        <v>46184</v>
      </c>
      <c r="B25" s="3" t="n">
        <v>0.4791666666666667</v>
      </c>
      <c r="C25" s="2" t="n">
        <v>4</v>
      </c>
    </row>
    <row r="26">
      <c r="A26" s="4" t="n">
        <v>46184</v>
      </c>
      <c r="B26" s="3" t="n">
        <v>0.5</v>
      </c>
      <c r="C26" s="2" t="n">
        <v>4</v>
      </c>
    </row>
    <row r="27">
      <c r="A27" s="4" t="n">
        <v>46184</v>
      </c>
      <c r="B27" s="3" t="n">
        <v>0.5208333333333334</v>
      </c>
      <c r="C27" s="2" t="n">
        <v>4</v>
      </c>
    </row>
    <row r="28">
      <c r="A28" s="4" t="n">
        <v>46184</v>
      </c>
      <c r="B28" s="3" t="n">
        <v>0.5416666666666666</v>
      </c>
      <c r="C28" s="2" t="n">
        <v>4</v>
      </c>
    </row>
    <row r="29">
      <c r="A29" s="4" t="n">
        <v>46184</v>
      </c>
      <c r="B29" s="3" t="n">
        <v>0.5625</v>
      </c>
      <c r="C29" s="2" t="n">
        <v>4</v>
      </c>
    </row>
    <row r="30">
      <c r="A30" s="4" t="n">
        <v>46184</v>
      </c>
      <c r="B30" s="3" t="n">
        <v>0.5833333333333334</v>
      </c>
      <c r="C30" s="2" t="n">
        <v>4</v>
      </c>
    </row>
    <row r="31">
      <c r="A31" s="4" t="n">
        <v>46184</v>
      </c>
      <c r="B31" s="3" t="n">
        <v>0.6041666666666666</v>
      </c>
      <c r="C31" s="2" t="n">
        <v>4</v>
      </c>
    </row>
    <row r="32">
      <c r="A32" s="4" t="n">
        <v>46184</v>
      </c>
      <c r="B32" s="3" t="n">
        <v>0.625</v>
      </c>
      <c r="C32" s="2" t="n">
        <v>4</v>
      </c>
    </row>
    <row r="33">
      <c r="A33" s="4" t="n">
        <v>46184</v>
      </c>
      <c r="B33" s="3" t="n">
        <v>0.6458333333333334</v>
      </c>
      <c r="C33" s="2" t="n">
        <v>4</v>
      </c>
    </row>
    <row r="34">
      <c r="A34" s="4" t="n">
        <v>46184</v>
      </c>
      <c r="B34" s="3" t="n">
        <v>0.6666666666666666</v>
      </c>
      <c r="C34" s="2" t="n">
        <v>4</v>
      </c>
    </row>
    <row r="35">
      <c r="A35" s="4" t="n">
        <v>46184</v>
      </c>
      <c r="B35" s="3" t="n">
        <v>0.6875</v>
      </c>
      <c r="C35" s="2" t="n">
        <v>4</v>
      </c>
    </row>
    <row r="36">
      <c r="A36" s="4" t="n">
        <v>46184</v>
      </c>
      <c r="B36" s="3" t="n">
        <v>0.7083333333333334</v>
      </c>
      <c r="C36" s="2" t="n">
        <v>4</v>
      </c>
    </row>
    <row r="37">
      <c r="A37" s="4" t="n">
        <v>46184</v>
      </c>
      <c r="B37" s="3" t="n">
        <v>0.7291666666666666</v>
      </c>
      <c r="C37" s="2" t="n">
        <v>4</v>
      </c>
    </row>
    <row r="38">
      <c r="A38" s="4" t="n">
        <v>46184</v>
      </c>
      <c r="B38" s="3" t="n">
        <v>0.75</v>
      </c>
      <c r="C38" s="2" t="n">
        <v>2</v>
      </c>
    </row>
    <row r="39">
      <c r="A39" s="4" t="n">
        <v>46184</v>
      </c>
      <c r="B39" s="3" t="n">
        <v>0.7708333333333334</v>
      </c>
      <c r="C39" s="2" t="n">
        <v>2</v>
      </c>
    </row>
    <row r="40">
      <c r="A40" s="4" t="n">
        <v>46184</v>
      </c>
      <c r="B40" s="3" t="n">
        <v>0.7916666666666666</v>
      </c>
      <c r="C40" s="2" t="n">
        <v>2</v>
      </c>
    </row>
    <row r="41">
      <c r="A41" s="4" t="n">
        <v>46184</v>
      </c>
      <c r="B41" s="3" t="n">
        <v>0.8125</v>
      </c>
      <c r="C41" s="2" t="n">
        <v>2</v>
      </c>
    </row>
    <row r="42">
      <c r="A42" s="4" t="n">
        <v>46184</v>
      </c>
      <c r="B42" s="3" t="n">
        <v>0.8333333333333334</v>
      </c>
      <c r="C42" s="2" t="n">
        <v>2</v>
      </c>
    </row>
    <row r="43">
      <c r="A43" s="4" t="n">
        <v>46184</v>
      </c>
      <c r="B43" s="3" t="n">
        <v>0.8541666666666666</v>
      </c>
      <c r="C43" s="2" t="n">
        <v>2</v>
      </c>
    </row>
    <row r="44">
      <c r="A44" s="4" t="n">
        <v>46184</v>
      </c>
      <c r="B44" s="3" t="n">
        <v>0.875</v>
      </c>
      <c r="C44" s="2" t="n">
        <v>2</v>
      </c>
    </row>
    <row r="45">
      <c r="A45" s="4" t="n">
        <v>46184</v>
      </c>
      <c r="B45" s="3" t="n">
        <v>0.8958333333333334</v>
      </c>
      <c r="C45" s="2" t="n">
        <v>2</v>
      </c>
    </row>
    <row r="46">
      <c r="A46" s="4" t="n">
        <v>46184</v>
      </c>
      <c r="B46" s="3" t="n">
        <v>0.9166666666666666</v>
      </c>
      <c r="C46" s="2" t="n">
        <v>2</v>
      </c>
    </row>
    <row r="47">
      <c r="A47" s="4" t="n">
        <v>46184</v>
      </c>
      <c r="B47" s="3" t="n">
        <v>0.9375</v>
      </c>
      <c r="C47" s="2" t="n">
        <v>2</v>
      </c>
    </row>
    <row r="48">
      <c r="A48" s="4" t="n">
        <v>46184</v>
      </c>
      <c r="B48" s="3" t="n">
        <v>0.9583333333333334</v>
      </c>
      <c r="C48" s="2" t="n">
        <v>2</v>
      </c>
    </row>
    <row r="49">
      <c r="A49" s="4" t="n">
        <v>46184</v>
      </c>
      <c r="B49" s="3" t="n">
        <v>0.9791666666666666</v>
      </c>
      <c r="C49" s="2" t="n">
        <v>2</v>
      </c>
    </row>
    <row r="50">
      <c r="A50" s="2" t="inlineStr"/>
      <c r="B50" s="2" t="n"/>
      <c r="C50" s="2" t="n"/>
    </row>
    <row r="51">
      <c r="A51" s="2" t="inlineStr"/>
      <c r="B51" s="2" t="n"/>
      <c r="C51" s="2" t="n"/>
    </row>
    <row r="52">
      <c r="A52" s="2" t="inlineStr"/>
      <c r="B52" s="2" t="n"/>
      <c r="C52" s="2" t="n"/>
    </row>
    <row r="53">
      <c r="A53" s="2" t="inlineStr"/>
      <c r="B53" s="2" t="n"/>
      <c r="C53" s="2" t="n"/>
    </row>
    <row r="54">
      <c r="A54" s="2" t="inlineStr"/>
      <c r="B54" s="2" t="n"/>
      <c r="C54" s="2" t="n"/>
    </row>
    <row r="55">
      <c r="A55" s="2" t="inlineStr"/>
      <c r="B55" s="2" t="n"/>
      <c r="C55" s="2" t="n"/>
    </row>
    <row r="56">
      <c r="A56" s="2" t="inlineStr"/>
      <c r="B56" s="2" t="n"/>
      <c r="C56" s="2" t="n"/>
    </row>
    <row r="57">
      <c r="A57" s="2" t="inlineStr"/>
      <c r="B57" s="2" t="n"/>
      <c r="C57" s="2" t="n"/>
    </row>
    <row r="58">
      <c r="A58" s="2" t="inlineStr"/>
      <c r="B58" s="2" t="n"/>
      <c r="C58" s="2" t="n"/>
    </row>
    <row r="59">
      <c r="A59" s="2" t="inlineStr"/>
      <c r="B59" s="2" t="n"/>
      <c r="C59" s="2" t="n"/>
    </row>
    <row r="60">
      <c r="A60" s="2" t="inlineStr"/>
      <c r="B60" s="2" t="n"/>
      <c r="C60" s="2" t="n"/>
    </row>
    <row r="61">
      <c r="A61" s="2" t="inlineStr"/>
      <c r="B61" s="2" t="n"/>
      <c r="C61" s="2" t="n"/>
    </row>
    <row r="62">
      <c r="A62" s="2" t="inlineStr"/>
      <c r="B62" s="2" t="n"/>
      <c r="C62" s="2" t="n"/>
    </row>
    <row r="63">
      <c r="A63" s="2" t="inlineStr"/>
      <c r="B63" s="2" t="n"/>
      <c r="C63" s="2" t="n"/>
    </row>
    <row r="64">
      <c r="A64" s="2" t="inlineStr"/>
      <c r="B64" s="2" t="n"/>
      <c r="C64" s="2" t="n"/>
    </row>
    <row r="65">
      <c r="A65" s="2" t="inlineStr"/>
      <c r="B65" s="2" t="n"/>
      <c r="C65" s="2" t="n"/>
    </row>
    <row r="66">
      <c r="A66" s="2" t="inlineStr"/>
      <c r="B66" s="2" t="n"/>
      <c r="C66" s="2" t="n"/>
    </row>
    <row r="67">
      <c r="A67" s="2" t="inlineStr"/>
      <c r="B67" s="2" t="n"/>
      <c r="C67" s="2" t="n"/>
    </row>
    <row r="68">
      <c r="A68" s="2" t="inlineStr"/>
      <c r="B68" s="2" t="n"/>
      <c r="C68" s="2" t="n"/>
    </row>
    <row r="69">
      <c r="A69" s="2" t="inlineStr"/>
      <c r="B69" s="2" t="n"/>
      <c r="C69" s="2" t="n"/>
    </row>
    <row r="70">
      <c r="A70" s="2" t="inlineStr"/>
      <c r="B70" s="2" t="n"/>
      <c r="C70" s="2" t="n"/>
    </row>
    <row r="71">
      <c r="A71" s="2" t="inlineStr"/>
      <c r="B71" s="2" t="n"/>
      <c r="C71" s="2" t="n"/>
    </row>
    <row r="72">
      <c r="A72" s="2" t="inlineStr"/>
      <c r="B72" s="2" t="n"/>
      <c r="C72" s="2" t="n"/>
    </row>
    <row r="73">
      <c r="A73" s="2" t="inlineStr"/>
      <c r="B73" s="2" t="n"/>
      <c r="C73" s="2" t="n"/>
    </row>
    <row r="74">
      <c r="A74" s="2" t="inlineStr"/>
      <c r="B74" s="2" t="n"/>
      <c r="C74" s="2" t="n"/>
    </row>
    <row r="75">
      <c r="A75" s="2" t="inlineStr"/>
      <c r="B75" s="2" t="n"/>
      <c r="C75" s="2" t="n"/>
    </row>
    <row r="76">
      <c r="A76" s="2" t="inlineStr"/>
      <c r="B76" s="2" t="n"/>
      <c r="C76" s="2" t="n"/>
    </row>
    <row r="77">
      <c r="A77" s="2" t="inlineStr"/>
      <c r="B77" s="2" t="n"/>
      <c r="C77" s="2" t="n"/>
    </row>
    <row r="78">
      <c r="A78" s="2" t="inlineStr"/>
      <c r="B78" s="2" t="n"/>
      <c r="C78" s="2" t="n"/>
    </row>
    <row r="79">
      <c r="A79" s="2" t="inlineStr"/>
      <c r="B79" s="2" t="n"/>
      <c r="C79" s="2" t="n"/>
    </row>
    <row r="80">
      <c r="A80" s="2" t="inlineStr"/>
      <c r="B80" s="2" t="n"/>
      <c r="C80" s="2" t="n"/>
    </row>
    <row r="81">
      <c r="A81" s="2" t="inlineStr"/>
      <c r="B81" s="2" t="n"/>
      <c r="C81" s="2" t="n"/>
    </row>
    <row r="82">
      <c r="A82" s="2" t="inlineStr"/>
      <c r="B82" s="2" t="n"/>
      <c r="C82" s="2" t="n"/>
    </row>
    <row r="83">
      <c r="A83" s="2" t="inlineStr"/>
      <c r="B83" s="2" t="n"/>
      <c r="C83" s="2" t="n"/>
    </row>
    <row r="84">
      <c r="A84" s="2" t="inlineStr"/>
      <c r="B84" s="2" t="n"/>
      <c r="C84" s="2" t="n"/>
    </row>
    <row r="85">
      <c r="A85" s="2" t="inlineStr"/>
      <c r="B85" s="2" t="n"/>
      <c r="C85" s="2" t="n"/>
    </row>
    <row r="86">
      <c r="A86" s="2" t="inlineStr"/>
      <c r="B86" s="2" t="n"/>
      <c r="C86" s="2" t="n"/>
    </row>
    <row r="87">
      <c r="A87" s="2" t="inlineStr"/>
      <c r="B87" s="2" t="n"/>
      <c r="C87" s="2" t="n"/>
    </row>
    <row r="88">
      <c r="A88" s="2" t="inlineStr"/>
      <c r="B88" s="2" t="n"/>
      <c r="C88" s="2" t="n"/>
    </row>
    <row r="89">
      <c r="A89" s="2" t="inlineStr"/>
      <c r="B89" s="2" t="n"/>
      <c r="C89" s="2" t="n"/>
    </row>
    <row r="90">
      <c r="A90" s="2" t="inlineStr"/>
      <c r="B90" s="2" t="n"/>
      <c r="C90" s="2" t="n"/>
    </row>
    <row r="91">
      <c r="A91" s="2" t="inlineStr"/>
      <c r="B91" s="2" t="n"/>
      <c r="C91" s="2" t="n"/>
    </row>
    <row r="92">
      <c r="A92" s="2" t="inlineStr"/>
      <c r="B92" s="2" t="n"/>
      <c r="C92" s="2" t="n"/>
    </row>
    <row r="93">
      <c r="A93" s="2" t="inlineStr"/>
      <c r="B93" s="2" t="n"/>
      <c r="C93" s="2" t="n"/>
    </row>
    <row r="94">
      <c r="A94" s="2" t="inlineStr"/>
      <c r="B94" s="2" t="n"/>
      <c r="C94" s="2" t="n"/>
    </row>
    <row r="95">
      <c r="A95" s="2" t="inlineStr"/>
      <c r="B95" s="2" t="n"/>
      <c r="C95" s="2" t="n"/>
    </row>
    <row r="96">
      <c r="A96" s="2" t="inlineStr"/>
      <c r="B96" s="2" t="n"/>
      <c r="C96" s="2" t="n"/>
    </row>
    <row r="97">
      <c r="A97" s="2" t="inlineStr"/>
      <c r="B97" s="2" t="n"/>
      <c r="C97" s="2" t="n"/>
    </row>
    <row r="98">
      <c r="A98" s="2" t="inlineStr"/>
      <c r="B98" s="2" t="n"/>
      <c r="C98" s="2" t="n"/>
    </row>
    <row r="99">
      <c r="A99" s="2" t="inlineStr"/>
      <c r="B99" s="2" t="n"/>
      <c r="C99" s="2" t="n"/>
    </row>
    <row r="100">
      <c r="A100" s="2" t="inlineStr"/>
      <c r="B100" s="2" t="n"/>
      <c r="C100" s="2" t="n"/>
    </row>
    <row r="101">
      <c r="A101" s="2" t="inlineStr"/>
      <c r="B101" s="2" t="n"/>
      <c r="C101" s="2" t="n"/>
    </row>
    <row r="102">
      <c r="A102" s="2" t="inlineStr"/>
      <c r="B102" s="2" t="n"/>
      <c r="C102" s="2" t="n"/>
    </row>
    <row r="103">
      <c r="A103" s="2" t="inlineStr"/>
      <c r="B103" s="2" t="n"/>
      <c r="C103" s="2" t="n"/>
    </row>
    <row r="104">
      <c r="A104" s="2" t="inlineStr"/>
      <c r="B104" s="2" t="n"/>
      <c r="C104" s="2" t="n"/>
    </row>
    <row r="105">
      <c r="A105" s="2" t="inlineStr"/>
      <c r="B105" s="2" t="n"/>
      <c r="C105" s="2" t="n"/>
    </row>
    <row r="106">
      <c r="A106" s="2" t="inlineStr"/>
      <c r="B106" s="2" t="n"/>
      <c r="C106" s="2" t="n"/>
    </row>
    <row r="107">
      <c r="A107" s="2" t="inlineStr"/>
      <c r="B107" s="2" t="n"/>
      <c r="C107" s="2" t="n"/>
    </row>
    <row r="108">
      <c r="A108" s="2" t="inlineStr"/>
      <c r="B108" s="2" t="n"/>
      <c r="C108" s="2" t="n"/>
    </row>
    <row r="109">
      <c r="A109" s="2" t="inlineStr"/>
      <c r="B109" s="2" t="n"/>
      <c r="C109" s="2" t="n"/>
    </row>
    <row r="110">
      <c r="A110" s="2" t="inlineStr"/>
      <c r="B110" s="2" t="n"/>
      <c r="C110" s="2" t="n"/>
    </row>
    <row r="111">
      <c r="A111" s="2" t="inlineStr"/>
      <c r="B111" s="2" t="n"/>
      <c r="C111" s="2" t="n"/>
    </row>
    <row r="112">
      <c r="A112" s="2" t="inlineStr"/>
      <c r="B112" s="2" t="n"/>
      <c r="C112" s="2" t="n"/>
    </row>
    <row r="113">
      <c r="A113" s="2" t="inlineStr"/>
      <c r="B113" s="2" t="n"/>
      <c r="C113" s="2" t="n"/>
    </row>
    <row r="114">
      <c r="A114" s="2" t="inlineStr"/>
      <c r="B114" s="2" t="n"/>
      <c r="C114" s="2" t="n"/>
    </row>
    <row r="115">
      <c r="A115" s="2" t="inlineStr"/>
      <c r="B115" s="2" t="n"/>
      <c r="C115" s="2" t="n"/>
    </row>
    <row r="116">
      <c r="A116" s="2" t="inlineStr"/>
      <c r="B116" s="2" t="n"/>
      <c r="C116" s="2" t="n"/>
    </row>
    <row r="117">
      <c r="A117" s="2" t="inlineStr"/>
      <c r="B117" s="2" t="n"/>
      <c r="C117" s="2" t="n"/>
    </row>
    <row r="118">
      <c r="A118" s="2" t="inlineStr"/>
      <c r="B118" s="2" t="n"/>
      <c r="C118" s="2" t="n"/>
    </row>
    <row r="119">
      <c r="A119" s="2" t="inlineStr"/>
      <c r="B119" s="2" t="n"/>
      <c r="C119" s="2" t="n"/>
    </row>
    <row r="120">
      <c r="A120" s="2" t="inlineStr"/>
      <c r="B120" s="2" t="n"/>
      <c r="C120" s="2" t="n"/>
    </row>
    <row r="121">
      <c r="A121" s="2" t="inlineStr"/>
      <c r="B121" s="2" t="n"/>
      <c r="C121" s="2" t="n"/>
    </row>
    <row r="122">
      <c r="A122" s="2" t="inlineStr"/>
      <c r="B122" s="2" t="n"/>
      <c r="C122" s="2" t="n"/>
    </row>
    <row r="123">
      <c r="A123" s="2" t="inlineStr"/>
      <c r="B123" s="2" t="n"/>
      <c r="C123" s="2" t="n"/>
    </row>
    <row r="124">
      <c r="A124" s="2" t="inlineStr"/>
      <c r="B124" s="2" t="n"/>
      <c r="C124" s="2" t="n"/>
    </row>
    <row r="125">
      <c r="A125" s="2" t="inlineStr"/>
      <c r="B125" s="2" t="n"/>
      <c r="C125" s="2" t="n"/>
    </row>
    <row r="126">
      <c r="A126" s="2" t="inlineStr"/>
      <c r="B126" s="2" t="n"/>
      <c r="C126" s="2" t="n"/>
    </row>
    <row r="127">
      <c r="A127" s="2" t="inlineStr"/>
      <c r="B127" s="2" t="n"/>
      <c r="C127" s="2" t="n"/>
    </row>
    <row r="128">
      <c r="A128" s="2" t="inlineStr"/>
      <c r="B128" s="2" t="n"/>
      <c r="C128" s="2" t="n"/>
    </row>
    <row r="129">
      <c r="A129" s="2" t="inlineStr"/>
      <c r="B129" s="2" t="n"/>
      <c r="C129" s="2" t="n"/>
    </row>
    <row r="130">
      <c r="A130" s="2" t="inlineStr"/>
      <c r="B130" s="2" t="n"/>
      <c r="C130" s="2" t="n"/>
    </row>
    <row r="131">
      <c r="A131" s="2" t="inlineStr"/>
      <c r="B131" s="2" t="n"/>
      <c r="C131" s="2" t="n"/>
    </row>
    <row r="132">
      <c r="A132" s="2" t="inlineStr"/>
      <c r="B132" s="2" t="n"/>
      <c r="C132" s="2" t="n"/>
    </row>
    <row r="133">
      <c r="A133" s="2" t="inlineStr"/>
      <c r="B133" s="2" t="n"/>
      <c r="C133" s="2" t="n"/>
    </row>
    <row r="134">
      <c r="A134" s="2" t="inlineStr"/>
      <c r="B134" s="2" t="n"/>
      <c r="C134" s="2" t="n"/>
    </row>
    <row r="135">
      <c r="A135" s="2" t="inlineStr"/>
      <c r="B135" s="2" t="n"/>
      <c r="C135" s="2" t="n"/>
    </row>
    <row r="136">
      <c r="A136" s="2" t="inlineStr"/>
      <c r="B136" s="2" t="n"/>
      <c r="C136" s="2" t="n"/>
    </row>
    <row r="137">
      <c r="A137" s="2" t="inlineStr"/>
      <c r="B137" s="2" t="n"/>
      <c r="C137" s="2" t="n"/>
    </row>
    <row r="138">
      <c r="A138" s="2" t="inlineStr"/>
      <c r="B138" s="2" t="n"/>
      <c r="C138" s="2" t="n"/>
    </row>
    <row r="139">
      <c r="A139" s="2" t="inlineStr"/>
      <c r="B139" s="2" t="n"/>
      <c r="C139" s="2" t="n"/>
    </row>
    <row r="140">
      <c r="A140" s="2" t="inlineStr"/>
      <c r="B140" s="2" t="n"/>
      <c r="C140" s="2" t="n"/>
    </row>
    <row r="141">
      <c r="A141" s="2" t="inlineStr"/>
      <c r="B141" s="2" t="n"/>
      <c r="C141" s="2" t="n"/>
    </row>
    <row r="142">
      <c r="A142" s="2" t="inlineStr"/>
      <c r="B142" s="2" t="n"/>
      <c r="C142" s="2" t="n"/>
    </row>
    <row r="143">
      <c r="A143" s="2" t="inlineStr"/>
      <c r="B143" s="2" t="n"/>
      <c r="C143" s="2" t="n"/>
    </row>
    <row r="144">
      <c r="A144" s="2" t="inlineStr"/>
      <c r="B144" s="2" t="n"/>
      <c r="C144" s="2" t="n"/>
    </row>
    <row r="145">
      <c r="A145" s="2" t="inlineStr"/>
      <c r="B145" s="2" t="n"/>
      <c r="C145" s="2" t="n"/>
    </row>
    <row r="146">
      <c r="A146" s="2" t="inlineStr"/>
      <c r="B146" s="2" t="n"/>
      <c r="C146" s="2" t="n"/>
    </row>
    <row r="147">
      <c r="A147" s="2" t="inlineStr"/>
      <c r="B147" s="2" t="n"/>
      <c r="C147" s="2" t="n"/>
    </row>
    <row r="148">
      <c r="A148" s="2" t="inlineStr"/>
      <c r="B148" s="2" t="n"/>
      <c r="C148" s="2" t="n"/>
    </row>
    <row r="149">
      <c r="A149" s="2" t="inlineStr"/>
      <c r="B149" s="2" t="n"/>
      <c r="C149" s="2" t="n"/>
    </row>
    <row r="150">
      <c r="A150" s="2" t="inlineStr"/>
      <c r="B150" s="2" t="n"/>
      <c r="C150" s="2" t="n"/>
    </row>
    <row r="151">
      <c r="A151" s="2" t="inlineStr"/>
      <c r="B151" s="2" t="n"/>
      <c r="C151" s="2" t="n"/>
    </row>
    <row r="152">
      <c r="A152" s="2" t="inlineStr"/>
      <c r="B152" s="2" t="n"/>
      <c r="C152" s="2" t="n"/>
    </row>
    <row r="153">
      <c r="A153" s="2" t="inlineStr"/>
      <c r="B153" s="2" t="n"/>
      <c r="C153" s="2" t="n"/>
    </row>
    <row r="154">
      <c r="A154" s="2" t="inlineStr"/>
      <c r="B154" s="2" t="n"/>
      <c r="C154" s="2" t="n"/>
    </row>
    <row r="155">
      <c r="A155" s="2" t="inlineStr"/>
      <c r="B155" s="2" t="n"/>
      <c r="C155" s="2" t="n"/>
    </row>
    <row r="156">
      <c r="A156" s="2" t="inlineStr"/>
      <c r="B156" s="2" t="n"/>
      <c r="C156" s="2" t="n"/>
    </row>
    <row r="157">
      <c r="A157" s="2" t="inlineStr"/>
      <c r="B157" s="2" t="n"/>
      <c r="C157" s="2" t="n"/>
    </row>
    <row r="158">
      <c r="A158" s="2" t="inlineStr"/>
      <c r="B158" s="2" t="n"/>
      <c r="C158" s="2" t="n"/>
    </row>
    <row r="159">
      <c r="A159" s="2" t="inlineStr"/>
      <c r="B159" s="2" t="n"/>
      <c r="C159" s="2" t="n"/>
    </row>
    <row r="160">
      <c r="A160" s="2" t="inlineStr"/>
      <c r="B160" s="2" t="n"/>
      <c r="C160" s="2" t="n"/>
    </row>
    <row r="161">
      <c r="A161" s="2" t="inlineStr"/>
      <c r="B161" s="2" t="n"/>
      <c r="C161" s="2" t="n"/>
    </row>
    <row r="162">
      <c r="A162" s="2" t="inlineStr"/>
      <c r="B162" s="2" t="n"/>
      <c r="C162" s="2" t="n"/>
    </row>
    <row r="163">
      <c r="A163" s="2" t="inlineStr"/>
      <c r="B163" s="2" t="n"/>
      <c r="C163" s="2" t="n"/>
    </row>
    <row r="164">
      <c r="A164" s="2" t="inlineStr"/>
      <c r="B164" s="2" t="n"/>
      <c r="C164" s="2" t="n"/>
    </row>
    <row r="165">
      <c r="A165" s="2" t="inlineStr"/>
      <c r="B165" s="2" t="n"/>
      <c r="C165" s="2" t="n"/>
    </row>
    <row r="166">
      <c r="A166" s="2" t="inlineStr"/>
      <c r="B166" s="2" t="n"/>
      <c r="C166" s="2" t="n"/>
    </row>
    <row r="167">
      <c r="A167" s="2" t="inlineStr"/>
      <c r="B167" s="2" t="n"/>
      <c r="C167" s="2" t="n"/>
    </row>
    <row r="168">
      <c r="A168" s="2" t="inlineStr"/>
      <c r="B168" s="2" t="n"/>
      <c r="C168" s="2" t="n"/>
    </row>
    <row r="169">
      <c r="A169" s="2" t="inlineStr"/>
      <c r="B169" s="2" t="n"/>
      <c r="C169" s="2" t="n"/>
    </row>
    <row r="170">
      <c r="A170" s="2" t="inlineStr"/>
      <c r="B170" s="2" t="n"/>
      <c r="C170" s="2" t="n"/>
    </row>
    <row r="171">
      <c r="A171" s="2" t="inlineStr"/>
      <c r="B171" s="2" t="n"/>
      <c r="C171" s="2" t="n"/>
    </row>
    <row r="172">
      <c r="A172" s="2" t="inlineStr"/>
      <c r="B172" s="2" t="n"/>
      <c r="C172" s="2" t="n"/>
    </row>
    <row r="173">
      <c r="A173" s="2" t="inlineStr"/>
      <c r="B173" s="2" t="n"/>
      <c r="C173" s="2" t="n"/>
    </row>
    <row r="174">
      <c r="A174" s="2" t="inlineStr"/>
      <c r="B174" s="2" t="n"/>
      <c r="C174" s="2" t="n"/>
    </row>
    <row r="175">
      <c r="A175" s="2" t="inlineStr"/>
      <c r="B175" s="2" t="n"/>
      <c r="C175" s="2" t="n"/>
    </row>
    <row r="176">
      <c r="A176" s="2" t="inlineStr"/>
      <c r="B176" s="2" t="n"/>
      <c r="C176" s="2" t="n"/>
    </row>
    <row r="177">
      <c r="A177" s="2" t="inlineStr"/>
      <c r="B177" s="2" t="n"/>
      <c r="C177" s="2" t="n"/>
    </row>
    <row r="178">
      <c r="A178" s="2" t="inlineStr"/>
      <c r="B178" s="2" t="n"/>
      <c r="C178" s="2" t="n"/>
    </row>
    <row r="179">
      <c r="A179" s="2" t="inlineStr"/>
      <c r="B179" s="2" t="n"/>
      <c r="C179" s="2" t="n"/>
    </row>
    <row r="180">
      <c r="A180" s="2" t="inlineStr"/>
      <c r="B180" s="2" t="n"/>
      <c r="C180" s="2" t="n"/>
    </row>
    <row r="181">
      <c r="A181" s="2" t="inlineStr"/>
      <c r="B181" s="2" t="n"/>
      <c r="C181" s="2" t="n"/>
    </row>
    <row r="182">
      <c r="A182" s="2" t="inlineStr"/>
      <c r="B182" s="2" t="n"/>
      <c r="C182" s="2" t="n"/>
    </row>
    <row r="183">
      <c r="A183" s="2" t="inlineStr"/>
      <c r="B183" s="2" t="n"/>
      <c r="C183" s="2" t="n"/>
    </row>
    <row r="184">
      <c r="A184" s="2" t="inlineStr"/>
      <c r="B184" s="2" t="n"/>
      <c r="C184" s="2" t="n"/>
    </row>
    <row r="185">
      <c r="A185" s="2" t="inlineStr"/>
      <c r="B185" s="2" t="n"/>
      <c r="C185" s="2" t="n"/>
    </row>
    <row r="186">
      <c r="A186" s="2" t="inlineStr"/>
      <c r="B186" s="2" t="n"/>
      <c r="C186" s="2" t="n"/>
    </row>
    <row r="187">
      <c r="A187" s="2" t="inlineStr"/>
      <c r="B187" s="2" t="n"/>
      <c r="C187" s="2" t="n"/>
    </row>
    <row r="188">
      <c r="A188" s="2" t="inlineStr"/>
      <c r="B188" s="2" t="n"/>
      <c r="C188" s="2" t="n"/>
    </row>
    <row r="189">
      <c r="A189" s="2" t="inlineStr"/>
      <c r="B189" s="2" t="n"/>
      <c r="C189" s="2" t="n"/>
    </row>
    <row r="190">
      <c r="A190" s="2" t="inlineStr"/>
      <c r="B190" s="2" t="n"/>
      <c r="C190" s="2" t="n"/>
    </row>
    <row r="191">
      <c r="A191" s="2" t="inlineStr"/>
      <c r="B191" s="2" t="n"/>
      <c r="C191" s="2" t="n"/>
    </row>
    <row r="192">
      <c r="A192" s="2" t="inlineStr"/>
      <c r="B192" s="2" t="n"/>
      <c r="C192" s="2" t="n"/>
    </row>
    <row r="193">
      <c r="A193" s="2" t="inlineStr"/>
      <c r="B193" s="2" t="n"/>
      <c r="C193" s="2" t="n"/>
    </row>
    <row r="194">
      <c r="A194" s="2" t="inlineStr"/>
      <c r="B194" s="2" t="n"/>
      <c r="C194" s="2" t="n"/>
    </row>
    <row r="195">
      <c r="A195" s="2" t="inlineStr"/>
      <c r="B195" s="2" t="n"/>
      <c r="C195" s="2" t="n"/>
    </row>
    <row r="196">
      <c r="A196" s="2" t="inlineStr"/>
      <c r="B196" s="2" t="n"/>
      <c r="C196" s="2" t="n"/>
    </row>
    <row r="197">
      <c r="A197" s="2" t="inlineStr"/>
      <c r="B197" s="2" t="n"/>
      <c r="C197" s="2" t="n"/>
    </row>
    <row r="198">
      <c r="A198" s="2" t="inlineStr"/>
      <c r="B198" s="2" t="n"/>
      <c r="C198" s="2" t="n"/>
    </row>
    <row r="199">
      <c r="A199" s="2" t="inlineStr"/>
      <c r="B199" s="2" t="n"/>
      <c r="C199" s="2" t="n"/>
    </row>
    <row r="200">
      <c r="A200" s="2" t="inlineStr"/>
      <c r="B200" s="2" t="n"/>
      <c r="C200" s="2" t="n"/>
    </row>
    <row r="201">
      <c r="A201" s="2" t="inlineStr"/>
      <c r="B201" s="2" t="n"/>
      <c r="C201" s="2" t="n"/>
    </row>
    <row r="202">
      <c r="A202" s="2" t="inlineStr"/>
      <c r="B202" s="2" t="n"/>
      <c r="C202" s="2" t="n"/>
    </row>
    <row r="203">
      <c r="A203" s="2" t="inlineStr"/>
      <c r="B203" s="2" t="n"/>
      <c r="C203" s="2" t="n"/>
    </row>
    <row r="204">
      <c r="A204" s="2" t="inlineStr"/>
      <c r="B204" s="2" t="n"/>
      <c r="C204" s="2" t="n"/>
    </row>
    <row r="205">
      <c r="A205" s="2" t="inlineStr"/>
      <c r="B205" s="2" t="n"/>
      <c r="C205" s="2" t="n"/>
    </row>
    <row r="206">
      <c r="A206" s="2" t="inlineStr"/>
      <c r="B206" s="2" t="n"/>
      <c r="C206" s="2" t="n"/>
    </row>
    <row r="207">
      <c r="A207" s="2" t="inlineStr"/>
      <c r="B207" s="2" t="n"/>
      <c r="C207" s="2" t="n"/>
    </row>
    <row r="208">
      <c r="A208" s="2" t="inlineStr"/>
      <c r="B208" s="2" t="n"/>
      <c r="C208" s="2" t="n"/>
    </row>
    <row r="209">
      <c r="A209" s="2" t="inlineStr"/>
      <c r="B209" s="2" t="n"/>
      <c r="C209" s="2" t="n"/>
    </row>
    <row r="210">
      <c r="A210" s="2" t="inlineStr"/>
      <c r="B210" s="2" t="n"/>
      <c r="C210" s="2" t="n"/>
    </row>
    <row r="211">
      <c r="A211" s="2" t="inlineStr"/>
      <c r="B211" s="2" t="n"/>
      <c r="C211" s="2" t="n"/>
    </row>
    <row r="212">
      <c r="A212" s="2" t="inlineStr"/>
      <c r="B212" s="2" t="n"/>
      <c r="C212" s="2" t="n"/>
    </row>
    <row r="213">
      <c r="A213" s="2" t="inlineStr"/>
      <c r="B213" s="2" t="n"/>
      <c r="C213" s="2" t="n"/>
    </row>
    <row r="214">
      <c r="A214" s="2" t="inlineStr"/>
      <c r="B214" s="2" t="n"/>
      <c r="C214" s="2" t="n"/>
    </row>
    <row r="215">
      <c r="A215" s="2" t="inlineStr"/>
      <c r="B215" s="2" t="n"/>
      <c r="C215" s="2" t="n"/>
    </row>
    <row r="216">
      <c r="A216" s="2" t="inlineStr"/>
      <c r="B216" s="2" t="n"/>
      <c r="C216" s="2" t="n"/>
    </row>
    <row r="217">
      <c r="A217" s="2" t="inlineStr"/>
      <c r="B217" s="2" t="n"/>
      <c r="C217" s="2" t="n"/>
    </row>
    <row r="218">
      <c r="A218" s="2" t="inlineStr"/>
      <c r="B218" s="2" t="n"/>
      <c r="C218" s="2" t="n"/>
    </row>
    <row r="219">
      <c r="A219" s="2" t="inlineStr"/>
      <c r="B219" s="2" t="n"/>
      <c r="C219" s="2" t="n"/>
    </row>
    <row r="220">
      <c r="A220" s="2" t="inlineStr"/>
      <c r="B220" s="2" t="n"/>
      <c r="C220" s="2" t="n"/>
    </row>
    <row r="221">
      <c r="A221" s="2" t="inlineStr"/>
      <c r="B221" s="2" t="n"/>
      <c r="C221" s="2" t="n"/>
    </row>
    <row r="222">
      <c r="A222" s="2" t="inlineStr"/>
      <c r="B222" s="2" t="n"/>
      <c r="C222" s="2" t="n"/>
    </row>
    <row r="223">
      <c r="A223" s="2" t="inlineStr"/>
      <c r="B223" s="2" t="n"/>
      <c r="C223" s="2" t="n"/>
    </row>
    <row r="224">
      <c r="A224" s="2" t="inlineStr"/>
      <c r="B224" s="2" t="n"/>
      <c r="C224" s="2" t="n"/>
    </row>
    <row r="225">
      <c r="A225" s="2" t="inlineStr"/>
      <c r="B225" s="2" t="n"/>
      <c r="C225" s="2" t="n"/>
    </row>
    <row r="226">
      <c r="A226" s="2" t="inlineStr"/>
      <c r="B226" s="2" t="n"/>
      <c r="C226" s="2" t="n"/>
    </row>
    <row r="227">
      <c r="A227" s="2" t="inlineStr"/>
      <c r="B227" s="2" t="n"/>
      <c r="C227" s="2" t="n"/>
    </row>
    <row r="228">
      <c r="A228" s="2" t="inlineStr"/>
      <c r="B228" s="2" t="n"/>
      <c r="C228" s="2" t="n"/>
    </row>
    <row r="229">
      <c r="A229" s="2" t="inlineStr"/>
      <c r="B229" s="2" t="n"/>
      <c r="C229" s="2" t="n"/>
    </row>
    <row r="230">
      <c r="A230" s="2" t="inlineStr"/>
      <c r="B230" s="2" t="n"/>
      <c r="C230" s="2" t="n"/>
    </row>
    <row r="231">
      <c r="A231" s="2" t="inlineStr"/>
      <c r="B231" s="2" t="n"/>
      <c r="C231" s="2" t="n"/>
    </row>
    <row r="232">
      <c r="A232" s="2" t="inlineStr"/>
      <c r="B232" s="2" t="n"/>
      <c r="C232" s="2" t="n"/>
    </row>
    <row r="233">
      <c r="A233" s="2" t="inlineStr"/>
      <c r="B233" s="2" t="n"/>
      <c r="C233" s="2" t="n"/>
    </row>
    <row r="234">
      <c r="A234" s="2" t="inlineStr"/>
      <c r="B234" s="2" t="n"/>
      <c r="C234" s="2" t="n"/>
    </row>
    <row r="235">
      <c r="A235" s="2" t="inlineStr"/>
      <c r="B235" s="2" t="n"/>
      <c r="C235" s="2" t="n"/>
    </row>
    <row r="236">
      <c r="A236" s="2" t="inlineStr"/>
      <c r="B236" s="2" t="n"/>
      <c r="C236" s="2" t="n"/>
    </row>
    <row r="237">
      <c r="A237" s="2" t="inlineStr"/>
      <c r="B237" s="2" t="n"/>
      <c r="C237" s="2" t="n"/>
    </row>
    <row r="238">
      <c r="A238" s="2" t="inlineStr"/>
      <c r="B238" s="2" t="n"/>
      <c r="C238" s="2" t="n"/>
    </row>
    <row r="239">
      <c r="A239" s="2" t="inlineStr"/>
      <c r="B239" s="2" t="n"/>
      <c r="C239" s="2" t="n"/>
    </row>
    <row r="240">
      <c r="A240" s="2" t="inlineStr"/>
      <c r="B240" s="2" t="n"/>
      <c r="C240" s="2" t="n"/>
    </row>
    <row r="241">
      <c r="A241" s="2" t="inlineStr"/>
      <c r="B241" s="2" t="n"/>
      <c r="C241" s="2" t="n"/>
    </row>
    <row r="242">
      <c r="A242" s="2" t="inlineStr"/>
      <c r="B242" s="2" t="n"/>
      <c r="C242" s="2" t="n"/>
    </row>
    <row r="243">
      <c r="A243" s="2" t="inlineStr"/>
      <c r="B243" s="2" t="n"/>
      <c r="C243" s="2" t="n"/>
    </row>
    <row r="244">
      <c r="A244" s="2" t="inlineStr"/>
      <c r="B244" s="2" t="n"/>
      <c r="C244" s="2" t="n"/>
    </row>
    <row r="245">
      <c r="A245" s="2" t="inlineStr"/>
      <c r="B245" s="2" t="n"/>
      <c r="C245" s="2" t="n"/>
    </row>
    <row r="246">
      <c r="A246" s="2" t="inlineStr"/>
      <c r="B246" s="2" t="n"/>
      <c r="C246" s="2" t="n"/>
    </row>
    <row r="247">
      <c r="A247" s="2" t="inlineStr"/>
      <c r="B247" s="2" t="n"/>
      <c r="C247" s="2" t="n"/>
    </row>
    <row r="248">
      <c r="A248" s="2" t="inlineStr"/>
      <c r="B248" s="2" t="n"/>
      <c r="C248" s="2" t="n"/>
    </row>
    <row r="249">
      <c r="A249" s="2" t="inlineStr"/>
      <c r="B249" s="2" t="n"/>
      <c r="C249" s="2" t="n"/>
    </row>
    <row r="250">
      <c r="A250" s="2" t="inlineStr"/>
      <c r="B250" s="2" t="n"/>
      <c r="C250" s="2" t="n"/>
    </row>
    <row r="251">
      <c r="A251" s="2" t="inlineStr"/>
      <c r="B251" s="2" t="n"/>
      <c r="C251" s="2" t="n"/>
    </row>
    <row r="252">
      <c r="A252" s="2" t="inlineStr"/>
      <c r="B252" s="2" t="n"/>
      <c r="C252" s="2" t="n"/>
    </row>
    <row r="253">
      <c r="A253" s="2" t="inlineStr"/>
      <c r="B253" s="2" t="n"/>
      <c r="C253" s="2" t="n"/>
    </row>
    <row r="254">
      <c r="A254" s="2" t="inlineStr"/>
      <c r="B254" s="2" t="n"/>
      <c r="C254" s="2" t="n"/>
    </row>
    <row r="255">
      <c r="A255" s="2" t="inlineStr"/>
      <c r="B255" s="2" t="n"/>
      <c r="C255" s="2" t="n"/>
    </row>
    <row r="256">
      <c r="A256" s="2" t="inlineStr"/>
      <c r="B256" s="2" t="n"/>
      <c r="C256" s="2" t="n"/>
    </row>
    <row r="257">
      <c r="A257" s="2" t="inlineStr"/>
      <c r="B257" s="2" t="n"/>
      <c r="C257" s="2" t="n"/>
    </row>
    <row r="258">
      <c r="A258" s="2" t="inlineStr"/>
      <c r="B258" s="2" t="n"/>
      <c r="C258" s="2" t="n"/>
    </row>
    <row r="259">
      <c r="A259" s="2" t="inlineStr"/>
      <c r="B259" s="2" t="n"/>
      <c r="C259" s="2" t="n"/>
    </row>
    <row r="260">
      <c r="A260" s="2" t="inlineStr"/>
      <c r="B260" s="2" t="n"/>
      <c r="C260" s="2" t="n"/>
    </row>
    <row r="261">
      <c r="A261" s="2" t="inlineStr"/>
      <c r="B261" s="2" t="n"/>
      <c r="C261" s="2" t="n"/>
    </row>
    <row r="262">
      <c r="A262" s="2" t="inlineStr"/>
      <c r="B262" s="2" t="n"/>
      <c r="C262" s="2" t="n"/>
    </row>
    <row r="263">
      <c r="A263" s="2" t="inlineStr"/>
      <c r="B263" s="2" t="n"/>
      <c r="C263" s="2" t="n"/>
    </row>
    <row r="264">
      <c r="A264" s="2" t="inlineStr"/>
      <c r="B264" s="2" t="n"/>
      <c r="C264" s="2" t="n"/>
    </row>
    <row r="265">
      <c r="A265" s="2" t="inlineStr"/>
      <c r="B265" s="2" t="n"/>
      <c r="C265" s="2" t="n"/>
    </row>
    <row r="266">
      <c r="A266" s="2" t="inlineStr"/>
      <c r="B266" s="2" t="n"/>
      <c r="C266" s="2" t="n"/>
    </row>
    <row r="267">
      <c r="A267" s="2" t="inlineStr"/>
      <c r="B267" s="2" t="n"/>
      <c r="C267" s="2" t="n"/>
    </row>
    <row r="268">
      <c r="A268" s="2" t="inlineStr"/>
      <c r="B268" s="2" t="n"/>
      <c r="C268" s="2" t="n"/>
    </row>
    <row r="269">
      <c r="A269" s="2" t="inlineStr"/>
      <c r="B269" s="2" t="n"/>
      <c r="C269" s="2" t="n"/>
    </row>
    <row r="270">
      <c r="A270" s="2" t="inlineStr"/>
      <c r="B270" s="2" t="n"/>
      <c r="C270" s="2" t="n"/>
    </row>
    <row r="271">
      <c r="A271" s="2" t="inlineStr"/>
      <c r="B271" s="2" t="n"/>
      <c r="C271" s="2" t="n"/>
    </row>
    <row r="272">
      <c r="A272" s="2" t="inlineStr"/>
      <c r="B272" s="2" t="n"/>
      <c r="C272" s="2" t="n"/>
    </row>
    <row r="273">
      <c r="A273" s="2" t="inlineStr"/>
      <c r="B273" s="2" t="n"/>
      <c r="C273" s="2" t="n"/>
    </row>
    <row r="274">
      <c r="A274" s="2" t="inlineStr"/>
      <c r="B274" s="2" t="n"/>
      <c r="C274" s="2" t="n"/>
    </row>
    <row r="275">
      <c r="A275" s="2" t="inlineStr"/>
      <c r="B275" s="2" t="n"/>
      <c r="C275" s="2" t="n"/>
    </row>
    <row r="276">
      <c r="A276" s="2" t="inlineStr"/>
      <c r="B276" s="2" t="n"/>
      <c r="C276" s="2" t="n"/>
    </row>
    <row r="277">
      <c r="A277" s="2" t="inlineStr"/>
      <c r="B277" s="2" t="n"/>
      <c r="C277" s="2" t="n"/>
    </row>
    <row r="278">
      <c r="A278" s="2" t="inlineStr"/>
      <c r="B278" s="2" t="n"/>
      <c r="C278" s="2" t="n"/>
    </row>
    <row r="279">
      <c r="A279" s="2" t="inlineStr"/>
      <c r="B279" s="2" t="n"/>
      <c r="C279" s="2" t="n"/>
    </row>
    <row r="280">
      <c r="A280" s="2" t="inlineStr"/>
      <c r="B280" s="2" t="n"/>
      <c r="C280" s="2" t="n"/>
    </row>
    <row r="281">
      <c r="A281" s="2" t="inlineStr"/>
      <c r="B281" s="2" t="n"/>
      <c r="C281" s="2" t="n"/>
    </row>
    <row r="282">
      <c r="A282" s="2" t="inlineStr"/>
      <c r="B282" s="2" t="n"/>
      <c r="C282" s="2" t="n"/>
    </row>
    <row r="283">
      <c r="A283" s="2" t="inlineStr"/>
      <c r="B283" s="2" t="n"/>
      <c r="C283" s="2" t="n"/>
    </row>
    <row r="284">
      <c r="A284" s="2" t="inlineStr"/>
      <c r="B284" s="2" t="n"/>
      <c r="C284" s="2" t="n"/>
    </row>
    <row r="285">
      <c r="A285" s="2" t="inlineStr"/>
      <c r="B285" s="2" t="n"/>
      <c r="C285" s="2" t="n"/>
    </row>
    <row r="286">
      <c r="A286" s="2" t="inlineStr"/>
      <c r="B286" s="2" t="n"/>
      <c r="C286" s="2" t="n"/>
    </row>
    <row r="287">
      <c r="A287" s="2" t="inlineStr"/>
      <c r="B287" s="2" t="n"/>
      <c r="C287" s="2" t="n"/>
    </row>
    <row r="288">
      <c r="A288" s="2" t="inlineStr"/>
      <c r="B288" s="2" t="n"/>
      <c r="C288" s="2" t="n"/>
    </row>
    <row r="289">
      <c r="A289" s="2" t="inlineStr"/>
      <c r="B289" s="2" t="n"/>
      <c r="C289" s="2" t="n"/>
    </row>
    <row r="290">
      <c r="A290" s="2" t="inlineStr"/>
      <c r="B290" s="2" t="n"/>
      <c r="C290" s="2" t="n"/>
    </row>
    <row r="291">
      <c r="A291" s="2" t="inlineStr"/>
      <c r="B291" s="2" t="n"/>
      <c r="C291" s="2" t="n"/>
    </row>
    <row r="292">
      <c r="A292" s="2" t="inlineStr"/>
      <c r="B292" s="2" t="n"/>
      <c r="C292" s="2" t="n"/>
    </row>
    <row r="293">
      <c r="A293" s="2" t="inlineStr"/>
      <c r="B293" s="2" t="n"/>
      <c r="C293" s="2" t="n"/>
    </row>
    <row r="294">
      <c r="A294" s="2" t="inlineStr"/>
      <c r="B294" s="2" t="n"/>
      <c r="C294" s="2" t="n"/>
    </row>
    <row r="295">
      <c r="A295" s="2" t="inlineStr"/>
      <c r="B295" s="2" t="n"/>
      <c r="C295" s="2" t="n"/>
    </row>
    <row r="296">
      <c r="A296" s="2" t="inlineStr"/>
      <c r="B296" s="2" t="n"/>
      <c r="C296" s="2" t="n"/>
    </row>
    <row r="297">
      <c r="A297" s="2" t="inlineStr"/>
      <c r="B297" s="2" t="n"/>
      <c r="C297" s="2" t="n"/>
    </row>
    <row r="298">
      <c r="A298" s="2" t="inlineStr"/>
      <c r="B298" s="2" t="n"/>
      <c r="C298" s="2" t="n"/>
    </row>
    <row r="299">
      <c r="A299" s="2" t="inlineStr"/>
      <c r="B299" s="2" t="n"/>
      <c r="C299" s="2" t="n"/>
    </row>
    <row r="300">
      <c r="A300" s="2" t="inlineStr"/>
      <c r="B300" s="2" t="n"/>
      <c r="C300" s="2" t="n"/>
    </row>
    <row r="301">
      <c r="A301" s="2" t="inlineStr"/>
      <c r="B301" s="2" t="n"/>
      <c r="C301" s="2" t="n"/>
    </row>
    <row r="302">
      <c r="A302" s="2" t="inlineStr"/>
      <c r="B302" s="2" t="n"/>
      <c r="C302" s="2" t="n"/>
    </row>
    <row r="303">
      <c r="A303" s="2" t="inlineStr"/>
      <c r="B303" s="2" t="n"/>
      <c r="C303" s="2" t="n"/>
    </row>
    <row r="304">
      <c r="A304" s="2" t="inlineStr"/>
      <c r="B304" s="2" t="n"/>
      <c r="C304" s="2" t="n"/>
    </row>
    <row r="305">
      <c r="A305" s="2" t="inlineStr"/>
      <c r="B305" s="2" t="n"/>
      <c r="C305" s="2" t="n"/>
    </row>
    <row r="306">
      <c r="A306" s="2" t="inlineStr"/>
      <c r="B306" s="2" t="n"/>
      <c r="C306" s="2" t="n"/>
    </row>
    <row r="307">
      <c r="A307" s="2" t="inlineStr"/>
      <c r="B307" s="2" t="n"/>
      <c r="C307" s="2" t="n"/>
    </row>
    <row r="308">
      <c r="A308" s="2" t="inlineStr"/>
      <c r="B308" s="2" t="n"/>
      <c r="C308" s="2" t="n"/>
    </row>
    <row r="309">
      <c r="A309" s="2" t="inlineStr"/>
      <c r="B309" s="2" t="n"/>
      <c r="C309" s="2" t="n"/>
    </row>
    <row r="310">
      <c r="A310" s="2" t="inlineStr"/>
      <c r="B310" s="2" t="n"/>
      <c r="C310" s="2" t="n"/>
    </row>
    <row r="311">
      <c r="A311" s="2" t="inlineStr"/>
      <c r="B311" s="2" t="n"/>
      <c r="C311" s="2" t="n"/>
    </row>
    <row r="312">
      <c r="A312" s="2" t="inlineStr"/>
      <c r="B312" s="2" t="n"/>
      <c r="C312" s="2" t="n"/>
    </row>
    <row r="313">
      <c r="A313" s="2" t="inlineStr"/>
      <c r="B313" s="2" t="n"/>
      <c r="C313" s="2" t="n"/>
    </row>
    <row r="314">
      <c r="A314" s="2" t="inlineStr"/>
      <c r="B314" s="2" t="n"/>
      <c r="C314" s="2" t="n"/>
    </row>
    <row r="315">
      <c r="A315" s="2" t="inlineStr"/>
      <c r="B315" s="2" t="n"/>
      <c r="C315" s="2" t="n"/>
    </row>
    <row r="316">
      <c r="A316" s="2" t="inlineStr"/>
      <c r="B316" s="2" t="n"/>
      <c r="C316" s="2" t="n"/>
    </row>
    <row r="317">
      <c r="A317" s="2" t="inlineStr"/>
      <c r="B317" s="2" t="n"/>
      <c r="C317" s="2" t="n"/>
    </row>
    <row r="318">
      <c r="A318" s="2" t="inlineStr"/>
      <c r="B318" s="2" t="n"/>
      <c r="C318" s="2" t="n"/>
    </row>
    <row r="319">
      <c r="A319" s="2" t="inlineStr"/>
      <c r="B319" s="2" t="n"/>
      <c r="C319" s="2" t="n"/>
    </row>
    <row r="320">
      <c r="A320" s="2" t="inlineStr"/>
      <c r="B320" s="2" t="n"/>
      <c r="C320" s="2" t="n"/>
    </row>
    <row r="321">
      <c r="A321" s="2" t="inlineStr"/>
      <c r="B321" s="2" t="n"/>
      <c r="C321" s="2" t="n"/>
    </row>
    <row r="322">
      <c r="A322" s="2" t="inlineStr"/>
      <c r="B322" s="2" t="n"/>
      <c r="C322" s="2" t="n"/>
    </row>
    <row r="323">
      <c r="A323" s="2" t="inlineStr"/>
      <c r="B323" s="2" t="n"/>
      <c r="C323" s="2" t="n"/>
    </row>
    <row r="324">
      <c r="A324" s="2" t="inlineStr"/>
      <c r="B324" s="2" t="n"/>
      <c r="C324" s="2" t="n"/>
    </row>
    <row r="325">
      <c r="A325" s="2" t="inlineStr"/>
      <c r="B325" s="2" t="n"/>
      <c r="C325" s="2" t="n"/>
    </row>
    <row r="326">
      <c r="A326" s="2" t="inlineStr"/>
      <c r="B326" s="2" t="n"/>
      <c r="C326" s="2" t="n"/>
    </row>
    <row r="327">
      <c r="A327" s="2" t="inlineStr"/>
      <c r="B327" s="2" t="n"/>
      <c r="C327" s="2" t="n"/>
    </row>
    <row r="328">
      <c r="A328" s="2" t="inlineStr"/>
      <c r="B328" s="2" t="n"/>
      <c r="C328" s="2" t="n"/>
    </row>
    <row r="329">
      <c r="A329" s="2" t="inlineStr"/>
      <c r="B329" s="2" t="n"/>
      <c r="C329" s="2" t="n"/>
    </row>
    <row r="330">
      <c r="A330" s="2" t="inlineStr"/>
      <c r="B330" s="2" t="n"/>
      <c r="C330" s="2" t="n"/>
    </row>
    <row r="331">
      <c r="A331" s="2" t="inlineStr"/>
      <c r="B331" s="2" t="n"/>
      <c r="C331" s="2" t="n"/>
    </row>
    <row r="332">
      <c r="A332" s="2" t="inlineStr"/>
      <c r="B332" s="2" t="n"/>
      <c r="C332" s="2" t="n"/>
    </row>
    <row r="333">
      <c r="A333" s="2" t="inlineStr"/>
      <c r="B333" s="2" t="n"/>
      <c r="C333" s="2" t="n"/>
    </row>
    <row r="334">
      <c r="A334" s="2" t="inlineStr"/>
      <c r="B334" s="2" t="n"/>
      <c r="C334" s="2" t="n"/>
    </row>
    <row r="335">
      <c r="A335" s="2" t="inlineStr"/>
      <c r="B335" s="2" t="n"/>
      <c r="C335" s="2" t="n"/>
    </row>
    <row r="336">
      <c r="A336" s="2" t="inlineStr"/>
      <c r="B336" s="2" t="n"/>
      <c r="C336" s="2" t="n"/>
    </row>
    <row r="337">
      <c r="A337" s="2" t="inlineStr"/>
      <c r="B337" s="2" t="n"/>
      <c r="C337" s="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EmployeeID</t>
        </is>
      </c>
      <c r="B1" s="1" t="inlineStr">
        <is>
          <t>Name</t>
        </is>
      </c>
      <c r="C1" s="1" t="inlineStr">
        <is>
          <t>OperationalDate</t>
        </is>
      </c>
      <c r="D1" s="1" t="inlineStr">
        <is>
          <t>ShiftStart</t>
        </is>
      </c>
      <c r="E1" s="1" t="inlineStr">
        <is>
          <t>ShiftEnd</t>
        </is>
      </c>
      <c r="F1" s="1" t="inlineStr">
        <is>
          <t>ActivityCode</t>
        </is>
      </c>
      <c r="G1" s="1" t="inlineStr">
        <is>
          <t>ContractualHours</t>
        </is>
      </c>
      <c r="H1" s="1" t="inlineStr">
        <is>
          <t>CurrentShift</t>
        </is>
      </c>
      <c r="I1" s="1" t="inlineStr">
        <is>
          <t>Notes</t>
        </is>
      </c>
      <c r="J1" s="1" t="inlineStr">
        <is>
          <t>ValidationState</t>
        </is>
      </c>
      <c r="K1" s="1" t="inlineStr">
        <is>
          <t>SourceRowID</t>
        </is>
      </c>
    </row>
    <row r="2">
      <c r="A2" s="2" t="inlineStr">
        <is>
          <t>E001</t>
        </is>
      </c>
      <c r="B2" s="2" t="inlineStr">
        <is>
          <t>Avery Chen</t>
        </is>
      </c>
      <c r="C2" s="4" t="n">
        <v>46184</v>
      </c>
      <c r="D2" s="5" t="n">
        <v>46184.34375</v>
      </c>
      <c r="E2" s="5" t="n">
        <v>46184.70833333334</v>
      </c>
      <c r="F2" s="2" t="inlineStr">
        <is>
          <t>OWD</t>
        </is>
      </c>
      <c r="G2" s="2" t="n">
        <v>8</v>
      </c>
      <c r="H2" s="2" t="inlineStr">
        <is>
          <t>OWD</t>
        </is>
      </c>
      <c r="I2" s="2" t="inlineStr">
        <is>
          <t>Partial first interval</t>
        </is>
      </c>
      <c r="J2" s="2">
        <f>IF(COUNTA($A2:$F2)=0,"",IF($C2="","MissingDate",IF(OR($A2="",$D2="",$E2="",$D2=$E2),"InvalidSchedule",IF(COUNTIF(ActiveActivityCodes,$F2)=0,"InvalidCode",IF(COUNTIFS(tblScheduleData[EmployeeID],$A2,tblScheduleData[OperationalDate],$C2,tblScheduleData[ShiftStart],$D2,tblScheduleData[ShiftEnd],$E2,tblScheduleData[ActivityCode],$F2)&gt;1,"Duplicate","Valid")))))</f>
        <v/>
      </c>
      <c r="K2" s="2" t="n">
        <v>1</v>
      </c>
    </row>
    <row r="3">
      <c r="A3" s="2" t="inlineStr">
        <is>
          <t>E002</t>
        </is>
      </c>
      <c r="B3" s="2" t="inlineStr">
        <is>
          <t>Blake Diaz</t>
        </is>
      </c>
      <c r="C3" s="4" t="n">
        <v>46184</v>
      </c>
      <c r="D3" s="5" t="n">
        <v>46184.98958333334</v>
      </c>
      <c r="E3" s="5" t="n">
        <v>46185.09375</v>
      </c>
      <c r="F3" s="2" t="inlineStr">
        <is>
          <t>OWD</t>
        </is>
      </c>
      <c r="G3" s="2" t="n">
        <v>8</v>
      </c>
      <c r="H3" s="2" t="inlineStr">
        <is>
          <t>OWD</t>
        </is>
      </c>
      <c r="I3" s="2" t="inlineStr">
        <is>
          <t>Overnight</t>
        </is>
      </c>
      <c r="J3" s="2">
        <f>IF(COUNTA($A3:$F3)=0,"",IF($C3="","MissingDate",IF(OR($A3="",$D3="",$E3="",$D3=$E3),"InvalidSchedule",IF(COUNTIF(ActiveActivityCodes,$F3)=0,"InvalidCode",IF(COUNTIFS(tblScheduleData[EmployeeID],$A3,tblScheduleData[OperationalDate],$C3,tblScheduleData[ShiftStart],$D3,tblScheduleData[ShiftEnd],$E3,tblScheduleData[ActivityCode],$F3)&gt;1,"Duplicate","Valid")))))</f>
        <v/>
      </c>
      <c r="K3" s="2" t="n">
        <v>2</v>
      </c>
    </row>
    <row r="4">
      <c r="A4" s="2" t="inlineStr">
        <is>
          <t>E003</t>
        </is>
      </c>
      <c r="B4" s="2" t="inlineStr">
        <is>
          <t>Casey Singh</t>
        </is>
      </c>
      <c r="C4" s="4" t="n">
        <v>46184</v>
      </c>
      <c r="D4" s="5" t="n">
        <v>46184.5</v>
      </c>
      <c r="E4" s="5" t="n">
        <v>46184.52083333334</v>
      </c>
      <c r="F4" s="2" t="inlineStr">
        <is>
          <t>Lch</t>
        </is>
      </c>
      <c r="G4" s="2" t="n">
        <v>8</v>
      </c>
      <c r="H4" s="2" t="inlineStr">
        <is>
          <t>Lch</t>
        </is>
      </c>
      <c r="I4" s="2" t="inlineStr">
        <is>
          <t>Nonproductive</t>
        </is>
      </c>
      <c r="J4" s="2">
        <f>IF(COUNTA($A4:$F4)=0,"",IF($C4="","MissingDate",IF(OR($A4="",$D4="",$E4="",$D4=$E4),"InvalidSchedule",IF(COUNTIF(ActiveActivityCodes,$F4)=0,"InvalidCode",IF(COUNTIFS(tblScheduleData[EmployeeID],$A4,tblScheduleData[OperationalDate],$C4,tblScheduleData[ShiftStart],$D4,tblScheduleData[ShiftEnd],$E4,tblScheduleData[ActivityCode],$F4)&gt;1,"Duplicate","Valid")))))</f>
        <v/>
      </c>
      <c r="K4" s="2" t="n">
        <v>3</v>
      </c>
    </row>
    <row r="5">
      <c r="A5" s="2" t="inlineStr"/>
      <c r="B5" s="2" t="n"/>
      <c r="C5" s="2" t="n"/>
      <c r="D5" s="2" t="n"/>
      <c r="E5" s="2" t="n"/>
      <c r="F5" s="2" t="n"/>
      <c r="G5" s="2" t="n"/>
      <c r="H5" s="2" t="n"/>
      <c r="I5" s="2" t="n"/>
      <c r="J5" s="2">
        <f>IF(COUNTA($A5:$F5)=0,"",IF($C5="","MissingDate",IF(OR($A5="",$D5="",$E5="",$D5=$E5),"InvalidSchedule",IF(COUNTIF(ActiveActivityCodes,$F5)=0,"InvalidCode",IF(COUNTIFS(tblScheduleData[EmployeeID],$A5,tblScheduleData[OperationalDate],$C5,tblScheduleData[ShiftStart],$D5,tblScheduleData[ShiftEnd],$E5,tblScheduleData[ActivityCode],$F5)&gt;1,"Duplicate","Valid")))))</f>
        <v/>
      </c>
      <c r="K5" s="2" t="n"/>
    </row>
    <row r="6">
      <c r="A6" s="2" t="inlineStr"/>
      <c r="B6" s="2" t="n"/>
      <c r="C6" s="2" t="n"/>
      <c r="D6" s="2" t="n"/>
      <c r="E6" s="2" t="n"/>
      <c r="F6" s="2" t="n"/>
      <c r="G6" s="2" t="n"/>
      <c r="H6" s="2" t="n"/>
      <c r="I6" s="2" t="n"/>
      <c r="J6" s="2">
        <f>IF(COUNTA($A6:$F6)=0,"",IF($C6="","MissingDate",IF(OR($A6="",$D6="",$E6="",$D6=$E6),"InvalidSchedule",IF(COUNTIF(ActiveActivityCodes,$F6)=0,"InvalidCode",IF(COUNTIFS(tblScheduleData[EmployeeID],$A6,tblScheduleData[OperationalDate],$C6,tblScheduleData[ShiftStart],$D6,tblScheduleData[ShiftEnd],$E6,tblScheduleData[ActivityCode],$F6)&gt;1,"Duplicate","Valid")))))</f>
        <v/>
      </c>
      <c r="K6" s="2" t="n"/>
    </row>
    <row r="7">
      <c r="A7" s="2" t="inlineStr"/>
      <c r="B7" s="2" t="n"/>
      <c r="C7" s="2" t="n"/>
      <c r="D7" s="2" t="n"/>
      <c r="E7" s="2" t="n"/>
      <c r="F7" s="2" t="n"/>
      <c r="G7" s="2" t="n"/>
      <c r="H7" s="2" t="n"/>
      <c r="I7" s="2" t="n"/>
      <c r="J7" s="2">
        <f>IF(COUNTA($A7:$F7)=0,"",IF($C7="","MissingDate",IF(OR($A7="",$D7="",$E7="",$D7=$E7),"InvalidSchedule",IF(COUNTIF(ActiveActivityCodes,$F7)=0,"InvalidCode",IF(COUNTIFS(tblScheduleData[EmployeeID],$A7,tblScheduleData[OperationalDate],$C7,tblScheduleData[ShiftStart],$D7,tblScheduleData[ShiftEnd],$E7,tblScheduleData[ActivityCode],$F7)&gt;1,"Duplicate","Valid")))))</f>
        <v/>
      </c>
      <c r="K7" s="2" t="n"/>
    </row>
    <row r="8">
      <c r="A8" s="2" t="inlineStr"/>
      <c r="B8" s="2" t="n"/>
      <c r="C8" s="2" t="n"/>
      <c r="D8" s="2" t="n"/>
      <c r="E8" s="2" t="n"/>
      <c r="F8" s="2" t="n"/>
      <c r="G8" s="2" t="n"/>
      <c r="H8" s="2" t="n"/>
      <c r="I8" s="2" t="n"/>
      <c r="J8" s="2">
        <f>IF(COUNTA($A8:$F8)=0,"",IF($C8="","MissingDate",IF(OR($A8="",$D8="",$E8="",$D8=$E8),"InvalidSchedule",IF(COUNTIF(ActiveActivityCodes,$F8)=0,"InvalidCode",IF(COUNTIFS(tblScheduleData[EmployeeID],$A8,tblScheduleData[OperationalDate],$C8,tblScheduleData[ShiftStart],$D8,tblScheduleData[ShiftEnd],$E8,tblScheduleData[ActivityCode],$F8)&gt;1,"Duplicate","Valid")))))</f>
        <v/>
      </c>
      <c r="K8" s="2" t="n"/>
    </row>
    <row r="9">
      <c r="A9" s="2" t="inlineStr"/>
      <c r="B9" s="2" t="n"/>
      <c r="C9" s="2" t="n"/>
      <c r="D9" s="2" t="n"/>
      <c r="E9" s="2" t="n"/>
      <c r="F9" s="2" t="n"/>
      <c r="G9" s="2" t="n"/>
      <c r="H9" s="2" t="n"/>
      <c r="I9" s="2" t="n"/>
      <c r="J9" s="2">
        <f>IF(COUNTA($A9:$F9)=0,"",IF($C9="","MissingDate",IF(OR($A9="",$D9="",$E9="",$D9=$E9),"InvalidSchedule",IF(COUNTIF(ActiveActivityCodes,$F9)=0,"InvalidCode",IF(COUNTIFS(tblScheduleData[EmployeeID],$A9,tblScheduleData[OperationalDate],$C9,tblScheduleData[ShiftStart],$D9,tblScheduleData[ShiftEnd],$E9,tblScheduleData[ActivityCode],$F9)&gt;1,"Duplicate","Valid")))))</f>
        <v/>
      </c>
      <c r="K9" s="2" t="n"/>
    </row>
    <row r="10">
      <c r="A10" s="2" t="inlineStr"/>
      <c r="B10" s="2" t="n"/>
      <c r="C10" s="2" t="n"/>
      <c r="D10" s="2" t="n"/>
      <c r="E10" s="2" t="n"/>
      <c r="F10" s="2" t="n"/>
      <c r="G10" s="2" t="n"/>
      <c r="H10" s="2" t="n"/>
      <c r="I10" s="2" t="n"/>
      <c r="J10" s="2">
        <f>IF(COUNTA($A10:$F10)=0,"",IF($C10="","MissingDate",IF(OR($A10="",$D10="",$E10="",$D10=$E10),"InvalidSchedule",IF(COUNTIF(ActiveActivityCodes,$F10)=0,"InvalidCode",IF(COUNTIFS(tblScheduleData[EmployeeID],$A10,tblScheduleData[OperationalDate],$C10,tblScheduleData[ShiftStart],$D10,tblScheduleData[ShiftEnd],$E10,tblScheduleData[ActivityCode],$F10)&gt;1,"Duplicate","Valid")))))</f>
        <v/>
      </c>
      <c r="K10" s="2" t="n"/>
    </row>
    <row r="11">
      <c r="A11" s="2" t="inlineStr"/>
      <c r="B11" s="2" t="n"/>
      <c r="C11" s="2" t="n"/>
      <c r="D11" s="2" t="n"/>
      <c r="E11" s="2" t="n"/>
      <c r="F11" s="2" t="n"/>
      <c r="G11" s="2" t="n"/>
      <c r="H11" s="2" t="n"/>
      <c r="I11" s="2" t="n"/>
      <c r="J11" s="2">
        <f>IF(COUNTA($A11:$F11)=0,"",IF($C11="","MissingDate",IF(OR($A11="",$D11="",$E11="",$D11=$E11),"InvalidSchedule",IF(COUNTIF(ActiveActivityCodes,$F11)=0,"InvalidCode",IF(COUNTIFS(tblScheduleData[EmployeeID],$A11,tblScheduleData[OperationalDate],$C11,tblScheduleData[ShiftStart],$D11,tblScheduleData[ShiftEnd],$E11,tblScheduleData[ActivityCode],$F11)&gt;1,"Duplicate","Valid")))))</f>
        <v/>
      </c>
      <c r="K11" s="2" t="n"/>
    </row>
    <row r="12">
      <c r="A12" s="2" t="inlineStr"/>
      <c r="B12" s="2" t="n"/>
      <c r="C12" s="2" t="n"/>
      <c r="D12" s="2" t="n"/>
      <c r="E12" s="2" t="n"/>
      <c r="F12" s="2" t="n"/>
      <c r="G12" s="2" t="n"/>
      <c r="H12" s="2" t="n"/>
      <c r="I12" s="2" t="n"/>
      <c r="J12" s="2">
        <f>IF(COUNTA($A12:$F12)=0,"",IF($C12="","MissingDate",IF(OR($A12="",$D12="",$E12="",$D12=$E12),"InvalidSchedule",IF(COUNTIF(ActiveActivityCodes,$F12)=0,"InvalidCode",IF(COUNTIFS(tblScheduleData[EmployeeID],$A12,tblScheduleData[OperationalDate],$C12,tblScheduleData[ShiftStart],$D12,tblScheduleData[ShiftEnd],$E12,tblScheduleData[ActivityCode],$F12)&gt;1,"Duplicate","Valid")))))</f>
        <v/>
      </c>
      <c r="K12" s="2" t="n"/>
    </row>
    <row r="13">
      <c r="A13" s="2" t="inlineStr"/>
      <c r="B13" s="2" t="n"/>
      <c r="C13" s="2" t="n"/>
      <c r="D13" s="2" t="n"/>
      <c r="E13" s="2" t="n"/>
      <c r="F13" s="2" t="n"/>
      <c r="G13" s="2" t="n"/>
      <c r="H13" s="2" t="n"/>
      <c r="I13" s="2" t="n"/>
      <c r="J13" s="2">
        <f>IF(COUNTA($A13:$F13)=0,"",IF($C13="","MissingDate",IF(OR($A13="",$D13="",$E13="",$D13=$E13),"InvalidSchedule",IF(COUNTIF(ActiveActivityCodes,$F13)=0,"InvalidCode",IF(COUNTIFS(tblScheduleData[EmployeeID],$A13,tblScheduleData[OperationalDate],$C13,tblScheduleData[ShiftStart],$D13,tblScheduleData[ShiftEnd],$E13,tblScheduleData[ActivityCode],$F13)&gt;1,"Duplicate","Valid")))))</f>
        <v/>
      </c>
      <c r="K13" s="2" t="n"/>
    </row>
    <row r="14">
      <c r="A14" s="2" t="inlineStr"/>
      <c r="B14" s="2" t="n"/>
      <c r="C14" s="2" t="n"/>
      <c r="D14" s="2" t="n"/>
      <c r="E14" s="2" t="n"/>
      <c r="F14" s="2" t="n"/>
      <c r="G14" s="2" t="n"/>
      <c r="H14" s="2" t="n"/>
      <c r="I14" s="2" t="n"/>
      <c r="J14" s="2">
        <f>IF(COUNTA($A14:$F14)=0,"",IF($C14="","MissingDate",IF(OR($A14="",$D14="",$E14="",$D14=$E14),"InvalidSchedule",IF(COUNTIF(ActiveActivityCodes,$F14)=0,"InvalidCode",IF(COUNTIFS(tblScheduleData[EmployeeID],$A14,tblScheduleData[OperationalDate],$C14,tblScheduleData[ShiftStart],$D14,tblScheduleData[ShiftEnd],$E14,tblScheduleData[ActivityCode],$F14)&gt;1,"Duplicate","Valid")))))</f>
        <v/>
      </c>
      <c r="K14" s="2" t="n"/>
    </row>
    <row r="15">
      <c r="A15" s="2" t="inlineStr"/>
      <c r="B15" s="2" t="n"/>
      <c r="C15" s="2" t="n"/>
      <c r="D15" s="2" t="n"/>
      <c r="E15" s="2" t="n"/>
      <c r="F15" s="2" t="n"/>
      <c r="G15" s="2" t="n"/>
      <c r="H15" s="2" t="n"/>
      <c r="I15" s="2" t="n"/>
      <c r="J15" s="2">
        <f>IF(COUNTA($A15:$F15)=0,"",IF($C15="","MissingDate",IF(OR($A15="",$D15="",$E15="",$D15=$E15),"InvalidSchedule",IF(COUNTIF(ActiveActivityCodes,$F15)=0,"InvalidCode",IF(COUNTIFS(tblScheduleData[EmployeeID],$A15,tblScheduleData[OperationalDate],$C15,tblScheduleData[ShiftStart],$D15,tblScheduleData[ShiftEnd],$E15,tblScheduleData[ActivityCode],$F15)&gt;1,"Duplicate","Valid")))))</f>
        <v/>
      </c>
      <c r="K15" s="2" t="n"/>
    </row>
    <row r="16">
      <c r="A16" s="2" t="inlineStr"/>
      <c r="B16" s="2" t="n"/>
      <c r="C16" s="2" t="n"/>
      <c r="D16" s="2" t="n"/>
      <c r="E16" s="2" t="n"/>
      <c r="F16" s="2" t="n"/>
      <c r="G16" s="2" t="n"/>
      <c r="H16" s="2" t="n"/>
      <c r="I16" s="2" t="n"/>
      <c r="J16" s="2">
        <f>IF(COUNTA($A16:$F16)=0,"",IF($C16="","MissingDate",IF(OR($A16="",$D16="",$E16="",$D16=$E16),"InvalidSchedule",IF(COUNTIF(ActiveActivityCodes,$F16)=0,"InvalidCode",IF(COUNTIFS(tblScheduleData[EmployeeID],$A16,tblScheduleData[OperationalDate],$C16,tblScheduleData[ShiftStart],$D16,tblScheduleData[ShiftEnd],$E16,tblScheduleData[ActivityCode],$F16)&gt;1,"Duplicate","Valid")))))</f>
        <v/>
      </c>
      <c r="K16" s="2" t="n"/>
    </row>
    <row r="17">
      <c r="A17" s="2" t="inlineStr"/>
      <c r="B17" s="2" t="n"/>
      <c r="C17" s="2" t="n"/>
      <c r="D17" s="2" t="n"/>
      <c r="E17" s="2" t="n"/>
      <c r="F17" s="2" t="n"/>
      <c r="G17" s="2" t="n"/>
      <c r="H17" s="2" t="n"/>
      <c r="I17" s="2" t="n"/>
      <c r="J17" s="2">
        <f>IF(COUNTA($A17:$F17)=0,"",IF($C17="","MissingDate",IF(OR($A17="",$D17="",$E17="",$D17=$E17),"InvalidSchedule",IF(COUNTIF(ActiveActivityCodes,$F17)=0,"InvalidCode",IF(COUNTIFS(tblScheduleData[EmployeeID],$A17,tblScheduleData[OperationalDate],$C17,tblScheduleData[ShiftStart],$D17,tblScheduleData[ShiftEnd],$E17,tblScheduleData[ActivityCode],$F17)&gt;1,"Duplicate","Valid")))))</f>
        <v/>
      </c>
      <c r="K17" s="2" t="n"/>
    </row>
    <row r="18">
      <c r="A18" s="2" t="inlineStr"/>
      <c r="B18" s="2" t="n"/>
      <c r="C18" s="2" t="n"/>
      <c r="D18" s="2" t="n"/>
      <c r="E18" s="2" t="n"/>
      <c r="F18" s="2" t="n"/>
      <c r="G18" s="2" t="n"/>
      <c r="H18" s="2" t="n"/>
      <c r="I18" s="2" t="n"/>
      <c r="J18" s="2">
        <f>IF(COUNTA($A18:$F18)=0,"",IF($C18="","MissingDate",IF(OR($A18="",$D18="",$E18="",$D18=$E18),"InvalidSchedule",IF(COUNTIF(ActiveActivityCodes,$F18)=0,"InvalidCode",IF(COUNTIFS(tblScheduleData[EmployeeID],$A18,tblScheduleData[OperationalDate],$C18,tblScheduleData[ShiftStart],$D18,tblScheduleData[ShiftEnd],$E18,tblScheduleData[ActivityCode],$F18)&gt;1,"Duplicate","Valid")))))</f>
        <v/>
      </c>
      <c r="K18" s="2" t="n"/>
    </row>
    <row r="19">
      <c r="A19" s="2" t="inlineStr"/>
      <c r="B19" s="2" t="n"/>
      <c r="C19" s="2" t="n"/>
      <c r="D19" s="2" t="n"/>
      <c r="E19" s="2" t="n"/>
      <c r="F19" s="2" t="n"/>
      <c r="G19" s="2" t="n"/>
      <c r="H19" s="2" t="n"/>
      <c r="I19" s="2" t="n"/>
      <c r="J19" s="2">
        <f>IF(COUNTA($A19:$F19)=0,"",IF($C19="","MissingDate",IF(OR($A19="",$D19="",$E19="",$D19=$E19),"InvalidSchedule",IF(COUNTIF(ActiveActivityCodes,$F19)=0,"InvalidCode",IF(COUNTIFS(tblScheduleData[EmployeeID],$A19,tblScheduleData[OperationalDate],$C19,tblScheduleData[ShiftStart],$D19,tblScheduleData[ShiftEnd],$E19,tblScheduleData[ActivityCode],$F19)&gt;1,"Duplicate","Valid")))))</f>
        <v/>
      </c>
      <c r="K19" s="2" t="n"/>
    </row>
    <row r="20">
      <c r="A20" s="2" t="inlineStr"/>
      <c r="B20" s="2" t="n"/>
      <c r="C20" s="2" t="n"/>
      <c r="D20" s="2" t="n"/>
      <c r="E20" s="2" t="n"/>
      <c r="F20" s="2" t="n"/>
      <c r="G20" s="2" t="n"/>
      <c r="H20" s="2" t="n"/>
      <c r="I20" s="2" t="n"/>
      <c r="J20" s="2">
        <f>IF(COUNTA($A20:$F20)=0,"",IF($C20="","MissingDate",IF(OR($A20="",$D20="",$E20="",$D20=$E20),"InvalidSchedule",IF(COUNTIF(ActiveActivityCodes,$F20)=0,"InvalidCode",IF(COUNTIFS(tblScheduleData[EmployeeID],$A20,tblScheduleData[OperationalDate],$C20,tblScheduleData[ShiftStart],$D20,tblScheduleData[ShiftEnd],$E20,tblScheduleData[ActivityCode],$F20)&gt;1,"Duplicate","Valid")))))</f>
        <v/>
      </c>
      <c r="K20" s="2" t="n"/>
    </row>
    <row r="21">
      <c r="A21" s="2" t="inlineStr"/>
      <c r="B21" s="2" t="n"/>
      <c r="C21" s="2" t="n"/>
      <c r="D21" s="2" t="n"/>
      <c r="E21" s="2" t="n"/>
      <c r="F21" s="2" t="n"/>
      <c r="G21" s="2" t="n"/>
      <c r="H21" s="2" t="n"/>
      <c r="I21" s="2" t="n"/>
      <c r="J21" s="2">
        <f>IF(COUNTA($A21:$F21)=0,"",IF($C21="","MissingDate",IF(OR($A21="",$D21="",$E21="",$D21=$E21),"InvalidSchedule",IF(COUNTIF(ActiveActivityCodes,$F21)=0,"InvalidCode",IF(COUNTIFS(tblScheduleData[EmployeeID],$A21,tblScheduleData[OperationalDate],$C21,tblScheduleData[ShiftStart],$D21,tblScheduleData[ShiftEnd],$E21,tblScheduleData[ActivityCode],$F21)&gt;1,"Duplicate","Valid")))))</f>
        <v/>
      </c>
      <c r="K21" s="2" t="n"/>
    </row>
    <row r="22">
      <c r="A22" s="2" t="inlineStr"/>
      <c r="B22" s="2" t="n"/>
      <c r="C22" s="2" t="n"/>
      <c r="D22" s="2" t="n"/>
      <c r="E22" s="2" t="n"/>
      <c r="F22" s="2" t="n"/>
      <c r="G22" s="2" t="n"/>
      <c r="H22" s="2" t="n"/>
      <c r="I22" s="2" t="n"/>
      <c r="J22" s="2">
        <f>IF(COUNTA($A22:$F22)=0,"",IF($C22="","MissingDate",IF(OR($A22="",$D22="",$E22="",$D22=$E22),"InvalidSchedule",IF(COUNTIF(ActiveActivityCodes,$F22)=0,"InvalidCode",IF(COUNTIFS(tblScheduleData[EmployeeID],$A22,tblScheduleData[OperationalDate],$C22,tblScheduleData[ShiftStart],$D22,tblScheduleData[ShiftEnd],$E22,tblScheduleData[ActivityCode],$F22)&gt;1,"Duplicate","Valid")))))</f>
        <v/>
      </c>
      <c r="K22" s="2" t="n"/>
    </row>
    <row r="23">
      <c r="A23" s="2" t="inlineStr"/>
      <c r="B23" s="2" t="n"/>
      <c r="C23" s="2" t="n"/>
      <c r="D23" s="2" t="n"/>
      <c r="E23" s="2" t="n"/>
      <c r="F23" s="2" t="n"/>
      <c r="G23" s="2" t="n"/>
      <c r="H23" s="2" t="n"/>
      <c r="I23" s="2" t="n"/>
      <c r="J23" s="2">
        <f>IF(COUNTA($A23:$F23)=0,"",IF($C23="","MissingDate",IF(OR($A23="",$D23="",$E23="",$D23=$E23),"InvalidSchedule",IF(COUNTIF(ActiveActivityCodes,$F23)=0,"InvalidCode",IF(COUNTIFS(tblScheduleData[EmployeeID],$A23,tblScheduleData[OperationalDate],$C23,tblScheduleData[ShiftStart],$D23,tblScheduleData[ShiftEnd],$E23,tblScheduleData[ActivityCode],$F23)&gt;1,"Duplicate","Valid")))))</f>
        <v/>
      </c>
      <c r="K23" s="2" t="n"/>
    </row>
    <row r="24">
      <c r="A24" s="2" t="inlineStr"/>
      <c r="B24" s="2" t="n"/>
      <c r="C24" s="2" t="n"/>
      <c r="D24" s="2" t="n"/>
      <c r="E24" s="2" t="n"/>
      <c r="F24" s="2" t="n"/>
      <c r="G24" s="2" t="n"/>
      <c r="H24" s="2" t="n"/>
      <c r="I24" s="2" t="n"/>
      <c r="J24" s="2">
        <f>IF(COUNTA($A24:$F24)=0,"",IF($C24="","MissingDate",IF(OR($A24="",$D24="",$E24="",$D24=$E24),"InvalidSchedule",IF(COUNTIF(ActiveActivityCodes,$F24)=0,"InvalidCode",IF(COUNTIFS(tblScheduleData[EmployeeID],$A24,tblScheduleData[OperationalDate],$C24,tblScheduleData[ShiftStart],$D24,tblScheduleData[ShiftEnd],$E24,tblScheduleData[ActivityCode],$F24)&gt;1,"Duplicate","Valid")))))</f>
        <v/>
      </c>
      <c r="K24" s="2" t="n"/>
    </row>
    <row r="25">
      <c r="A25" s="2" t="inlineStr"/>
      <c r="B25" s="2" t="n"/>
      <c r="C25" s="2" t="n"/>
      <c r="D25" s="2" t="n"/>
      <c r="E25" s="2" t="n"/>
      <c r="F25" s="2" t="n"/>
      <c r="G25" s="2" t="n"/>
      <c r="H25" s="2" t="n"/>
      <c r="I25" s="2" t="n"/>
      <c r="J25" s="2">
        <f>IF(COUNTA($A25:$F25)=0,"",IF($C25="","MissingDate",IF(OR($A25="",$D25="",$E25="",$D25=$E25),"InvalidSchedule",IF(COUNTIF(ActiveActivityCodes,$F25)=0,"InvalidCode",IF(COUNTIFS(tblScheduleData[EmployeeID],$A25,tblScheduleData[OperationalDate],$C25,tblScheduleData[ShiftStart],$D25,tblScheduleData[ShiftEnd],$E25,tblScheduleData[ActivityCode],$F25)&gt;1,"Duplicate","Valid")))))</f>
        <v/>
      </c>
      <c r="K25" s="2" t="n"/>
    </row>
    <row r="26">
      <c r="A26" s="2" t="inlineStr"/>
      <c r="B26" s="2" t="n"/>
      <c r="C26" s="2" t="n"/>
      <c r="D26" s="2" t="n"/>
      <c r="E26" s="2" t="n"/>
      <c r="F26" s="2" t="n"/>
      <c r="G26" s="2" t="n"/>
      <c r="H26" s="2" t="n"/>
      <c r="I26" s="2" t="n"/>
      <c r="J26" s="2">
        <f>IF(COUNTA($A26:$F26)=0,"",IF($C26="","MissingDate",IF(OR($A26="",$D26="",$E26="",$D26=$E26),"InvalidSchedule",IF(COUNTIF(ActiveActivityCodes,$F26)=0,"InvalidCode",IF(COUNTIFS(tblScheduleData[EmployeeID],$A26,tblScheduleData[OperationalDate],$C26,tblScheduleData[ShiftStart],$D26,tblScheduleData[ShiftEnd],$E26,tblScheduleData[ActivityCode],$F26)&gt;1,"Duplicate","Valid")))))</f>
        <v/>
      </c>
      <c r="K26" s="2" t="n"/>
    </row>
    <row r="27">
      <c r="A27" s="2" t="inlineStr"/>
      <c r="B27" s="2" t="n"/>
      <c r="C27" s="2" t="n"/>
      <c r="D27" s="2" t="n"/>
      <c r="E27" s="2" t="n"/>
      <c r="F27" s="2" t="n"/>
      <c r="G27" s="2" t="n"/>
      <c r="H27" s="2" t="n"/>
      <c r="I27" s="2" t="n"/>
      <c r="J27" s="2">
        <f>IF(COUNTA($A27:$F27)=0,"",IF($C27="","MissingDate",IF(OR($A27="",$D27="",$E27="",$D27=$E27),"InvalidSchedule",IF(COUNTIF(ActiveActivityCodes,$F27)=0,"InvalidCode",IF(COUNTIFS(tblScheduleData[EmployeeID],$A27,tblScheduleData[OperationalDate],$C27,tblScheduleData[ShiftStart],$D27,tblScheduleData[ShiftEnd],$E27,tblScheduleData[ActivityCode],$F27)&gt;1,"Duplicate","Valid")))))</f>
        <v/>
      </c>
      <c r="K27" s="2" t="n"/>
    </row>
    <row r="28">
      <c r="A28" s="2" t="inlineStr"/>
      <c r="B28" s="2" t="n"/>
      <c r="C28" s="2" t="n"/>
      <c r="D28" s="2" t="n"/>
      <c r="E28" s="2" t="n"/>
      <c r="F28" s="2" t="n"/>
      <c r="G28" s="2" t="n"/>
      <c r="H28" s="2" t="n"/>
      <c r="I28" s="2" t="n"/>
      <c r="J28" s="2">
        <f>IF(COUNTA($A28:$F28)=0,"",IF($C28="","MissingDate",IF(OR($A28="",$D28="",$E28="",$D28=$E28),"InvalidSchedule",IF(COUNTIF(ActiveActivityCodes,$F28)=0,"InvalidCode",IF(COUNTIFS(tblScheduleData[EmployeeID],$A28,tblScheduleData[OperationalDate],$C28,tblScheduleData[ShiftStart],$D28,tblScheduleData[ShiftEnd],$E28,tblScheduleData[ActivityCode],$F28)&gt;1,"Duplicate","Valid")))))</f>
        <v/>
      </c>
      <c r="K28" s="2" t="n"/>
    </row>
    <row r="29">
      <c r="A29" s="2" t="inlineStr"/>
      <c r="B29" s="2" t="n"/>
      <c r="C29" s="2" t="n"/>
      <c r="D29" s="2" t="n"/>
      <c r="E29" s="2" t="n"/>
      <c r="F29" s="2" t="n"/>
      <c r="G29" s="2" t="n"/>
      <c r="H29" s="2" t="n"/>
      <c r="I29" s="2" t="n"/>
      <c r="J29" s="2">
        <f>IF(COUNTA($A29:$F29)=0,"",IF($C29="","MissingDate",IF(OR($A29="",$D29="",$E29="",$D29=$E29),"InvalidSchedule",IF(COUNTIF(ActiveActivityCodes,$F29)=0,"InvalidCode",IF(COUNTIFS(tblScheduleData[EmployeeID],$A29,tblScheduleData[OperationalDate],$C29,tblScheduleData[ShiftStart],$D29,tblScheduleData[ShiftEnd],$E29,tblScheduleData[ActivityCode],$F29)&gt;1,"Duplicate","Valid")))))</f>
        <v/>
      </c>
      <c r="K29" s="2" t="n"/>
    </row>
    <row r="30">
      <c r="A30" s="2" t="inlineStr"/>
      <c r="B30" s="2" t="n"/>
      <c r="C30" s="2" t="n"/>
      <c r="D30" s="2" t="n"/>
      <c r="E30" s="2" t="n"/>
      <c r="F30" s="2" t="n"/>
      <c r="G30" s="2" t="n"/>
      <c r="H30" s="2" t="n"/>
      <c r="I30" s="2" t="n"/>
      <c r="J30" s="2">
        <f>IF(COUNTA($A30:$F30)=0,"",IF($C30="","MissingDate",IF(OR($A30="",$D30="",$E30="",$D30=$E30),"InvalidSchedule",IF(COUNTIF(ActiveActivityCodes,$F30)=0,"InvalidCode",IF(COUNTIFS(tblScheduleData[EmployeeID],$A30,tblScheduleData[OperationalDate],$C30,tblScheduleData[ShiftStart],$D30,tblScheduleData[ShiftEnd],$E30,tblScheduleData[ActivityCode],$F30)&gt;1,"Duplicate","Valid")))))</f>
        <v/>
      </c>
      <c r="K30" s="2" t="n"/>
    </row>
    <row r="31">
      <c r="A31" s="2" t="inlineStr"/>
      <c r="B31" s="2" t="n"/>
      <c r="C31" s="2" t="n"/>
      <c r="D31" s="2" t="n"/>
      <c r="E31" s="2" t="n"/>
      <c r="F31" s="2" t="n"/>
      <c r="G31" s="2" t="n"/>
      <c r="H31" s="2" t="n"/>
      <c r="I31" s="2" t="n"/>
      <c r="J31" s="2">
        <f>IF(COUNTA($A31:$F31)=0,"",IF($C31="","MissingDate",IF(OR($A31="",$D31="",$E31="",$D31=$E31),"InvalidSchedule",IF(COUNTIF(ActiveActivityCodes,$F31)=0,"InvalidCode",IF(COUNTIFS(tblScheduleData[EmployeeID],$A31,tblScheduleData[OperationalDate],$C31,tblScheduleData[ShiftStart],$D31,tblScheduleData[ShiftEnd],$E31,tblScheduleData[ActivityCode],$F31)&gt;1,"Duplicate","Valid")))))</f>
        <v/>
      </c>
      <c r="K31" s="2" t="n"/>
    </row>
    <row r="32">
      <c r="A32" s="2" t="inlineStr"/>
      <c r="B32" s="2" t="n"/>
      <c r="C32" s="2" t="n"/>
      <c r="D32" s="2" t="n"/>
      <c r="E32" s="2" t="n"/>
      <c r="F32" s="2" t="n"/>
      <c r="G32" s="2" t="n"/>
      <c r="H32" s="2" t="n"/>
      <c r="I32" s="2" t="n"/>
      <c r="J32" s="2">
        <f>IF(COUNTA($A32:$F32)=0,"",IF($C32="","MissingDate",IF(OR($A32="",$D32="",$E32="",$D32=$E32),"InvalidSchedule",IF(COUNTIF(ActiveActivityCodes,$F32)=0,"InvalidCode",IF(COUNTIFS(tblScheduleData[EmployeeID],$A32,tblScheduleData[OperationalDate],$C32,tblScheduleData[ShiftStart],$D32,tblScheduleData[ShiftEnd],$E32,tblScheduleData[ActivityCode],$F32)&gt;1,"Duplicate","Valid")))))</f>
        <v/>
      </c>
      <c r="K32" s="2" t="n"/>
    </row>
    <row r="33">
      <c r="A33" s="2" t="inlineStr"/>
      <c r="B33" s="2" t="n"/>
      <c r="C33" s="2" t="n"/>
      <c r="D33" s="2" t="n"/>
      <c r="E33" s="2" t="n"/>
      <c r="F33" s="2" t="n"/>
      <c r="G33" s="2" t="n"/>
      <c r="H33" s="2" t="n"/>
      <c r="I33" s="2" t="n"/>
      <c r="J33" s="2">
        <f>IF(COUNTA($A33:$F33)=0,"",IF($C33="","MissingDate",IF(OR($A33="",$D33="",$E33="",$D33=$E33),"InvalidSchedule",IF(COUNTIF(ActiveActivityCodes,$F33)=0,"InvalidCode",IF(COUNTIFS(tblScheduleData[EmployeeID],$A33,tblScheduleData[OperationalDate],$C33,tblScheduleData[ShiftStart],$D33,tblScheduleData[ShiftEnd],$E33,tblScheduleData[ActivityCode],$F33)&gt;1,"Duplicate","Valid")))))</f>
        <v/>
      </c>
      <c r="K33" s="2" t="n"/>
    </row>
    <row r="34">
      <c r="A34" s="2" t="inlineStr"/>
      <c r="B34" s="2" t="n"/>
      <c r="C34" s="2" t="n"/>
      <c r="D34" s="2" t="n"/>
      <c r="E34" s="2" t="n"/>
      <c r="F34" s="2" t="n"/>
      <c r="G34" s="2" t="n"/>
      <c r="H34" s="2" t="n"/>
      <c r="I34" s="2" t="n"/>
      <c r="J34" s="2">
        <f>IF(COUNTA($A34:$F34)=0,"",IF($C34="","MissingDate",IF(OR($A34="",$D34="",$E34="",$D34=$E34),"InvalidSchedule",IF(COUNTIF(ActiveActivityCodes,$F34)=0,"InvalidCode",IF(COUNTIFS(tblScheduleData[EmployeeID],$A34,tblScheduleData[OperationalDate],$C34,tblScheduleData[ShiftStart],$D34,tblScheduleData[ShiftEnd],$E34,tblScheduleData[ActivityCode],$F34)&gt;1,"Duplicate","Valid")))))</f>
        <v/>
      </c>
      <c r="K34" s="2" t="n"/>
    </row>
    <row r="35">
      <c r="A35" s="2" t="inlineStr"/>
      <c r="B35" s="2" t="n"/>
      <c r="C35" s="2" t="n"/>
      <c r="D35" s="2" t="n"/>
      <c r="E35" s="2" t="n"/>
      <c r="F35" s="2" t="n"/>
      <c r="G35" s="2" t="n"/>
      <c r="H35" s="2" t="n"/>
      <c r="I35" s="2" t="n"/>
      <c r="J35" s="2">
        <f>IF(COUNTA($A35:$F35)=0,"",IF($C35="","MissingDate",IF(OR($A35="",$D35="",$E35="",$D35=$E35),"InvalidSchedule",IF(COUNTIF(ActiveActivityCodes,$F35)=0,"InvalidCode",IF(COUNTIFS(tblScheduleData[EmployeeID],$A35,tblScheduleData[OperationalDate],$C35,tblScheduleData[ShiftStart],$D35,tblScheduleData[ShiftEnd],$E35,tblScheduleData[ActivityCode],$F35)&gt;1,"Duplicate","Valid")))))</f>
        <v/>
      </c>
      <c r="K35" s="2" t="n"/>
    </row>
    <row r="36">
      <c r="A36" s="2" t="inlineStr"/>
      <c r="B36" s="2" t="n"/>
      <c r="C36" s="2" t="n"/>
      <c r="D36" s="2" t="n"/>
      <c r="E36" s="2" t="n"/>
      <c r="F36" s="2" t="n"/>
      <c r="G36" s="2" t="n"/>
      <c r="H36" s="2" t="n"/>
      <c r="I36" s="2" t="n"/>
      <c r="J36" s="2">
        <f>IF(COUNTA($A36:$F36)=0,"",IF($C36="","MissingDate",IF(OR($A36="",$D36="",$E36="",$D36=$E36),"InvalidSchedule",IF(COUNTIF(ActiveActivityCodes,$F36)=0,"InvalidCode",IF(COUNTIFS(tblScheduleData[EmployeeID],$A36,tblScheduleData[OperationalDate],$C36,tblScheduleData[ShiftStart],$D36,tblScheduleData[ShiftEnd],$E36,tblScheduleData[ActivityCode],$F36)&gt;1,"Duplicate","Valid")))))</f>
        <v/>
      </c>
      <c r="K36" s="2" t="n"/>
    </row>
    <row r="37">
      <c r="A37" s="2" t="inlineStr"/>
      <c r="B37" s="2" t="n"/>
      <c r="C37" s="2" t="n"/>
      <c r="D37" s="2" t="n"/>
      <c r="E37" s="2" t="n"/>
      <c r="F37" s="2" t="n"/>
      <c r="G37" s="2" t="n"/>
      <c r="H37" s="2" t="n"/>
      <c r="I37" s="2" t="n"/>
      <c r="J37" s="2">
        <f>IF(COUNTA($A37:$F37)=0,"",IF($C37="","MissingDate",IF(OR($A37="",$D37="",$E37="",$D37=$E37),"InvalidSchedule",IF(COUNTIF(ActiveActivityCodes,$F37)=0,"InvalidCode",IF(COUNTIFS(tblScheduleData[EmployeeID],$A37,tblScheduleData[OperationalDate],$C37,tblScheduleData[ShiftStart],$D37,tblScheduleData[ShiftEnd],$E37,tblScheduleData[ActivityCode],$F37)&gt;1,"Duplicate","Valid")))))</f>
        <v/>
      </c>
      <c r="K37" s="2" t="n"/>
    </row>
    <row r="38">
      <c r="A38" s="2" t="inlineStr"/>
      <c r="B38" s="2" t="n"/>
      <c r="C38" s="2" t="n"/>
      <c r="D38" s="2" t="n"/>
      <c r="E38" s="2" t="n"/>
      <c r="F38" s="2" t="n"/>
      <c r="G38" s="2" t="n"/>
      <c r="H38" s="2" t="n"/>
      <c r="I38" s="2" t="n"/>
      <c r="J38" s="2">
        <f>IF(COUNTA($A38:$F38)=0,"",IF($C38="","MissingDate",IF(OR($A38="",$D38="",$E38="",$D38=$E38),"InvalidSchedule",IF(COUNTIF(ActiveActivityCodes,$F38)=0,"InvalidCode",IF(COUNTIFS(tblScheduleData[EmployeeID],$A38,tblScheduleData[OperationalDate],$C38,tblScheduleData[ShiftStart],$D38,tblScheduleData[ShiftEnd],$E38,tblScheduleData[ActivityCode],$F38)&gt;1,"Duplicate","Valid")))))</f>
        <v/>
      </c>
      <c r="K38" s="2" t="n"/>
    </row>
    <row r="39">
      <c r="A39" s="2" t="inlineStr"/>
      <c r="B39" s="2" t="n"/>
      <c r="C39" s="2" t="n"/>
      <c r="D39" s="2" t="n"/>
      <c r="E39" s="2" t="n"/>
      <c r="F39" s="2" t="n"/>
      <c r="G39" s="2" t="n"/>
      <c r="H39" s="2" t="n"/>
      <c r="I39" s="2" t="n"/>
      <c r="J39" s="2">
        <f>IF(COUNTA($A39:$F39)=0,"",IF($C39="","MissingDate",IF(OR($A39="",$D39="",$E39="",$D39=$E39),"InvalidSchedule",IF(COUNTIF(ActiveActivityCodes,$F39)=0,"InvalidCode",IF(COUNTIFS(tblScheduleData[EmployeeID],$A39,tblScheduleData[OperationalDate],$C39,tblScheduleData[ShiftStart],$D39,tblScheduleData[ShiftEnd],$E39,tblScheduleData[ActivityCode],$F39)&gt;1,"Duplicate","Valid")))))</f>
        <v/>
      </c>
      <c r="K39" s="2" t="n"/>
    </row>
    <row r="40">
      <c r="A40" s="2" t="inlineStr"/>
      <c r="B40" s="2" t="n"/>
      <c r="C40" s="2" t="n"/>
      <c r="D40" s="2" t="n"/>
      <c r="E40" s="2" t="n"/>
      <c r="F40" s="2" t="n"/>
      <c r="G40" s="2" t="n"/>
      <c r="H40" s="2" t="n"/>
      <c r="I40" s="2" t="n"/>
      <c r="J40" s="2">
        <f>IF(COUNTA($A40:$F40)=0,"",IF($C40="","MissingDate",IF(OR($A40="",$D40="",$E40="",$D40=$E40),"InvalidSchedule",IF(COUNTIF(ActiveActivityCodes,$F40)=0,"InvalidCode",IF(COUNTIFS(tblScheduleData[EmployeeID],$A40,tblScheduleData[OperationalDate],$C40,tblScheduleData[ShiftStart],$D40,tblScheduleData[ShiftEnd],$E40,tblScheduleData[ActivityCode],$F40)&gt;1,"Duplicate","Valid")))))</f>
        <v/>
      </c>
      <c r="K40" s="2" t="n"/>
    </row>
    <row r="41">
      <c r="A41" s="2" t="inlineStr"/>
      <c r="B41" s="2" t="n"/>
      <c r="C41" s="2" t="n"/>
      <c r="D41" s="2" t="n"/>
      <c r="E41" s="2" t="n"/>
      <c r="F41" s="2" t="n"/>
      <c r="G41" s="2" t="n"/>
      <c r="H41" s="2" t="n"/>
      <c r="I41" s="2" t="n"/>
      <c r="J41" s="2">
        <f>IF(COUNTA($A41:$F41)=0,"",IF($C41="","MissingDate",IF(OR($A41="",$D41="",$E41="",$D41=$E41),"InvalidSchedule",IF(COUNTIF(ActiveActivityCodes,$F41)=0,"InvalidCode",IF(COUNTIFS(tblScheduleData[EmployeeID],$A41,tblScheduleData[OperationalDate],$C41,tblScheduleData[ShiftStart],$D41,tblScheduleData[ShiftEnd],$E41,tblScheduleData[ActivityCode],$F41)&gt;1,"Duplicate","Valid")))))</f>
        <v/>
      </c>
      <c r="K41" s="2" t="n"/>
    </row>
    <row r="42">
      <c r="A42" s="2" t="inlineStr"/>
      <c r="B42" s="2" t="n"/>
      <c r="C42" s="2" t="n"/>
      <c r="D42" s="2" t="n"/>
      <c r="E42" s="2" t="n"/>
      <c r="F42" s="2" t="n"/>
      <c r="G42" s="2" t="n"/>
      <c r="H42" s="2" t="n"/>
      <c r="I42" s="2" t="n"/>
      <c r="J42" s="2">
        <f>IF(COUNTA($A42:$F42)=0,"",IF($C42="","MissingDate",IF(OR($A42="",$D42="",$E42="",$D42=$E42),"InvalidSchedule",IF(COUNTIF(ActiveActivityCodes,$F42)=0,"InvalidCode",IF(COUNTIFS(tblScheduleData[EmployeeID],$A42,tblScheduleData[OperationalDate],$C42,tblScheduleData[ShiftStart],$D42,tblScheduleData[ShiftEnd],$E42,tblScheduleData[ActivityCode],$F42)&gt;1,"Duplicate","Valid")))))</f>
        <v/>
      </c>
      <c r="K42" s="2" t="n"/>
    </row>
    <row r="43">
      <c r="A43" s="2" t="inlineStr"/>
      <c r="B43" s="2" t="n"/>
      <c r="C43" s="2" t="n"/>
      <c r="D43" s="2" t="n"/>
      <c r="E43" s="2" t="n"/>
      <c r="F43" s="2" t="n"/>
      <c r="G43" s="2" t="n"/>
      <c r="H43" s="2" t="n"/>
      <c r="I43" s="2" t="n"/>
      <c r="J43" s="2">
        <f>IF(COUNTA($A43:$F43)=0,"",IF($C43="","MissingDate",IF(OR($A43="",$D43="",$E43="",$D43=$E43),"InvalidSchedule",IF(COUNTIF(ActiveActivityCodes,$F43)=0,"InvalidCode",IF(COUNTIFS(tblScheduleData[EmployeeID],$A43,tblScheduleData[OperationalDate],$C43,tblScheduleData[ShiftStart],$D43,tblScheduleData[ShiftEnd],$E43,tblScheduleData[ActivityCode],$F43)&gt;1,"Duplicate","Valid")))))</f>
        <v/>
      </c>
      <c r="K43" s="2" t="n"/>
    </row>
    <row r="44">
      <c r="A44" s="2" t="inlineStr"/>
      <c r="B44" s="2" t="n"/>
      <c r="C44" s="2" t="n"/>
      <c r="D44" s="2" t="n"/>
      <c r="E44" s="2" t="n"/>
      <c r="F44" s="2" t="n"/>
      <c r="G44" s="2" t="n"/>
      <c r="H44" s="2" t="n"/>
      <c r="I44" s="2" t="n"/>
      <c r="J44" s="2">
        <f>IF(COUNTA($A44:$F44)=0,"",IF($C44="","MissingDate",IF(OR($A44="",$D44="",$E44="",$D44=$E44),"InvalidSchedule",IF(COUNTIF(ActiveActivityCodes,$F44)=0,"InvalidCode",IF(COUNTIFS(tblScheduleData[EmployeeID],$A44,tblScheduleData[OperationalDate],$C44,tblScheduleData[ShiftStart],$D44,tblScheduleData[ShiftEnd],$E44,tblScheduleData[ActivityCode],$F44)&gt;1,"Duplicate","Valid")))))</f>
        <v/>
      </c>
      <c r="K44" s="2" t="n"/>
    </row>
    <row r="45">
      <c r="A45" s="2" t="inlineStr"/>
      <c r="B45" s="2" t="n"/>
      <c r="C45" s="2" t="n"/>
      <c r="D45" s="2" t="n"/>
      <c r="E45" s="2" t="n"/>
      <c r="F45" s="2" t="n"/>
      <c r="G45" s="2" t="n"/>
      <c r="H45" s="2" t="n"/>
      <c r="I45" s="2" t="n"/>
      <c r="J45" s="2">
        <f>IF(COUNTA($A45:$F45)=0,"",IF($C45="","MissingDate",IF(OR($A45="",$D45="",$E45="",$D45=$E45),"InvalidSchedule",IF(COUNTIF(ActiveActivityCodes,$F45)=0,"InvalidCode",IF(COUNTIFS(tblScheduleData[EmployeeID],$A45,tblScheduleData[OperationalDate],$C45,tblScheduleData[ShiftStart],$D45,tblScheduleData[ShiftEnd],$E45,tblScheduleData[ActivityCode],$F45)&gt;1,"Duplicate","Valid")))))</f>
        <v/>
      </c>
      <c r="K45" s="2" t="n"/>
    </row>
    <row r="46">
      <c r="A46" s="2" t="inlineStr"/>
      <c r="B46" s="2" t="n"/>
      <c r="C46" s="2" t="n"/>
      <c r="D46" s="2" t="n"/>
      <c r="E46" s="2" t="n"/>
      <c r="F46" s="2" t="n"/>
      <c r="G46" s="2" t="n"/>
      <c r="H46" s="2" t="n"/>
      <c r="I46" s="2" t="n"/>
      <c r="J46" s="2">
        <f>IF(COUNTA($A46:$F46)=0,"",IF($C46="","MissingDate",IF(OR($A46="",$D46="",$E46="",$D46=$E46),"InvalidSchedule",IF(COUNTIF(ActiveActivityCodes,$F46)=0,"InvalidCode",IF(COUNTIFS(tblScheduleData[EmployeeID],$A46,tblScheduleData[OperationalDate],$C46,tblScheduleData[ShiftStart],$D46,tblScheduleData[ShiftEnd],$E46,tblScheduleData[ActivityCode],$F46)&gt;1,"Duplicate","Valid")))))</f>
        <v/>
      </c>
      <c r="K46" s="2" t="n"/>
    </row>
    <row r="47">
      <c r="A47" s="2" t="inlineStr"/>
      <c r="B47" s="2" t="n"/>
      <c r="C47" s="2" t="n"/>
      <c r="D47" s="2" t="n"/>
      <c r="E47" s="2" t="n"/>
      <c r="F47" s="2" t="n"/>
      <c r="G47" s="2" t="n"/>
      <c r="H47" s="2" t="n"/>
      <c r="I47" s="2" t="n"/>
      <c r="J47" s="2">
        <f>IF(COUNTA($A47:$F47)=0,"",IF($C47="","MissingDate",IF(OR($A47="",$D47="",$E47="",$D47=$E47),"InvalidSchedule",IF(COUNTIF(ActiveActivityCodes,$F47)=0,"InvalidCode",IF(COUNTIFS(tblScheduleData[EmployeeID],$A47,tblScheduleData[OperationalDate],$C47,tblScheduleData[ShiftStart],$D47,tblScheduleData[ShiftEnd],$E47,tblScheduleData[ActivityCode],$F47)&gt;1,"Duplicate","Valid")))))</f>
        <v/>
      </c>
      <c r="K47" s="2" t="n"/>
    </row>
    <row r="48">
      <c r="A48" s="2" t="inlineStr"/>
      <c r="B48" s="2" t="n"/>
      <c r="C48" s="2" t="n"/>
      <c r="D48" s="2" t="n"/>
      <c r="E48" s="2" t="n"/>
      <c r="F48" s="2" t="n"/>
      <c r="G48" s="2" t="n"/>
      <c r="H48" s="2" t="n"/>
      <c r="I48" s="2" t="n"/>
      <c r="J48" s="2">
        <f>IF(COUNTA($A48:$F48)=0,"",IF($C48="","MissingDate",IF(OR($A48="",$D48="",$E48="",$D48=$E48),"InvalidSchedule",IF(COUNTIF(ActiveActivityCodes,$F48)=0,"InvalidCode",IF(COUNTIFS(tblScheduleData[EmployeeID],$A48,tblScheduleData[OperationalDate],$C48,tblScheduleData[ShiftStart],$D48,tblScheduleData[ShiftEnd],$E48,tblScheduleData[ActivityCode],$F48)&gt;1,"Duplicate","Valid")))))</f>
        <v/>
      </c>
      <c r="K48" s="2" t="n"/>
    </row>
    <row r="49">
      <c r="A49" s="2" t="inlineStr"/>
      <c r="B49" s="2" t="n"/>
      <c r="C49" s="2" t="n"/>
      <c r="D49" s="2" t="n"/>
      <c r="E49" s="2" t="n"/>
      <c r="F49" s="2" t="n"/>
      <c r="G49" s="2" t="n"/>
      <c r="H49" s="2" t="n"/>
      <c r="I49" s="2" t="n"/>
      <c r="J49" s="2">
        <f>IF(COUNTA($A49:$F49)=0,"",IF($C49="","MissingDate",IF(OR($A49="",$D49="",$E49="",$D49=$E49),"InvalidSchedule",IF(COUNTIF(ActiveActivityCodes,$F49)=0,"InvalidCode",IF(COUNTIFS(tblScheduleData[EmployeeID],$A49,tblScheduleData[OperationalDate],$C49,tblScheduleData[ShiftStart],$D49,tblScheduleData[ShiftEnd],$E49,tblScheduleData[ActivityCode],$F49)&gt;1,"Duplicate","Valid")))))</f>
        <v/>
      </c>
      <c r="K49" s="2" t="n"/>
    </row>
    <row r="50">
      <c r="A50" s="2" t="inlineStr"/>
      <c r="B50" s="2" t="n"/>
      <c r="C50" s="2" t="n"/>
      <c r="D50" s="2" t="n"/>
      <c r="E50" s="2" t="n"/>
      <c r="F50" s="2" t="n"/>
      <c r="G50" s="2" t="n"/>
      <c r="H50" s="2" t="n"/>
      <c r="I50" s="2" t="n"/>
      <c r="J50" s="2">
        <f>IF(COUNTA($A50:$F50)=0,"",IF($C50="","MissingDate",IF(OR($A50="",$D50="",$E50="",$D50=$E50),"InvalidSchedule",IF(COUNTIF(ActiveActivityCodes,$F50)=0,"InvalidCode",IF(COUNTIFS(tblScheduleData[EmployeeID],$A50,tblScheduleData[OperationalDate],$C50,tblScheduleData[ShiftStart],$D50,tblScheduleData[ShiftEnd],$E50,tblScheduleData[ActivityCode],$F50)&gt;1,"Duplicate","Valid")))))</f>
        <v/>
      </c>
      <c r="K50" s="2" t="n"/>
    </row>
    <row r="51">
      <c r="A51" s="2" t="inlineStr"/>
      <c r="B51" s="2" t="n"/>
      <c r="C51" s="2" t="n"/>
      <c r="D51" s="2" t="n"/>
      <c r="E51" s="2" t="n"/>
      <c r="F51" s="2" t="n"/>
      <c r="G51" s="2" t="n"/>
      <c r="H51" s="2" t="n"/>
      <c r="I51" s="2" t="n"/>
      <c r="J51" s="2">
        <f>IF(COUNTA($A51:$F51)=0,"",IF($C51="","MissingDate",IF(OR($A51="",$D51="",$E51="",$D51=$E51),"InvalidSchedule",IF(COUNTIF(ActiveActivityCodes,$F51)=0,"InvalidCode",IF(COUNTIFS(tblScheduleData[EmployeeID],$A51,tblScheduleData[OperationalDate],$C51,tblScheduleData[ShiftStart],$D51,tblScheduleData[ShiftEnd],$E51,tblScheduleData[ActivityCode],$F51)&gt;1,"Duplicate","Valid")))))</f>
        <v/>
      </c>
      <c r="K51" s="2" t="n"/>
    </row>
    <row r="52">
      <c r="A52" s="2" t="inlineStr"/>
      <c r="B52" s="2" t="n"/>
      <c r="C52" s="2" t="n"/>
      <c r="D52" s="2" t="n"/>
      <c r="E52" s="2" t="n"/>
      <c r="F52" s="2" t="n"/>
      <c r="G52" s="2" t="n"/>
      <c r="H52" s="2" t="n"/>
      <c r="I52" s="2" t="n"/>
      <c r="J52" s="2">
        <f>IF(COUNTA($A52:$F52)=0,"",IF($C52="","MissingDate",IF(OR($A52="",$D52="",$E52="",$D52=$E52),"InvalidSchedule",IF(COUNTIF(ActiveActivityCodes,$F52)=0,"InvalidCode",IF(COUNTIFS(tblScheduleData[EmployeeID],$A52,tblScheduleData[OperationalDate],$C52,tblScheduleData[ShiftStart],$D52,tblScheduleData[ShiftEnd],$E52,tblScheduleData[ActivityCode],$F52)&gt;1,"Duplicate","Valid")))))</f>
        <v/>
      </c>
      <c r="K52" s="2" t="n"/>
    </row>
    <row r="53">
      <c r="A53" s="2" t="inlineStr"/>
      <c r="B53" s="2" t="n"/>
      <c r="C53" s="2" t="n"/>
      <c r="D53" s="2" t="n"/>
      <c r="E53" s="2" t="n"/>
      <c r="F53" s="2" t="n"/>
      <c r="G53" s="2" t="n"/>
      <c r="H53" s="2" t="n"/>
      <c r="I53" s="2" t="n"/>
      <c r="J53" s="2">
        <f>IF(COUNTA($A53:$F53)=0,"",IF($C53="","MissingDate",IF(OR($A53="",$D53="",$E53="",$D53=$E53),"InvalidSchedule",IF(COUNTIF(ActiveActivityCodes,$F53)=0,"InvalidCode",IF(COUNTIFS(tblScheduleData[EmployeeID],$A53,tblScheduleData[OperationalDate],$C53,tblScheduleData[ShiftStart],$D53,tblScheduleData[ShiftEnd],$E53,tblScheduleData[ActivityCode],$F53)&gt;1,"Duplicate","Valid")))))</f>
        <v/>
      </c>
      <c r="K53" s="2" t="n"/>
    </row>
    <row r="54">
      <c r="A54" s="2" t="inlineStr"/>
      <c r="B54" s="2" t="n"/>
      <c r="C54" s="2" t="n"/>
      <c r="D54" s="2" t="n"/>
      <c r="E54" s="2" t="n"/>
      <c r="F54" s="2" t="n"/>
      <c r="G54" s="2" t="n"/>
      <c r="H54" s="2" t="n"/>
      <c r="I54" s="2" t="n"/>
      <c r="J54" s="2">
        <f>IF(COUNTA($A54:$F54)=0,"",IF($C54="","MissingDate",IF(OR($A54="",$D54="",$E54="",$D54=$E54),"InvalidSchedule",IF(COUNTIF(ActiveActivityCodes,$F54)=0,"InvalidCode",IF(COUNTIFS(tblScheduleData[EmployeeID],$A54,tblScheduleData[OperationalDate],$C54,tblScheduleData[ShiftStart],$D54,tblScheduleData[ShiftEnd],$E54,tblScheduleData[ActivityCode],$F54)&gt;1,"Duplicate","Valid")))))</f>
        <v/>
      </c>
      <c r="K54" s="2" t="n"/>
    </row>
    <row r="55">
      <c r="A55" s="2" t="inlineStr"/>
      <c r="B55" s="2" t="n"/>
      <c r="C55" s="2" t="n"/>
      <c r="D55" s="2" t="n"/>
      <c r="E55" s="2" t="n"/>
      <c r="F55" s="2" t="n"/>
      <c r="G55" s="2" t="n"/>
      <c r="H55" s="2" t="n"/>
      <c r="I55" s="2" t="n"/>
      <c r="J55" s="2">
        <f>IF(COUNTA($A55:$F55)=0,"",IF($C55="","MissingDate",IF(OR($A55="",$D55="",$E55="",$D55=$E55),"InvalidSchedule",IF(COUNTIF(ActiveActivityCodes,$F55)=0,"InvalidCode",IF(COUNTIFS(tblScheduleData[EmployeeID],$A55,tblScheduleData[OperationalDate],$C55,tblScheduleData[ShiftStart],$D55,tblScheduleData[ShiftEnd],$E55,tblScheduleData[ActivityCode],$F55)&gt;1,"Duplicate","Valid")))))</f>
        <v/>
      </c>
      <c r="K55" s="2" t="n"/>
    </row>
    <row r="56">
      <c r="A56" s="2" t="inlineStr"/>
      <c r="B56" s="2" t="n"/>
      <c r="C56" s="2" t="n"/>
      <c r="D56" s="2" t="n"/>
      <c r="E56" s="2" t="n"/>
      <c r="F56" s="2" t="n"/>
      <c r="G56" s="2" t="n"/>
      <c r="H56" s="2" t="n"/>
      <c r="I56" s="2" t="n"/>
      <c r="J56" s="2">
        <f>IF(COUNTA($A56:$F56)=0,"",IF($C56="","MissingDate",IF(OR($A56="",$D56="",$E56="",$D56=$E56),"InvalidSchedule",IF(COUNTIF(ActiveActivityCodes,$F56)=0,"InvalidCode",IF(COUNTIFS(tblScheduleData[EmployeeID],$A56,tblScheduleData[OperationalDate],$C56,tblScheduleData[ShiftStart],$D56,tblScheduleData[ShiftEnd],$E56,tblScheduleData[ActivityCode],$F56)&gt;1,"Duplicate","Valid")))))</f>
        <v/>
      </c>
      <c r="K56" s="2" t="n"/>
    </row>
    <row r="57">
      <c r="A57" s="2" t="inlineStr"/>
      <c r="B57" s="2" t="n"/>
      <c r="C57" s="2" t="n"/>
      <c r="D57" s="2" t="n"/>
      <c r="E57" s="2" t="n"/>
      <c r="F57" s="2" t="n"/>
      <c r="G57" s="2" t="n"/>
      <c r="H57" s="2" t="n"/>
      <c r="I57" s="2" t="n"/>
      <c r="J57" s="2">
        <f>IF(COUNTA($A57:$F57)=0,"",IF($C57="","MissingDate",IF(OR($A57="",$D57="",$E57="",$D57=$E57),"InvalidSchedule",IF(COUNTIF(ActiveActivityCodes,$F57)=0,"InvalidCode",IF(COUNTIFS(tblScheduleData[EmployeeID],$A57,tblScheduleData[OperationalDate],$C57,tblScheduleData[ShiftStart],$D57,tblScheduleData[ShiftEnd],$E57,tblScheduleData[ActivityCode],$F57)&gt;1,"Duplicate","Valid")))))</f>
        <v/>
      </c>
      <c r="K57" s="2" t="n"/>
    </row>
    <row r="58">
      <c r="A58" s="2" t="inlineStr"/>
      <c r="B58" s="2" t="n"/>
      <c r="C58" s="2" t="n"/>
      <c r="D58" s="2" t="n"/>
      <c r="E58" s="2" t="n"/>
      <c r="F58" s="2" t="n"/>
      <c r="G58" s="2" t="n"/>
      <c r="H58" s="2" t="n"/>
      <c r="I58" s="2" t="n"/>
      <c r="J58" s="2">
        <f>IF(COUNTA($A58:$F58)=0,"",IF($C58="","MissingDate",IF(OR($A58="",$D58="",$E58="",$D58=$E58),"InvalidSchedule",IF(COUNTIF(ActiveActivityCodes,$F58)=0,"InvalidCode",IF(COUNTIFS(tblScheduleData[EmployeeID],$A58,tblScheduleData[OperationalDate],$C58,tblScheduleData[ShiftStart],$D58,tblScheduleData[ShiftEnd],$E58,tblScheduleData[ActivityCode],$F58)&gt;1,"Duplicate","Valid")))))</f>
        <v/>
      </c>
      <c r="K58" s="2" t="n"/>
    </row>
    <row r="59">
      <c r="A59" s="2" t="inlineStr"/>
      <c r="B59" s="2" t="n"/>
      <c r="C59" s="2" t="n"/>
      <c r="D59" s="2" t="n"/>
      <c r="E59" s="2" t="n"/>
      <c r="F59" s="2" t="n"/>
      <c r="G59" s="2" t="n"/>
      <c r="H59" s="2" t="n"/>
      <c r="I59" s="2" t="n"/>
      <c r="J59" s="2">
        <f>IF(COUNTA($A59:$F59)=0,"",IF($C59="","MissingDate",IF(OR($A59="",$D59="",$E59="",$D59=$E59),"InvalidSchedule",IF(COUNTIF(ActiveActivityCodes,$F59)=0,"InvalidCode",IF(COUNTIFS(tblScheduleData[EmployeeID],$A59,tblScheduleData[OperationalDate],$C59,tblScheduleData[ShiftStart],$D59,tblScheduleData[ShiftEnd],$E59,tblScheduleData[ActivityCode],$F59)&gt;1,"Duplicate","Valid")))))</f>
        <v/>
      </c>
      <c r="K59" s="2" t="n"/>
    </row>
    <row r="60">
      <c r="A60" s="2" t="inlineStr"/>
      <c r="B60" s="2" t="n"/>
      <c r="C60" s="2" t="n"/>
      <c r="D60" s="2" t="n"/>
      <c r="E60" s="2" t="n"/>
      <c r="F60" s="2" t="n"/>
      <c r="G60" s="2" t="n"/>
      <c r="H60" s="2" t="n"/>
      <c r="I60" s="2" t="n"/>
      <c r="J60" s="2">
        <f>IF(COUNTA($A60:$F60)=0,"",IF($C60="","MissingDate",IF(OR($A60="",$D60="",$E60="",$D60=$E60),"InvalidSchedule",IF(COUNTIF(ActiveActivityCodes,$F60)=0,"InvalidCode",IF(COUNTIFS(tblScheduleData[EmployeeID],$A60,tblScheduleData[OperationalDate],$C60,tblScheduleData[ShiftStart],$D60,tblScheduleData[ShiftEnd],$E60,tblScheduleData[ActivityCode],$F60)&gt;1,"Duplicate","Valid")))))</f>
        <v/>
      </c>
      <c r="K60" s="2" t="n"/>
    </row>
    <row r="61">
      <c r="A61" s="2" t="inlineStr"/>
      <c r="B61" s="2" t="n"/>
      <c r="C61" s="2" t="n"/>
      <c r="D61" s="2" t="n"/>
      <c r="E61" s="2" t="n"/>
      <c r="F61" s="2" t="n"/>
      <c r="G61" s="2" t="n"/>
      <c r="H61" s="2" t="n"/>
      <c r="I61" s="2" t="n"/>
      <c r="J61" s="2">
        <f>IF(COUNTA($A61:$F61)=0,"",IF($C61="","MissingDate",IF(OR($A61="",$D61="",$E61="",$D61=$E61),"InvalidSchedule",IF(COUNTIF(ActiveActivityCodes,$F61)=0,"InvalidCode",IF(COUNTIFS(tblScheduleData[EmployeeID],$A61,tblScheduleData[OperationalDate],$C61,tblScheduleData[ShiftStart],$D61,tblScheduleData[ShiftEnd],$E61,tblScheduleData[ActivityCode],$F61)&gt;1,"Duplicate","Valid")))))</f>
        <v/>
      </c>
      <c r="K61" s="2" t="n"/>
    </row>
    <row r="62">
      <c r="A62" s="2" t="inlineStr"/>
      <c r="B62" s="2" t="n"/>
      <c r="C62" s="2" t="n"/>
      <c r="D62" s="2" t="n"/>
      <c r="E62" s="2" t="n"/>
      <c r="F62" s="2" t="n"/>
      <c r="G62" s="2" t="n"/>
      <c r="H62" s="2" t="n"/>
      <c r="I62" s="2" t="n"/>
      <c r="J62" s="2">
        <f>IF(COUNTA($A62:$F62)=0,"",IF($C62="","MissingDate",IF(OR($A62="",$D62="",$E62="",$D62=$E62),"InvalidSchedule",IF(COUNTIF(ActiveActivityCodes,$F62)=0,"InvalidCode",IF(COUNTIFS(tblScheduleData[EmployeeID],$A62,tblScheduleData[OperationalDate],$C62,tblScheduleData[ShiftStart],$D62,tblScheduleData[ShiftEnd],$E62,tblScheduleData[ActivityCode],$F62)&gt;1,"Duplicate","Valid")))))</f>
        <v/>
      </c>
      <c r="K62" s="2" t="n"/>
    </row>
    <row r="63">
      <c r="A63" s="2" t="inlineStr"/>
      <c r="B63" s="2" t="n"/>
      <c r="C63" s="2" t="n"/>
      <c r="D63" s="2" t="n"/>
      <c r="E63" s="2" t="n"/>
      <c r="F63" s="2" t="n"/>
      <c r="G63" s="2" t="n"/>
      <c r="H63" s="2" t="n"/>
      <c r="I63" s="2" t="n"/>
      <c r="J63" s="2">
        <f>IF(COUNTA($A63:$F63)=0,"",IF($C63="","MissingDate",IF(OR($A63="",$D63="",$E63="",$D63=$E63),"InvalidSchedule",IF(COUNTIF(ActiveActivityCodes,$F63)=0,"InvalidCode",IF(COUNTIFS(tblScheduleData[EmployeeID],$A63,tblScheduleData[OperationalDate],$C63,tblScheduleData[ShiftStart],$D63,tblScheduleData[ShiftEnd],$E63,tblScheduleData[ActivityCode],$F63)&gt;1,"Duplicate","Valid")))))</f>
        <v/>
      </c>
      <c r="K63" s="2" t="n"/>
    </row>
    <row r="64">
      <c r="A64" s="2" t="inlineStr"/>
      <c r="B64" s="2" t="n"/>
      <c r="C64" s="2" t="n"/>
      <c r="D64" s="2" t="n"/>
      <c r="E64" s="2" t="n"/>
      <c r="F64" s="2" t="n"/>
      <c r="G64" s="2" t="n"/>
      <c r="H64" s="2" t="n"/>
      <c r="I64" s="2" t="n"/>
      <c r="J64" s="2">
        <f>IF(COUNTA($A64:$F64)=0,"",IF($C64="","MissingDate",IF(OR($A64="",$D64="",$E64="",$D64=$E64),"InvalidSchedule",IF(COUNTIF(ActiveActivityCodes,$F64)=0,"InvalidCode",IF(COUNTIFS(tblScheduleData[EmployeeID],$A64,tblScheduleData[OperationalDate],$C64,tblScheduleData[ShiftStart],$D64,tblScheduleData[ShiftEnd],$E64,tblScheduleData[ActivityCode],$F64)&gt;1,"Duplicate","Valid")))))</f>
        <v/>
      </c>
      <c r="K64" s="2" t="n"/>
    </row>
    <row r="65">
      <c r="A65" s="2" t="inlineStr"/>
      <c r="B65" s="2" t="n"/>
      <c r="C65" s="2" t="n"/>
      <c r="D65" s="2" t="n"/>
      <c r="E65" s="2" t="n"/>
      <c r="F65" s="2" t="n"/>
      <c r="G65" s="2" t="n"/>
      <c r="H65" s="2" t="n"/>
      <c r="I65" s="2" t="n"/>
      <c r="J65" s="2">
        <f>IF(COUNTA($A65:$F65)=0,"",IF($C65="","MissingDate",IF(OR($A65="",$D65="",$E65="",$D65=$E65),"InvalidSchedule",IF(COUNTIF(ActiveActivityCodes,$F65)=0,"InvalidCode",IF(COUNTIFS(tblScheduleData[EmployeeID],$A65,tblScheduleData[OperationalDate],$C65,tblScheduleData[ShiftStart],$D65,tblScheduleData[ShiftEnd],$E65,tblScheduleData[ActivityCode],$F65)&gt;1,"Duplicate","Valid")))))</f>
        <v/>
      </c>
      <c r="K65" s="2" t="n"/>
    </row>
    <row r="66">
      <c r="A66" s="2" t="inlineStr"/>
      <c r="B66" s="2" t="n"/>
      <c r="C66" s="2" t="n"/>
      <c r="D66" s="2" t="n"/>
      <c r="E66" s="2" t="n"/>
      <c r="F66" s="2" t="n"/>
      <c r="G66" s="2" t="n"/>
      <c r="H66" s="2" t="n"/>
      <c r="I66" s="2" t="n"/>
      <c r="J66" s="2">
        <f>IF(COUNTA($A66:$F66)=0,"",IF($C66="","MissingDate",IF(OR($A66="",$D66="",$E66="",$D66=$E66),"InvalidSchedule",IF(COUNTIF(ActiveActivityCodes,$F66)=0,"InvalidCode",IF(COUNTIFS(tblScheduleData[EmployeeID],$A66,tblScheduleData[OperationalDate],$C66,tblScheduleData[ShiftStart],$D66,tblScheduleData[ShiftEnd],$E66,tblScheduleData[ActivityCode],$F66)&gt;1,"Duplicate","Valid")))))</f>
        <v/>
      </c>
      <c r="K66" s="2" t="n"/>
    </row>
    <row r="67">
      <c r="A67" s="2" t="inlineStr"/>
      <c r="B67" s="2" t="n"/>
      <c r="C67" s="2" t="n"/>
      <c r="D67" s="2" t="n"/>
      <c r="E67" s="2" t="n"/>
      <c r="F67" s="2" t="n"/>
      <c r="G67" s="2" t="n"/>
      <c r="H67" s="2" t="n"/>
      <c r="I67" s="2" t="n"/>
      <c r="J67" s="2">
        <f>IF(COUNTA($A67:$F67)=0,"",IF($C67="","MissingDate",IF(OR($A67="",$D67="",$E67="",$D67=$E67),"InvalidSchedule",IF(COUNTIF(ActiveActivityCodes,$F67)=0,"InvalidCode",IF(COUNTIFS(tblScheduleData[EmployeeID],$A67,tblScheduleData[OperationalDate],$C67,tblScheduleData[ShiftStart],$D67,tblScheduleData[ShiftEnd],$E67,tblScheduleData[ActivityCode],$F67)&gt;1,"Duplicate","Valid")))))</f>
        <v/>
      </c>
      <c r="K67" s="2" t="n"/>
    </row>
    <row r="68">
      <c r="A68" s="2" t="inlineStr"/>
      <c r="B68" s="2" t="n"/>
      <c r="C68" s="2" t="n"/>
      <c r="D68" s="2" t="n"/>
      <c r="E68" s="2" t="n"/>
      <c r="F68" s="2" t="n"/>
      <c r="G68" s="2" t="n"/>
      <c r="H68" s="2" t="n"/>
      <c r="I68" s="2" t="n"/>
      <c r="J68" s="2">
        <f>IF(COUNTA($A68:$F68)=0,"",IF($C68="","MissingDate",IF(OR($A68="",$D68="",$E68="",$D68=$E68),"InvalidSchedule",IF(COUNTIF(ActiveActivityCodes,$F68)=0,"InvalidCode",IF(COUNTIFS(tblScheduleData[EmployeeID],$A68,tblScheduleData[OperationalDate],$C68,tblScheduleData[ShiftStart],$D68,tblScheduleData[ShiftEnd],$E68,tblScheduleData[ActivityCode],$F68)&gt;1,"Duplicate","Valid")))))</f>
        <v/>
      </c>
      <c r="K68" s="2" t="n"/>
    </row>
    <row r="69">
      <c r="A69" s="2" t="inlineStr"/>
      <c r="B69" s="2" t="n"/>
      <c r="C69" s="2" t="n"/>
      <c r="D69" s="2" t="n"/>
      <c r="E69" s="2" t="n"/>
      <c r="F69" s="2" t="n"/>
      <c r="G69" s="2" t="n"/>
      <c r="H69" s="2" t="n"/>
      <c r="I69" s="2" t="n"/>
      <c r="J69" s="2">
        <f>IF(COUNTA($A69:$F69)=0,"",IF($C69="","MissingDate",IF(OR($A69="",$D69="",$E69="",$D69=$E69),"InvalidSchedule",IF(COUNTIF(ActiveActivityCodes,$F69)=0,"InvalidCode",IF(COUNTIFS(tblScheduleData[EmployeeID],$A69,tblScheduleData[OperationalDate],$C69,tblScheduleData[ShiftStart],$D69,tblScheduleData[ShiftEnd],$E69,tblScheduleData[ActivityCode],$F69)&gt;1,"Duplicate","Valid")))))</f>
        <v/>
      </c>
      <c r="K69" s="2" t="n"/>
    </row>
    <row r="70">
      <c r="A70" s="2" t="inlineStr"/>
      <c r="B70" s="2" t="n"/>
      <c r="C70" s="2" t="n"/>
      <c r="D70" s="2" t="n"/>
      <c r="E70" s="2" t="n"/>
      <c r="F70" s="2" t="n"/>
      <c r="G70" s="2" t="n"/>
      <c r="H70" s="2" t="n"/>
      <c r="I70" s="2" t="n"/>
      <c r="J70" s="2">
        <f>IF(COUNTA($A70:$F70)=0,"",IF($C70="","MissingDate",IF(OR($A70="",$D70="",$E70="",$D70=$E70),"InvalidSchedule",IF(COUNTIF(ActiveActivityCodes,$F70)=0,"InvalidCode",IF(COUNTIFS(tblScheduleData[EmployeeID],$A70,tblScheduleData[OperationalDate],$C70,tblScheduleData[ShiftStart],$D70,tblScheduleData[ShiftEnd],$E70,tblScheduleData[ActivityCode],$F70)&gt;1,"Duplicate","Valid")))))</f>
        <v/>
      </c>
      <c r="K70" s="2" t="n"/>
    </row>
    <row r="71">
      <c r="A71" s="2" t="inlineStr"/>
      <c r="B71" s="2" t="n"/>
      <c r="C71" s="2" t="n"/>
      <c r="D71" s="2" t="n"/>
      <c r="E71" s="2" t="n"/>
      <c r="F71" s="2" t="n"/>
      <c r="G71" s="2" t="n"/>
      <c r="H71" s="2" t="n"/>
      <c r="I71" s="2" t="n"/>
      <c r="J71" s="2">
        <f>IF(COUNTA($A71:$F71)=0,"",IF($C71="","MissingDate",IF(OR($A71="",$D71="",$E71="",$D71=$E71),"InvalidSchedule",IF(COUNTIF(ActiveActivityCodes,$F71)=0,"InvalidCode",IF(COUNTIFS(tblScheduleData[EmployeeID],$A71,tblScheduleData[OperationalDate],$C71,tblScheduleData[ShiftStart],$D71,tblScheduleData[ShiftEnd],$E71,tblScheduleData[ActivityCode],$F71)&gt;1,"Duplicate","Valid")))))</f>
        <v/>
      </c>
      <c r="K71" s="2" t="n"/>
    </row>
    <row r="72">
      <c r="A72" s="2" t="inlineStr"/>
      <c r="B72" s="2" t="n"/>
      <c r="C72" s="2" t="n"/>
      <c r="D72" s="2" t="n"/>
      <c r="E72" s="2" t="n"/>
      <c r="F72" s="2" t="n"/>
      <c r="G72" s="2" t="n"/>
      <c r="H72" s="2" t="n"/>
      <c r="I72" s="2" t="n"/>
      <c r="J72" s="2">
        <f>IF(COUNTA($A72:$F72)=0,"",IF($C72="","MissingDate",IF(OR($A72="",$D72="",$E72="",$D72=$E72),"InvalidSchedule",IF(COUNTIF(ActiveActivityCodes,$F72)=0,"InvalidCode",IF(COUNTIFS(tblScheduleData[EmployeeID],$A72,tblScheduleData[OperationalDate],$C72,tblScheduleData[ShiftStart],$D72,tblScheduleData[ShiftEnd],$E72,tblScheduleData[ActivityCode],$F72)&gt;1,"Duplicate","Valid")))))</f>
        <v/>
      </c>
      <c r="K72" s="2" t="n"/>
    </row>
    <row r="73">
      <c r="A73" s="2" t="inlineStr"/>
      <c r="B73" s="2" t="n"/>
      <c r="C73" s="2" t="n"/>
      <c r="D73" s="2" t="n"/>
      <c r="E73" s="2" t="n"/>
      <c r="F73" s="2" t="n"/>
      <c r="G73" s="2" t="n"/>
      <c r="H73" s="2" t="n"/>
      <c r="I73" s="2" t="n"/>
      <c r="J73" s="2">
        <f>IF(COUNTA($A73:$F73)=0,"",IF($C73="","MissingDate",IF(OR($A73="",$D73="",$E73="",$D73=$E73),"InvalidSchedule",IF(COUNTIF(ActiveActivityCodes,$F73)=0,"InvalidCode",IF(COUNTIFS(tblScheduleData[EmployeeID],$A73,tblScheduleData[OperationalDate],$C73,tblScheduleData[ShiftStart],$D73,tblScheduleData[ShiftEnd],$E73,tblScheduleData[ActivityCode],$F73)&gt;1,"Duplicate","Valid")))))</f>
        <v/>
      </c>
      <c r="K73" s="2" t="n"/>
    </row>
    <row r="74">
      <c r="A74" s="2" t="inlineStr"/>
      <c r="B74" s="2" t="n"/>
      <c r="C74" s="2" t="n"/>
      <c r="D74" s="2" t="n"/>
      <c r="E74" s="2" t="n"/>
      <c r="F74" s="2" t="n"/>
      <c r="G74" s="2" t="n"/>
      <c r="H74" s="2" t="n"/>
      <c r="I74" s="2" t="n"/>
      <c r="J74" s="2">
        <f>IF(COUNTA($A74:$F74)=0,"",IF($C74="","MissingDate",IF(OR($A74="",$D74="",$E74="",$D74=$E74),"InvalidSchedule",IF(COUNTIF(ActiveActivityCodes,$F74)=0,"InvalidCode",IF(COUNTIFS(tblScheduleData[EmployeeID],$A74,tblScheduleData[OperationalDate],$C74,tblScheduleData[ShiftStart],$D74,tblScheduleData[ShiftEnd],$E74,tblScheduleData[ActivityCode],$F74)&gt;1,"Duplicate","Valid")))))</f>
        <v/>
      </c>
      <c r="K74" s="2" t="n"/>
    </row>
    <row r="75">
      <c r="A75" s="2" t="inlineStr"/>
      <c r="B75" s="2" t="n"/>
      <c r="C75" s="2" t="n"/>
      <c r="D75" s="2" t="n"/>
      <c r="E75" s="2" t="n"/>
      <c r="F75" s="2" t="n"/>
      <c r="G75" s="2" t="n"/>
      <c r="H75" s="2" t="n"/>
      <c r="I75" s="2" t="n"/>
      <c r="J75" s="2">
        <f>IF(COUNTA($A75:$F75)=0,"",IF($C75="","MissingDate",IF(OR($A75="",$D75="",$E75="",$D75=$E75),"InvalidSchedule",IF(COUNTIF(ActiveActivityCodes,$F75)=0,"InvalidCode",IF(COUNTIFS(tblScheduleData[EmployeeID],$A75,tblScheduleData[OperationalDate],$C75,tblScheduleData[ShiftStart],$D75,tblScheduleData[ShiftEnd],$E75,tblScheduleData[ActivityCode],$F75)&gt;1,"Duplicate","Valid")))))</f>
        <v/>
      </c>
      <c r="K75" s="2" t="n"/>
    </row>
    <row r="76">
      <c r="A76" s="2" t="inlineStr"/>
      <c r="B76" s="2" t="n"/>
      <c r="C76" s="2" t="n"/>
      <c r="D76" s="2" t="n"/>
      <c r="E76" s="2" t="n"/>
      <c r="F76" s="2" t="n"/>
      <c r="G76" s="2" t="n"/>
      <c r="H76" s="2" t="n"/>
      <c r="I76" s="2" t="n"/>
      <c r="J76" s="2">
        <f>IF(COUNTA($A76:$F76)=0,"",IF($C76="","MissingDate",IF(OR($A76="",$D76="",$E76="",$D76=$E76),"InvalidSchedule",IF(COUNTIF(ActiveActivityCodes,$F76)=0,"InvalidCode",IF(COUNTIFS(tblScheduleData[EmployeeID],$A76,tblScheduleData[OperationalDate],$C76,tblScheduleData[ShiftStart],$D76,tblScheduleData[ShiftEnd],$E76,tblScheduleData[ActivityCode],$F76)&gt;1,"Duplicate","Valid")))))</f>
        <v/>
      </c>
      <c r="K76" s="2" t="n"/>
    </row>
    <row r="77">
      <c r="A77" s="2" t="inlineStr"/>
      <c r="B77" s="2" t="n"/>
      <c r="C77" s="2" t="n"/>
      <c r="D77" s="2" t="n"/>
      <c r="E77" s="2" t="n"/>
      <c r="F77" s="2" t="n"/>
      <c r="G77" s="2" t="n"/>
      <c r="H77" s="2" t="n"/>
      <c r="I77" s="2" t="n"/>
      <c r="J77" s="2">
        <f>IF(COUNTA($A77:$F77)=0,"",IF($C77="","MissingDate",IF(OR($A77="",$D77="",$E77="",$D77=$E77),"InvalidSchedule",IF(COUNTIF(ActiveActivityCodes,$F77)=0,"InvalidCode",IF(COUNTIFS(tblScheduleData[EmployeeID],$A77,tblScheduleData[OperationalDate],$C77,tblScheduleData[ShiftStart],$D77,tblScheduleData[ShiftEnd],$E77,tblScheduleData[ActivityCode],$F77)&gt;1,"Duplicate","Valid")))))</f>
        <v/>
      </c>
      <c r="K77" s="2" t="n"/>
    </row>
    <row r="78">
      <c r="A78" s="2" t="inlineStr"/>
      <c r="B78" s="2" t="n"/>
      <c r="C78" s="2" t="n"/>
      <c r="D78" s="2" t="n"/>
      <c r="E78" s="2" t="n"/>
      <c r="F78" s="2" t="n"/>
      <c r="G78" s="2" t="n"/>
      <c r="H78" s="2" t="n"/>
      <c r="I78" s="2" t="n"/>
      <c r="J78" s="2">
        <f>IF(COUNTA($A78:$F78)=0,"",IF($C78="","MissingDate",IF(OR($A78="",$D78="",$E78="",$D78=$E78),"InvalidSchedule",IF(COUNTIF(ActiveActivityCodes,$F78)=0,"InvalidCode",IF(COUNTIFS(tblScheduleData[EmployeeID],$A78,tblScheduleData[OperationalDate],$C78,tblScheduleData[ShiftStart],$D78,tblScheduleData[ShiftEnd],$E78,tblScheduleData[ActivityCode],$F78)&gt;1,"Duplicate","Valid")))))</f>
        <v/>
      </c>
      <c r="K78" s="2" t="n"/>
    </row>
    <row r="79">
      <c r="A79" s="2" t="inlineStr"/>
      <c r="B79" s="2" t="n"/>
      <c r="C79" s="2" t="n"/>
      <c r="D79" s="2" t="n"/>
      <c r="E79" s="2" t="n"/>
      <c r="F79" s="2" t="n"/>
      <c r="G79" s="2" t="n"/>
      <c r="H79" s="2" t="n"/>
      <c r="I79" s="2" t="n"/>
      <c r="J79" s="2">
        <f>IF(COUNTA($A79:$F79)=0,"",IF($C79="","MissingDate",IF(OR($A79="",$D79="",$E79="",$D79=$E79),"InvalidSchedule",IF(COUNTIF(ActiveActivityCodes,$F79)=0,"InvalidCode",IF(COUNTIFS(tblScheduleData[EmployeeID],$A79,tblScheduleData[OperationalDate],$C79,tblScheduleData[ShiftStart],$D79,tblScheduleData[ShiftEnd],$E79,tblScheduleData[ActivityCode],$F79)&gt;1,"Duplicate","Valid")))))</f>
        <v/>
      </c>
      <c r="K79" s="2" t="n"/>
    </row>
    <row r="80">
      <c r="A80" s="2" t="inlineStr"/>
      <c r="B80" s="2" t="n"/>
      <c r="C80" s="2" t="n"/>
      <c r="D80" s="2" t="n"/>
      <c r="E80" s="2" t="n"/>
      <c r="F80" s="2" t="n"/>
      <c r="G80" s="2" t="n"/>
      <c r="H80" s="2" t="n"/>
      <c r="I80" s="2" t="n"/>
      <c r="J80" s="2">
        <f>IF(COUNTA($A80:$F80)=0,"",IF($C80="","MissingDate",IF(OR($A80="",$D80="",$E80="",$D80=$E80),"InvalidSchedule",IF(COUNTIF(ActiveActivityCodes,$F80)=0,"InvalidCode",IF(COUNTIFS(tblScheduleData[EmployeeID],$A80,tblScheduleData[OperationalDate],$C80,tblScheduleData[ShiftStart],$D80,tblScheduleData[ShiftEnd],$E80,tblScheduleData[ActivityCode],$F80)&gt;1,"Duplicate","Valid")))))</f>
        <v/>
      </c>
      <c r="K80" s="2" t="n"/>
    </row>
    <row r="81">
      <c r="A81" s="2" t="inlineStr"/>
      <c r="B81" s="2" t="n"/>
      <c r="C81" s="2" t="n"/>
      <c r="D81" s="2" t="n"/>
      <c r="E81" s="2" t="n"/>
      <c r="F81" s="2" t="n"/>
      <c r="G81" s="2" t="n"/>
      <c r="H81" s="2" t="n"/>
      <c r="I81" s="2" t="n"/>
      <c r="J81" s="2">
        <f>IF(COUNTA($A81:$F81)=0,"",IF($C81="","MissingDate",IF(OR($A81="",$D81="",$E81="",$D81=$E81),"InvalidSchedule",IF(COUNTIF(ActiveActivityCodes,$F81)=0,"InvalidCode",IF(COUNTIFS(tblScheduleData[EmployeeID],$A81,tblScheduleData[OperationalDate],$C81,tblScheduleData[ShiftStart],$D81,tblScheduleData[ShiftEnd],$E81,tblScheduleData[ActivityCode],$F81)&gt;1,"Duplicate","Valid")))))</f>
        <v/>
      </c>
      <c r="K81" s="2" t="n"/>
    </row>
    <row r="82">
      <c r="A82" s="2" t="inlineStr"/>
      <c r="B82" s="2" t="n"/>
      <c r="C82" s="2" t="n"/>
      <c r="D82" s="2" t="n"/>
      <c r="E82" s="2" t="n"/>
      <c r="F82" s="2" t="n"/>
      <c r="G82" s="2" t="n"/>
      <c r="H82" s="2" t="n"/>
      <c r="I82" s="2" t="n"/>
      <c r="J82" s="2">
        <f>IF(COUNTA($A82:$F82)=0,"",IF($C82="","MissingDate",IF(OR($A82="",$D82="",$E82="",$D82=$E82),"InvalidSchedule",IF(COUNTIF(ActiveActivityCodes,$F82)=0,"InvalidCode",IF(COUNTIFS(tblScheduleData[EmployeeID],$A82,tblScheduleData[OperationalDate],$C82,tblScheduleData[ShiftStart],$D82,tblScheduleData[ShiftEnd],$E82,tblScheduleData[ActivityCode],$F82)&gt;1,"Duplicate","Valid")))))</f>
        <v/>
      </c>
      <c r="K82" s="2" t="n"/>
    </row>
    <row r="83">
      <c r="A83" s="2" t="inlineStr"/>
      <c r="B83" s="2" t="n"/>
      <c r="C83" s="2" t="n"/>
      <c r="D83" s="2" t="n"/>
      <c r="E83" s="2" t="n"/>
      <c r="F83" s="2" t="n"/>
      <c r="G83" s="2" t="n"/>
      <c r="H83" s="2" t="n"/>
      <c r="I83" s="2" t="n"/>
      <c r="J83" s="2">
        <f>IF(COUNTA($A83:$F83)=0,"",IF($C83="","MissingDate",IF(OR($A83="",$D83="",$E83="",$D83=$E83),"InvalidSchedule",IF(COUNTIF(ActiveActivityCodes,$F83)=0,"InvalidCode",IF(COUNTIFS(tblScheduleData[EmployeeID],$A83,tblScheduleData[OperationalDate],$C83,tblScheduleData[ShiftStart],$D83,tblScheduleData[ShiftEnd],$E83,tblScheduleData[ActivityCode],$F83)&gt;1,"Duplicate","Valid")))))</f>
        <v/>
      </c>
      <c r="K83" s="2" t="n"/>
    </row>
    <row r="84">
      <c r="A84" s="2" t="inlineStr"/>
      <c r="B84" s="2" t="n"/>
      <c r="C84" s="2" t="n"/>
      <c r="D84" s="2" t="n"/>
      <c r="E84" s="2" t="n"/>
      <c r="F84" s="2" t="n"/>
      <c r="G84" s="2" t="n"/>
      <c r="H84" s="2" t="n"/>
      <c r="I84" s="2" t="n"/>
      <c r="J84" s="2">
        <f>IF(COUNTA($A84:$F84)=0,"",IF($C84="","MissingDate",IF(OR($A84="",$D84="",$E84="",$D84=$E84),"InvalidSchedule",IF(COUNTIF(ActiveActivityCodes,$F84)=0,"InvalidCode",IF(COUNTIFS(tblScheduleData[EmployeeID],$A84,tblScheduleData[OperationalDate],$C84,tblScheduleData[ShiftStart],$D84,tblScheduleData[ShiftEnd],$E84,tblScheduleData[ActivityCode],$F84)&gt;1,"Duplicate","Valid")))))</f>
        <v/>
      </c>
      <c r="K84" s="2" t="n"/>
    </row>
    <row r="85">
      <c r="A85" s="2" t="inlineStr"/>
      <c r="B85" s="2" t="n"/>
      <c r="C85" s="2" t="n"/>
      <c r="D85" s="2" t="n"/>
      <c r="E85" s="2" t="n"/>
      <c r="F85" s="2" t="n"/>
      <c r="G85" s="2" t="n"/>
      <c r="H85" s="2" t="n"/>
      <c r="I85" s="2" t="n"/>
      <c r="J85" s="2">
        <f>IF(COUNTA($A85:$F85)=0,"",IF($C85="","MissingDate",IF(OR($A85="",$D85="",$E85="",$D85=$E85),"InvalidSchedule",IF(COUNTIF(ActiveActivityCodes,$F85)=0,"InvalidCode",IF(COUNTIFS(tblScheduleData[EmployeeID],$A85,tblScheduleData[OperationalDate],$C85,tblScheduleData[ShiftStart],$D85,tblScheduleData[ShiftEnd],$E85,tblScheduleData[ActivityCode],$F85)&gt;1,"Duplicate","Valid")))))</f>
        <v/>
      </c>
      <c r="K85" s="2" t="n"/>
    </row>
    <row r="86">
      <c r="A86" s="2" t="inlineStr"/>
      <c r="B86" s="2" t="n"/>
      <c r="C86" s="2" t="n"/>
      <c r="D86" s="2" t="n"/>
      <c r="E86" s="2" t="n"/>
      <c r="F86" s="2" t="n"/>
      <c r="G86" s="2" t="n"/>
      <c r="H86" s="2" t="n"/>
      <c r="I86" s="2" t="n"/>
      <c r="J86" s="2">
        <f>IF(COUNTA($A86:$F86)=0,"",IF($C86="","MissingDate",IF(OR($A86="",$D86="",$E86="",$D86=$E86),"InvalidSchedule",IF(COUNTIF(ActiveActivityCodes,$F86)=0,"InvalidCode",IF(COUNTIFS(tblScheduleData[EmployeeID],$A86,tblScheduleData[OperationalDate],$C86,tblScheduleData[ShiftStart],$D86,tblScheduleData[ShiftEnd],$E86,tblScheduleData[ActivityCode],$F86)&gt;1,"Duplicate","Valid")))))</f>
        <v/>
      </c>
      <c r="K86" s="2" t="n"/>
    </row>
    <row r="87">
      <c r="A87" s="2" t="inlineStr"/>
      <c r="B87" s="2" t="n"/>
      <c r="C87" s="2" t="n"/>
      <c r="D87" s="2" t="n"/>
      <c r="E87" s="2" t="n"/>
      <c r="F87" s="2" t="n"/>
      <c r="G87" s="2" t="n"/>
      <c r="H87" s="2" t="n"/>
      <c r="I87" s="2" t="n"/>
      <c r="J87" s="2">
        <f>IF(COUNTA($A87:$F87)=0,"",IF($C87="","MissingDate",IF(OR($A87="",$D87="",$E87="",$D87=$E87),"InvalidSchedule",IF(COUNTIF(ActiveActivityCodes,$F87)=0,"InvalidCode",IF(COUNTIFS(tblScheduleData[EmployeeID],$A87,tblScheduleData[OperationalDate],$C87,tblScheduleData[ShiftStart],$D87,tblScheduleData[ShiftEnd],$E87,tblScheduleData[ActivityCode],$F87)&gt;1,"Duplicate","Valid")))))</f>
        <v/>
      </c>
      <c r="K87" s="2" t="n"/>
    </row>
    <row r="88">
      <c r="A88" s="2" t="inlineStr"/>
      <c r="B88" s="2" t="n"/>
      <c r="C88" s="2" t="n"/>
      <c r="D88" s="2" t="n"/>
      <c r="E88" s="2" t="n"/>
      <c r="F88" s="2" t="n"/>
      <c r="G88" s="2" t="n"/>
      <c r="H88" s="2" t="n"/>
      <c r="I88" s="2" t="n"/>
      <c r="J88" s="2">
        <f>IF(COUNTA($A88:$F88)=0,"",IF($C88="","MissingDate",IF(OR($A88="",$D88="",$E88="",$D88=$E88),"InvalidSchedule",IF(COUNTIF(ActiveActivityCodes,$F88)=0,"InvalidCode",IF(COUNTIFS(tblScheduleData[EmployeeID],$A88,tblScheduleData[OperationalDate],$C88,tblScheduleData[ShiftStart],$D88,tblScheduleData[ShiftEnd],$E88,tblScheduleData[ActivityCode],$F88)&gt;1,"Duplicate","Valid")))))</f>
        <v/>
      </c>
      <c r="K88" s="2" t="n"/>
    </row>
    <row r="89">
      <c r="A89" s="2" t="inlineStr"/>
      <c r="B89" s="2" t="n"/>
      <c r="C89" s="2" t="n"/>
      <c r="D89" s="2" t="n"/>
      <c r="E89" s="2" t="n"/>
      <c r="F89" s="2" t="n"/>
      <c r="G89" s="2" t="n"/>
      <c r="H89" s="2" t="n"/>
      <c r="I89" s="2" t="n"/>
      <c r="J89" s="2">
        <f>IF(COUNTA($A89:$F89)=0,"",IF($C89="","MissingDate",IF(OR($A89="",$D89="",$E89="",$D89=$E89),"InvalidSchedule",IF(COUNTIF(ActiveActivityCodes,$F89)=0,"InvalidCode",IF(COUNTIFS(tblScheduleData[EmployeeID],$A89,tblScheduleData[OperationalDate],$C89,tblScheduleData[ShiftStart],$D89,tblScheduleData[ShiftEnd],$E89,tblScheduleData[ActivityCode],$F89)&gt;1,"Duplicate","Valid")))))</f>
        <v/>
      </c>
      <c r="K89" s="2" t="n"/>
    </row>
    <row r="90">
      <c r="A90" s="2" t="inlineStr"/>
      <c r="B90" s="2" t="n"/>
      <c r="C90" s="2" t="n"/>
      <c r="D90" s="2" t="n"/>
      <c r="E90" s="2" t="n"/>
      <c r="F90" s="2" t="n"/>
      <c r="G90" s="2" t="n"/>
      <c r="H90" s="2" t="n"/>
      <c r="I90" s="2" t="n"/>
      <c r="J90" s="2">
        <f>IF(COUNTA($A90:$F90)=0,"",IF($C90="","MissingDate",IF(OR($A90="",$D90="",$E90="",$D90=$E90),"InvalidSchedule",IF(COUNTIF(ActiveActivityCodes,$F90)=0,"InvalidCode",IF(COUNTIFS(tblScheduleData[EmployeeID],$A90,tblScheduleData[OperationalDate],$C90,tblScheduleData[ShiftStart],$D90,tblScheduleData[ShiftEnd],$E90,tblScheduleData[ActivityCode],$F90)&gt;1,"Duplicate","Valid")))))</f>
        <v/>
      </c>
      <c r="K90" s="2" t="n"/>
    </row>
    <row r="91">
      <c r="A91" s="2" t="inlineStr"/>
      <c r="B91" s="2" t="n"/>
      <c r="C91" s="2" t="n"/>
      <c r="D91" s="2" t="n"/>
      <c r="E91" s="2" t="n"/>
      <c r="F91" s="2" t="n"/>
      <c r="G91" s="2" t="n"/>
      <c r="H91" s="2" t="n"/>
      <c r="I91" s="2" t="n"/>
      <c r="J91" s="2">
        <f>IF(COUNTA($A91:$F91)=0,"",IF($C91="","MissingDate",IF(OR($A91="",$D91="",$E91="",$D91=$E91),"InvalidSchedule",IF(COUNTIF(ActiveActivityCodes,$F91)=0,"InvalidCode",IF(COUNTIFS(tblScheduleData[EmployeeID],$A91,tblScheduleData[OperationalDate],$C91,tblScheduleData[ShiftStart],$D91,tblScheduleData[ShiftEnd],$E91,tblScheduleData[ActivityCode],$F91)&gt;1,"Duplicate","Valid")))))</f>
        <v/>
      </c>
      <c r="K91" s="2" t="n"/>
    </row>
    <row r="92">
      <c r="A92" s="2" t="inlineStr"/>
      <c r="B92" s="2" t="n"/>
      <c r="C92" s="2" t="n"/>
      <c r="D92" s="2" t="n"/>
      <c r="E92" s="2" t="n"/>
      <c r="F92" s="2" t="n"/>
      <c r="G92" s="2" t="n"/>
      <c r="H92" s="2" t="n"/>
      <c r="I92" s="2" t="n"/>
      <c r="J92" s="2">
        <f>IF(COUNTA($A92:$F92)=0,"",IF($C92="","MissingDate",IF(OR($A92="",$D92="",$E92="",$D92=$E92),"InvalidSchedule",IF(COUNTIF(ActiveActivityCodes,$F92)=0,"InvalidCode",IF(COUNTIFS(tblScheduleData[EmployeeID],$A92,tblScheduleData[OperationalDate],$C92,tblScheduleData[ShiftStart],$D92,tblScheduleData[ShiftEnd],$E92,tblScheduleData[ActivityCode],$F92)&gt;1,"Duplicate","Valid")))))</f>
        <v/>
      </c>
      <c r="K92" s="2" t="n"/>
    </row>
    <row r="93">
      <c r="A93" s="2" t="inlineStr"/>
      <c r="B93" s="2" t="n"/>
      <c r="C93" s="2" t="n"/>
      <c r="D93" s="2" t="n"/>
      <c r="E93" s="2" t="n"/>
      <c r="F93" s="2" t="n"/>
      <c r="G93" s="2" t="n"/>
      <c r="H93" s="2" t="n"/>
      <c r="I93" s="2" t="n"/>
      <c r="J93" s="2">
        <f>IF(COUNTA($A93:$F93)=0,"",IF($C93="","MissingDate",IF(OR($A93="",$D93="",$E93="",$D93=$E93),"InvalidSchedule",IF(COUNTIF(ActiveActivityCodes,$F93)=0,"InvalidCode",IF(COUNTIFS(tblScheduleData[EmployeeID],$A93,tblScheduleData[OperationalDate],$C93,tblScheduleData[ShiftStart],$D93,tblScheduleData[ShiftEnd],$E93,tblScheduleData[ActivityCode],$F93)&gt;1,"Duplicate","Valid")))))</f>
        <v/>
      </c>
      <c r="K93" s="2" t="n"/>
    </row>
    <row r="94">
      <c r="A94" s="2" t="inlineStr"/>
      <c r="B94" s="2" t="n"/>
      <c r="C94" s="2" t="n"/>
      <c r="D94" s="2" t="n"/>
      <c r="E94" s="2" t="n"/>
      <c r="F94" s="2" t="n"/>
      <c r="G94" s="2" t="n"/>
      <c r="H94" s="2" t="n"/>
      <c r="I94" s="2" t="n"/>
      <c r="J94" s="2">
        <f>IF(COUNTA($A94:$F94)=0,"",IF($C94="","MissingDate",IF(OR($A94="",$D94="",$E94="",$D94=$E94),"InvalidSchedule",IF(COUNTIF(ActiveActivityCodes,$F94)=0,"InvalidCode",IF(COUNTIFS(tblScheduleData[EmployeeID],$A94,tblScheduleData[OperationalDate],$C94,tblScheduleData[ShiftStart],$D94,tblScheduleData[ShiftEnd],$E94,tblScheduleData[ActivityCode],$F94)&gt;1,"Duplicate","Valid")))))</f>
        <v/>
      </c>
      <c r="K94" s="2" t="n"/>
    </row>
    <row r="95">
      <c r="A95" s="2" t="inlineStr"/>
      <c r="B95" s="2" t="n"/>
      <c r="C95" s="2" t="n"/>
      <c r="D95" s="2" t="n"/>
      <c r="E95" s="2" t="n"/>
      <c r="F95" s="2" t="n"/>
      <c r="G95" s="2" t="n"/>
      <c r="H95" s="2" t="n"/>
      <c r="I95" s="2" t="n"/>
      <c r="J95" s="2">
        <f>IF(COUNTA($A95:$F95)=0,"",IF($C95="","MissingDate",IF(OR($A95="",$D95="",$E95="",$D95=$E95),"InvalidSchedule",IF(COUNTIF(ActiveActivityCodes,$F95)=0,"InvalidCode",IF(COUNTIFS(tblScheduleData[EmployeeID],$A95,tblScheduleData[OperationalDate],$C95,tblScheduleData[ShiftStart],$D95,tblScheduleData[ShiftEnd],$E95,tblScheduleData[ActivityCode],$F95)&gt;1,"Duplicate","Valid")))))</f>
        <v/>
      </c>
      <c r="K95" s="2" t="n"/>
    </row>
    <row r="96">
      <c r="A96" s="2" t="inlineStr"/>
      <c r="B96" s="2" t="n"/>
      <c r="C96" s="2" t="n"/>
      <c r="D96" s="2" t="n"/>
      <c r="E96" s="2" t="n"/>
      <c r="F96" s="2" t="n"/>
      <c r="G96" s="2" t="n"/>
      <c r="H96" s="2" t="n"/>
      <c r="I96" s="2" t="n"/>
      <c r="J96" s="2">
        <f>IF(COUNTA($A96:$F96)=0,"",IF($C96="","MissingDate",IF(OR($A96="",$D96="",$E96="",$D96=$E96),"InvalidSchedule",IF(COUNTIF(ActiveActivityCodes,$F96)=0,"InvalidCode",IF(COUNTIFS(tblScheduleData[EmployeeID],$A96,tblScheduleData[OperationalDate],$C96,tblScheduleData[ShiftStart],$D96,tblScheduleData[ShiftEnd],$E96,tblScheduleData[ActivityCode],$F96)&gt;1,"Duplicate","Valid")))))</f>
        <v/>
      </c>
      <c r="K96" s="2" t="n"/>
    </row>
    <row r="97">
      <c r="A97" s="2" t="inlineStr"/>
      <c r="B97" s="2" t="n"/>
      <c r="C97" s="2" t="n"/>
      <c r="D97" s="2" t="n"/>
      <c r="E97" s="2" t="n"/>
      <c r="F97" s="2" t="n"/>
      <c r="G97" s="2" t="n"/>
      <c r="H97" s="2" t="n"/>
      <c r="I97" s="2" t="n"/>
      <c r="J97" s="2">
        <f>IF(COUNTA($A97:$F97)=0,"",IF($C97="","MissingDate",IF(OR($A97="",$D97="",$E97="",$D97=$E97),"InvalidSchedule",IF(COUNTIF(ActiveActivityCodes,$F97)=0,"InvalidCode",IF(COUNTIFS(tblScheduleData[EmployeeID],$A97,tblScheduleData[OperationalDate],$C97,tblScheduleData[ShiftStart],$D97,tblScheduleData[ShiftEnd],$E97,tblScheduleData[ActivityCode],$F97)&gt;1,"Duplicate","Valid")))))</f>
        <v/>
      </c>
      <c r="K97" s="2" t="n"/>
    </row>
    <row r="98">
      <c r="A98" s="2" t="inlineStr"/>
      <c r="B98" s="2" t="n"/>
      <c r="C98" s="2" t="n"/>
      <c r="D98" s="2" t="n"/>
      <c r="E98" s="2" t="n"/>
      <c r="F98" s="2" t="n"/>
      <c r="G98" s="2" t="n"/>
      <c r="H98" s="2" t="n"/>
      <c r="I98" s="2" t="n"/>
      <c r="J98" s="2">
        <f>IF(COUNTA($A98:$F98)=0,"",IF($C98="","MissingDate",IF(OR($A98="",$D98="",$E98="",$D98=$E98),"InvalidSchedule",IF(COUNTIF(ActiveActivityCodes,$F98)=0,"InvalidCode",IF(COUNTIFS(tblScheduleData[EmployeeID],$A98,tblScheduleData[OperationalDate],$C98,tblScheduleData[ShiftStart],$D98,tblScheduleData[ShiftEnd],$E98,tblScheduleData[ActivityCode],$F98)&gt;1,"Duplicate","Valid")))))</f>
        <v/>
      </c>
      <c r="K98" s="2" t="n"/>
    </row>
    <row r="99">
      <c r="A99" s="2" t="inlineStr"/>
      <c r="B99" s="2" t="n"/>
      <c r="C99" s="2" t="n"/>
      <c r="D99" s="2" t="n"/>
      <c r="E99" s="2" t="n"/>
      <c r="F99" s="2" t="n"/>
      <c r="G99" s="2" t="n"/>
      <c r="H99" s="2" t="n"/>
      <c r="I99" s="2" t="n"/>
      <c r="J99" s="2">
        <f>IF(COUNTA($A99:$F99)=0,"",IF($C99="","MissingDate",IF(OR($A99="",$D99="",$E99="",$D99=$E99),"InvalidSchedule",IF(COUNTIF(ActiveActivityCodes,$F99)=0,"InvalidCode",IF(COUNTIFS(tblScheduleData[EmployeeID],$A99,tblScheduleData[OperationalDate],$C99,tblScheduleData[ShiftStart],$D99,tblScheduleData[ShiftEnd],$E99,tblScheduleData[ActivityCode],$F99)&gt;1,"Duplicate","Valid")))))</f>
        <v/>
      </c>
      <c r="K99" s="2" t="n"/>
    </row>
    <row r="100">
      <c r="A100" s="2" t="inlineStr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>
        <f>IF(COUNTA($A100:$F100)=0,"",IF($C100="","MissingDate",IF(OR($A100="",$D100="",$E100="",$D100=$E100),"InvalidSchedule",IF(COUNTIF(ActiveActivityCodes,$F100)=0,"InvalidCode",IF(COUNTIFS(tblScheduleData[EmployeeID],$A100,tblScheduleData[OperationalDate],$C100,tblScheduleData[ShiftStart],$D100,tblScheduleData[ShiftEnd],$E100,tblScheduleData[ActivityCode],$F100)&gt;1,"Duplicate","Valid")))))</f>
        <v/>
      </c>
      <c r="K100" s="2" t="n"/>
    </row>
    <row r="101">
      <c r="A101" s="2" t="inlineStr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>
        <f>IF(COUNTA($A101:$F101)=0,"",IF($C101="","MissingDate",IF(OR($A101="",$D101="",$E101="",$D101=$E101),"InvalidSchedule",IF(COUNTIF(ActiveActivityCodes,$F101)=0,"InvalidCode",IF(COUNTIFS(tblScheduleData[EmployeeID],$A101,tblScheduleData[OperationalDate],$C101,tblScheduleData[ShiftStart],$D101,tblScheduleData[ShiftEnd],$E101,tblScheduleData[ActivityCode],$F101)&gt;1,"Duplicate","Valid")))))</f>
        <v/>
      </c>
      <c r="K101" s="2" t="n"/>
    </row>
    <row r="102">
      <c r="A102" s="2" t="inlineStr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>
        <f>IF(COUNTA($A102:$F102)=0,"",IF($C102="","MissingDate",IF(OR($A102="",$D102="",$E102="",$D102=$E102),"InvalidSchedule",IF(COUNTIF(ActiveActivityCodes,$F102)=0,"InvalidCode",IF(COUNTIFS(tblScheduleData[EmployeeID],$A102,tblScheduleData[OperationalDate],$C102,tblScheduleData[ShiftStart],$D102,tblScheduleData[ShiftEnd],$E102,tblScheduleData[ActivityCode],$F102)&gt;1,"Duplicate","Valid")))))</f>
        <v/>
      </c>
      <c r="K102" s="2" t="n"/>
    </row>
    <row r="103">
      <c r="A103" s="2" t="inlineStr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>
        <f>IF(COUNTA($A103:$F103)=0,"",IF($C103="","MissingDate",IF(OR($A103="",$D103="",$E103="",$D103=$E103),"InvalidSchedule",IF(COUNTIF(ActiveActivityCodes,$F103)=0,"InvalidCode",IF(COUNTIFS(tblScheduleData[EmployeeID],$A103,tblScheduleData[OperationalDate],$C103,tblScheduleData[ShiftStart],$D103,tblScheduleData[ShiftEnd],$E103,tblScheduleData[ActivityCode],$F103)&gt;1,"Duplicate","Valid")))))</f>
        <v/>
      </c>
      <c r="K103" s="2" t="n"/>
    </row>
    <row r="104">
      <c r="A104" s="2" t="inlineStr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>
        <f>IF(COUNTA($A104:$F104)=0,"",IF($C104="","MissingDate",IF(OR($A104="",$D104="",$E104="",$D104=$E104),"InvalidSchedule",IF(COUNTIF(ActiveActivityCodes,$F104)=0,"InvalidCode",IF(COUNTIFS(tblScheduleData[EmployeeID],$A104,tblScheduleData[OperationalDate],$C104,tblScheduleData[ShiftStart],$D104,tblScheduleData[ShiftEnd],$E104,tblScheduleData[ActivityCode],$F104)&gt;1,"Duplicate","Valid")))))</f>
        <v/>
      </c>
      <c r="K104" s="2" t="n"/>
    </row>
    <row r="105">
      <c r="A105" s="2" t="inlineStr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>
        <f>IF(COUNTA($A105:$F105)=0,"",IF($C105="","MissingDate",IF(OR($A105="",$D105="",$E105="",$D105=$E105),"InvalidSchedule",IF(COUNTIF(ActiveActivityCodes,$F105)=0,"InvalidCode",IF(COUNTIFS(tblScheduleData[EmployeeID],$A105,tblScheduleData[OperationalDate],$C105,tblScheduleData[ShiftStart],$D105,tblScheduleData[ShiftEnd],$E105,tblScheduleData[ActivityCode],$F105)&gt;1,"Duplicate","Valid")))))</f>
        <v/>
      </c>
      <c r="K105" s="2" t="n"/>
    </row>
    <row r="106">
      <c r="A106" s="2" t="inlineStr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>
        <f>IF(COUNTA($A106:$F106)=0,"",IF($C106="","MissingDate",IF(OR($A106="",$D106="",$E106="",$D106=$E106),"InvalidSchedule",IF(COUNTIF(ActiveActivityCodes,$F106)=0,"InvalidCode",IF(COUNTIFS(tblScheduleData[EmployeeID],$A106,tblScheduleData[OperationalDate],$C106,tblScheduleData[ShiftStart],$D106,tblScheduleData[ShiftEnd],$E106,tblScheduleData[ActivityCode],$F106)&gt;1,"Duplicate","Valid")))))</f>
        <v/>
      </c>
      <c r="K106" s="2" t="n"/>
    </row>
    <row r="107">
      <c r="A107" s="2" t="inlineStr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>
        <f>IF(COUNTA($A107:$F107)=0,"",IF($C107="","MissingDate",IF(OR($A107="",$D107="",$E107="",$D107=$E107),"InvalidSchedule",IF(COUNTIF(ActiveActivityCodes,$F107)=0,"InvalidCode",IF(COUNTIFS(tblScheduleData[EmployeeID],$A107,tblScheduleData[OperationalDate],$C107,tblScheduleData[ShiftStart],$D107,tblScheduleData[ShiftEnd],$E107,tblScheduleData[ActivityCode],$F107)&gt;1,"Duplicate","Valid")))))</f>
        <v/>
      </c>
      <c r="K107" s="2" t="n"/>
    </row>
    <row r="108">
      <c r="A108" s="2" t="inlineStr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>
        <f>IF(COUNTA($A108:$F108)=0,"",IF($C108="","MissingDate",IF(OR($A108="",$D108="",$E108="",$D108=$E108),"InvalidSchedule",IF(COUNTIF(ActiveActivityCodes,$F108)=0,"InvalidCode",IF(COUNTIFS(tblScheduleData[EmployeeID],$A108,tblScheduleData[OperationalDate],$C108,tblScheduleData[ShiftStart],$D108,tblScheduleData[ShiftEnd],$E108,tblScheduleData[ActivityCode],$F108)&gt;1,"Duplicate","Valid")))))</f>
        <v/>
      </c>
      <c r="K108" s="2" t="n"/>
    </row>
    <row r="109">
      <c r="A109" s="2" t="inlineStr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>
        <f>IF(COUNTA($A109:$F109)=0,"",IF($C109="","MissingDate",IF(OR($A109="",$D109="",$E109="",$D109=$E109),"InvalidSchedule",IF(COUNTIF(ActiveActivityCodes,$F109)=0,"InvalidCode",IF(COUNTIFS(tblScheduleData[EmployeeID],$A109,tblScheduleData[OperationalDate],$C109,tblScheduleData[ShiftStart],$D109,tblScheduleData[ShiftEnd],$E109,tblScheduleData[ActivityCode],$F109)&gt;1,"Duplicate","Valid")))))</f>
        <v/>
      </c>
      <c r="K109" s="2" t="n"/>
    </row>
    <row r="110">
      <c r="A110" s="2" t="inlineStr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>
        <f>IF(COUNTA($A110:$F110)=0,"",IF($C110="","MissingDate",IF(OR($A110="",$D110="",$E110="",$D110=$E110),"InvalidSchedule",IF(COUNTIF(ActiveActivityCodes,$F110)=0,"InvalidCode",IF(COUNTIFS(tblScheduleData[EmployeeID],$A110,tblScheduleData[OperationalDate],$C110,tblScheduleData[ShiftStart],$D110,tblScheduleData[ShiftEnd],$E110,tblScheduleData[ActivityCode],$F110)&gt;1,"Duplicate","Valid")))))</f>
        <v/>
      </c>
      <c r="K110" s="2" t="n"/>
    </row>
    <row r="111">
      <c r="A111" s="2" t="inlineStr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>
        <f>IF(COUNTA($A111:$F111)=0,"",IF($C111="","MissingDate",IF(OR($A111="",$D111="",$E111="",$D111=$E111),"InvalidSchedule",IF(COUNTIF(ActiveActivityCodes,$F111)=0,"InvalidCode",IF(COUNTIFS(tblScheduleData[EmployeeID],$A111,tblScheduleData[OperationalDate],$C111,tblScheduleData[ShiftStart],$D111,tblScheduleData[ShiftEnd],$E111,tblScheduleData[ActivityCode],$F111)&gt;1,"Duplicate","Valid")))))</f>
        <v/>
      </c>
      <c r="K111" s="2" t="n"/>
    </row>
    <row r="112">
      <c r="A112" s="2" t="inlineStr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>
        <f>IF(COUNTA($A112:$F112)=0,"",IF($C112="","MissingDate",IF(OR($A112="",$D112="",$E112="",$D112=$E112),"InvalidSchedule",IF(COUNTIF(ActiveActivityCodes,$F112)=0,"InvalidCode",IF(COUNTIFS(tblScheduleData[EmployeeID],$A112,tblScheduleData[OperationalDate],$C112,tblScheduleData[ShiftStart],$D112,tblScheduleData[ShiftEnd],$E112,tblScheduleData[ActivityCode],$F112)&gt;1,"Duplicate","Valid")))))</f>
        <v/>
      </c>
      <c r="K112" s="2" t="n"/>
    </row>
    <row r="113">
      <c r="A113" s="2" t="inlineStr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>
        <f>IF(COUNTA($A113:$F113)=0,"",IF($C113="","MissingDate",IF(OR($A113="",$D113="",$E113="",$D113=$E113),"InvalidSchedule",IF(COUNTIF(ActiveActivityCodes,$F113)=0,"InvalidCode",IF(COUNTIFS(tblScheduleData[EmployeeID],$A113,tblScheduleData[OperationalDate],$C113,tblScheduleData[ShiftStart],$D113,tblScheduleData[ShiftEnd],$E113,tblScheduleData[ActivityCode],$F113)&gt;1,"Duplicate","Valid")))))</f>
        <v/>
      </c>
      <c r="K113" s="2" t="n"/>
    </row>
    <row r="114">
      <c r="A114" s="2" t="inlineStr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>
        <f>IF(COUNTA($A114:$F114)=0,"",IF($C114="","MissingDate",IF(OR($A114="",$D114="",$E114="",$D114=$E114),"InvalidSchedule",IF(COUNTIF(ActiveActivityCodes,$F114)=0,"InvalidCode",IF(COUNTIFS(tblScheduleData[EmployeeID],$A114,tblScheduleData[OperationalDate],$C114,tblScheduleData[ShiftStart],$D114,tblScheduleData[ShiftEnd],$E114,tblScheduleData[ActivityCode],$F114)&gt;1,"Duplicate","Valid")))))</f>
        <v/>
      </c>
      <c r="K114" s="2" t="n"/>
    </row>
    <row r="115">
      <c r="A115" s="2" t="inlineStr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>
        <f>IF(COUNTA($A115:$F115)=0,"",IF($C115="","MissingDate",IF(OR($A115="",$D115="",$E115="",$D115=$E115),"InvalidSchedule",IF(COUNTIF(ActiveActivityCodes,$F115)=0,"InvalidCode",IF(COUNTIFS(tblScheduleData[EmployeeID],$A115,tblScheduleData[OperationalDate],$C115,tblScheduleData[ShiftStart],$D115,tblScheduleData[ShiftEnd],$E115,tblScheduleData[ActivityCode],$F115)&gt;1,"Duplicate","Valid")))))</f>
        <v/>
      </c>
      <c r="K115" s="2" t="n"/>
    </row>
    <row r="116">
      <c r="A116" s="2" t="inlineStr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>
        <f>IF(COUNTA($A116:$F116)=0,"",IF($C116="","MissingDate",IF(OR($A116="",$D116="",$E116="",$D116=$E116),"InvalidSchedule",IF(COUNTIF(ActiveActivityCodes,$F116)=0,"InvalidCode",IF(COUNTIFS(tblScheduleData[EmployeeID],$A116,tblScheduleData[OperationalDate],$C116,tblScheduleData[ShiftStart],$D116,tblScheduleData[ShiftEnd],$E116,tblScheduleData[ActivityCode],$F116)&gt;1,"Duplicate","Valid")))))</f>
        <v/>
      </c>
      <c r="K116" s="2" t="n"/>
    </row>
    <row r="117">
      <c r="A117" s="2" t="inlineStr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>
        <f>IF(COUNTA($A117:$F117)=0,"",IF($C117="","MissingDate",IF(OR($A117="",$D117="",$E117="",$D117=$E117),"InvalidSchedule",IF(COUNTIF(ActiveActivityCodes,$F117)=0,"InvalidCode",IF(COUNTIFS(tblScheduleData[EmployeeID],$A117,tblScheduleData[OperationalDate],$C117,tblScheduleData[ShiftStart],$D117,tblScheduleData[ShiftEnd],$E117,tblScheduleData[ActivityCode],$F117)&gt;1,"Duplicate","Valid")))))</f>
        <v/>
      </c>
      <c r="K117" s="2" t="n"/>
    </row>
    <row r="118">
      <c r="A118" s="2" t="inlineStr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>
        <f>IF(COUNTA($A118:$F118)=0,"",IF($C118="","MissingDate",IF(OR($A118="",$D118="",$E118="",$D118=$E118),"InvalidSchedule",IF(COUNTIF(ActiveActivityCodes,$F118)=0,"InvalidCode",IF(COUNTIFS(tblScheduleData[EmployeeID],$A118,tblScheduleData[OperationalDate],$C118,tblScheduleData[ShiftStart],$D118,tblScheduleData[ShiftEnd],$E118,tblScheduleData[ActivityCode],$F118)&gt;1,"Duplicate","Valid")))))</f>
        <v/>
      </c>
      <c r="K118" s="2" t="n"/>
    </row>
    <row r="119">
      <c r="A119" s="2" t="inlineStr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>
        <f>IF(COUNTA($A119:$F119)=0,"",IF($C119="","MissingDate",IF(OR($A119="",$D119="",$E119="",$D119=$E119),"InvalidSchedule",IF(COUNTIF(ActiveActivityCodes,$F119)=0,"InvalidCode",IF(COUNTIFS(tblScheduleData[EmployeeID],$A119,tblScheduleData[OperationalDate],$C119,tblScheduleData[ShiftStart],$D119,tblScheduleData[ShiftEnd],$E119,tblScheduleData[ActivityCode],$F119)&gt;1,"Duplicate","Valid")))))</f>
        <v/>
      </c>
      <c r="K119" s="2" t="n"/>
    </row>
    <row r="120">
      <c r="A120" s="2" t="inlineStr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>
        <f>IF(COUNTA($A120:$F120)=0,"",IF($C120="","MissingDate",IF(OR($A120="",$D120="",$E120="",$D120=$E120),"InvalidSchedule",IF(COUNTIF(ActiveActivityCodes,$F120)=0,"InvalidCode",IF(COUNTIFS(tblScheduleData[EmployeeID],$A120,tblScheduleData[OperationalDate],$C120,tblScheduleData[ShiftStart],$D120,tblScheduleData[ShiftEnd],$E120,tblScheduleData[ActivityCode],$F120)&gt;1,"Duplicate","Valid")))))</f>
        <v/>
      </c>
      <c r="K120" s="2" t="n"/>
    </row>
    <row r="121">
      <c r="A121" s="2" t="inlineStr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>
        <f>IF(COUNTA($A121:$F121)=0,"",IF($C121="","MissingDate",IF(OR($A121="",$D121="",$E121="",$D121=$E121),"InvalidSchedule",IF(COUNTIF(ActiveActivityCodes,$F121)=0,"InvalidCode",IF(COUNTIFS(tblScheduleData[EmployeeID],$A121,tblScheduleData[OperationalDate],$C121,tblScheduleData[ShiftStart],$D121,tblScheduleData[ShiftEnd],$E121,tblScheduleData[ActivityCode],$F121)&gt;1,"Duplicate","Valid")))))</f>
        <v/>
      </c>
      <c r="K121" s="2" t="n"/>
    </row>
    <row r="122">
      <c r="A122" s="2" t="inlineStr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>
        <f>IF(COUNTA($A122:$F122)=0,"",IF($C122="","MissingDate",IF(OR($A122="",$D122="",$E122="",$D122=$E122),"InvalidSchedule",IF(COUNTIF(ActiveActivityCodes,$F122)=0,"InvalidCode",IF(COUNTIFS(tblScheduleData[EmployeeID],$A122,tblScheduleData[OperationalDate],$C122,tblScheduleData[ShiftStart],$D122,tblScheduleData[ShiftEnd],$E122,tblScheduleData[ActivityCode],$F122)&gt;1,"Duplicate","Valid")))))</f>
        <v/>
      </c>
      <c r="K122" s="2" t="n"/>
    </row>
    <row r="123">
      <c r="A123" s="2" t="inlineStr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>
        <f>IF(COUNTA($A123:$F123)=0,"",IF($C123="","MissingDate",IF(OR($A123="",$D123="",$E123="",$D123=$E123),"InvalidSchedule",IF(COUNTIF(ActiveActivityCodes,$F123)=0,"InvalidCode",IF(COUNTIFS(tblScheduleData[EmployeeID],$A123,tblScheduleData[OperationalDate],$C123,tblScheduleData[ShiftStart],$D123,tblScheduleData[ShiftEnd],$E123,tblScheduleData[ActivityCode],$F123)&gt;1,"Duplicate","Valid")))))</f>
        <v/>
      </c>
      <c r="K123" s="2" t="n"/>
    </row>
    <row r="124">
      <c r="A124" s="2" t="inlineStr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>
        <f>IF(COUNTA($A124:$F124)=0,"",IF($C124="","MissingDate",IF(OR($A124="",$D124="",$E124="",$D124=$E124),"InvalidSchedule",IF(COUNTIF(ActiveActivityCodes,$F124)=0,"InvalidCode",IF(COUNTIFS(tblScheduleData[EmployeeID],$A124,tblScheduleData[OperationalDate],$C124,tblScheduleData[ShiftStart],$D124,tblScheduleData[ShiftEnd],$E124,tblScheduleData[ActivityCode],$F124)&gt;1,"Duplicate","Valid")))))</f>
        <v/>
      </c>
      <c r="K124" s="2" t="n"/>
    </row>
    <row r="125">
      <c r="A125" s="2" t="inlineStr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>
        <f>IF(COUNTA($A125:$F125)=0,"",IF($C125="","MissingDate",IF(OR($A125="",$D125="",$E125="",$D125=$E125),"InvalidSchedule",IF(COUNTIF(ActiveActivityCodes,$F125)=0,"InvalidCode",IF(COUNTIFS(tblScheduleData[EmployeeID],$A125,tblScheduleData[OperationalDate],$C125,tblScheduleData[ShiftStart],$D125,tblScheduleData[ShiftEnd],$E125,tblScheduleData[ActivityCode],$F125)&gt;1,"Duplicate","Valid")))))</f>
        <v/>
      </c>
      <c r="K125" s="2" t="n"/>
    </row>
    <row r="126">
      <c r="A126" s="2" t="inlineStr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>
        <f>IF(COUNTA($A126:$F126)=0,"",IF($C126="","MissingDate",IF(OR($A126="",$D126="",$E126="",$D126=$E126),"InvalidSchedule",IF(COUNTIF(ActiveActivityCodes,$F126)=0,"InvalidCode",IF(COUNTIFS(tblScheduleData[EmployeeID],$A126,tblScheduleData[OperationalDate],$C126,tblScheduleData[ShiftStart],$D126,tblScheduleData[ShiftEnd],$E126,tblScheduleData[ActivityCode],$F126)&gt;1,"Duplicate","Valid")))))</f>
        <v/>
      </c>
      <c r="K126" s="2" t="n"/>
    </row>
    <row r="127">
      <c r="A127" s="2" t="inlineStr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>
        <f>IF(COUNTA($A127:$F127)=0,"",IF($C127="","MissingDate",IF(OR($A127="",$D127="",$E127="",$D127=$E127),"InvalidSchedule",IF(COUNTIF(ActiveActivityCodes,$F127)=0,"InvalidCode",IF(COUNTIFS(tblScheduleData[EmployeeID],$A127,tblScheduleData[OperationalDate],$C127,tblScheduleData[ShiftStart],$D127,tblScheduleData[ShiftEnd],$E127,tblScheduleData[ActivityCode],$F127)&gt;1,"Duplicate","Valid")))))</f>
        <v/>
      </c>
      <c r="K127" s="2" t="n"/>
    </row>
    <row r="128">
      <c r="A128" s="2" t="inlineStr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>
        <f>IF(COUNTA($A128:$F128)=0,"",IF($C128="","MissingDate",IF(OR($A128="",$D128="",$E128="",$D128=$E128),"InvalidSchedule",IF(COUNTIF(ActiveActivityCodes,$F128)=0,"InvalidCode",IF(COUNTIFS(tblScheduleData[EmployeeID],$A128,tblScheduleData[OperationalDate],$C128,tblScheduleData[ShiftStart],$D128,tblScheduleData[ShiftEnd],$E128,tblScheduleData[ActivityCode],$F128)&gt;1,"Duplicate","Valid")))))</f>
        <v/>
      </c>
      <c r="K128" s="2" t="n"/>
    </row>
    <row r="129">
      <c r="A129" s="2" t="inlineStr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>
        <f>IF(COUNTA($A129:$F129)=0,"",IF($C129="","MissingDate",IF(OR($A129="",$D129="",$E129="",$D129=$E129),"InvalidSchedule",IF(COUNTIF(ActiveActivityCodes,$F129)=0,"InvalidCode",IF(COUNTIFS(tblScheduleData[EmployeeID],$A129,tblScheduleData[OperationalDate],$C129,tblScheduleData[ShiftStart],$D129,tblScheduleData[ShiftEnd],$E129,tblScheduleData[ActivityCode],$F129)&gt;1,"Duplicate","Valid")))))</f>
        <v/>
      </c>
      <c r="K129" s="2" t="n"/>
    </row>
    <row r="130">
      <c r="A130" s="2" t="inlineStr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>
        <f>IF(COUNTA($A130:$F130)=0,"",IF($C130="","MissingDate",IF(OR($A130="",$D130="",$E130="",$D130=$E130),"InvalidSchedule",IF(COUNTIF(ActiveActivityCodes,$F130)=0,"InvalidCode",IF(COUNTIFS(tblScheduleData[EmployeeID],$A130,tblScheduleData[OperationalDate],$C130,tblScheduleData[ShiftStart],$D130,tblScheduleData[ShiftEnd],$E130,tblScheduleData[ActivityCode],$F130)&gt;1,"Duplicate","Valid")))))</f>
        <v/>
      </c>
      <c r="K130" s="2" t="n"/>
    </row>
    <row r="131">
      <c r="A131" s="2" t="inlineStr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>
        <f>IF(COUNTA($A131:$F131)=0,"",IF($C131="","MissingDate",IF(OR($A131="",$D131="",$E131="",$D131=$E131),"InvalidSchedule",IF(COUNTIF(ActiveActivityCodes,$F131)=0,"InvalidCode",IF(COUNTIFS(tblScheduleData[EmployeeID],$A131,tblScheduleData[OperationalDate],$C131,tblScheduleData[ShiftStart],$D131,tblScheduleData[ShiftEnd],$E131,tblScheduleData[ActivityCode],$F131)&gt;1,"Duplicate","Valid")))))</f>
        <v/>
      </c>
      <c r="K131" s="2" t="n"/>
    </row>
    <row r="132">
      <c r="A132" s="2" t="inlineStr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>
        <f>IF(COUNTA($A132:$F132)=0,"",IF($C132="","MissingDate",IF(OR($A132="",$D132="",$E132="",$D132=$E132),"InvalidSchedule",IF(COUNTIF(ActiveActivityCodes,$F132)=0,"InvalidCode",IF(COUNTIFS(tblScheduleData[EmployeeID],$A132,tblScheduleData[OperationalDate],$C132,tblScheduleData[ShiftStart],$D132,tblScheduleData[ShiftEnd],$E132,tblScheduleData[ActivityCode],$F132)&gt;1,"Duplicate","Valid")))))</f>
        <v/>
      </c>
      <c r="K132" s="2" t="n"/>
    </row>
    <row r="133">
      <c r="A133" s="2" t="inlineStr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>
        <f>IF(COUNTA($A133:$F133)=0,"",IF($C133="","MissingDate",IF(OR($A133="",$D133="",$E133="",$D133=$E133),"InvalidSchedule",IF(COUNTIF(ActiveActivityCodes,$F133)=0,"InvalidCode",IF(COUNTIFS(tblScheduleData[EmployeeID],$A133,tblScheduleData[OperationalDate],$C133,tblScheduleData[ShiftStart],$D133,tblScheduleData[ShiftEnd],$E133,tblScheduleData[ActivityCode],$F133)&gt;1,"Duplicate","Valid")))))</f>
        <v/>
      </c>
      <c r="K133" s="2" t="n"/>
    </row>
    <row r="134">
      <c r="A134" s="2" t="inlineStr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>
        <f>IF(COUNTA($A134:$F134)=0,"",IF($C134="","MissingDate",IF(OR($A134="",$D134="",$E134="",$D134=$E134),"InvalidSchedule",IF(COUNTIF(ActiveActivityCodes,$F134)=0,"InvalidCode",IF(COUNTIFS(tblScheduleData[EmployeeID],$A134,tblScheduleData[OperationalDate],$C134,tblScheduleData[ShiftStart],$D134,tblScheduleData[ShiftEnd],$E134,tblScheduleData[ActivityCode],$F134)&gt;1,"Duplicate","Valid")))))</f>
        <v/>
      </c>
      <c r="K134" s="2" t="n"/>
    </row>
    <row r="135">
      <c r="A135" s="2" t="inlineStr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>
        <f>IF(COUNTA($A135:$F135)=0,"",IF($C135="","MissingDate",IF(OR($A135="",$D135="",$E135="",$D135=$E135),"InvalidSchedule",IF(COUNTIF(ActiveActivityCodes,$F135)=0,"InvalidCode",IF(COUNTIFS(tblScheduleData[EmployeeID],$A135,tblScheduleData[OperationalDate],$C135,tblScheduleData[ShiftStart],$D135,tblScheduleData[ShiftEnd],$E135,tblScheduleData[ActivityCode],$F135)&gt;1,"Duplicate","Valid")))))</f>
        <v/>
      </c>
      <c r="K135" s="2" t="n"/>
    </row>
    <row r="136">
      <c r="A136" s="2" t="inlineStr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>
        <f>IF(COUNTA($A136:$F136)=0,"",IF($C136="","MissingDate",IF(OR($A136="",$D136="",$E136="",$D136=$E136),"InvalidSchedule",IF(COUNTIF(ActiveActivityCodes,$F136)=0,"InvalidCode",IF(COUNTIFS(tblScheduleData[EmployeeID],$A136,tblScheduleData[OperationalDate],$C136,tblScheduleData[ShiftStart],$D136,tblScheduleData[ShiftEnd],$E136,tblScheduleData[ActivityCode],$F136)&gt;1,"Duplicate","Valid")))))</f>
        <v/>
      </c>
      <c r="K136" s="2" t="n"/>
    </row>
    <row r="137">
      <c r="A137" s="2" t="inlineStr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>
        <f>IF(COUNTA($A137:$F137)=0,"",IF($C137="","MissingDate",IF(OR($A137="",$D137="",$E137="",$D137=$E137),"InvalidSchedule",IF(COUNTIF(ActiveActivityCodes,$F137)=0,"InvalidCode",IF(COUNTIFS(tblScheduleData[EmployeeID],$A137,tblScheduleData[OperationalDate],$C137,tblScheduleData[ShiftStart],$D137,tblScheduleData[ShiftEnd],$E137,tblScheduleData[ActivityCode],$F137)&gt;1,"Duplicate","Valid")))))</f>
        <v/>
      </c>
      <c r="K137" s="2" t="n"/>
    </row>
    <row r="138">
      <c r="A138" s="2" t="inlineStr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>
        <f>IF(COUNTA($A138:$F138)=0,"",IF($C138="","MissingDate",IF(OR($A138="",$D138="",$E138="",$D138=$E138),"InvalidSchedule",IF(COUNTIF(ActiveActivityCodes,$F138)=0,"InvalidCode",IF(COUNTIFS(tblScheduleData[EmployeeID],$A138,tblScheduleData[OperationalDate],$C138,tblScheduleData[ShiftStart],$D138,tblScheduleData[ShiftEnd],$E138,tblScheduleData[ActivityCode],$F138)&gt;1,"Duplicate","Valid")))))</f>
        <v/>
      </c>
      <c r="K138" s="2" t="n"/>
    </row>
    <row r="139">
      <c r="A139" s="2" t="inlineStr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>
        <f>IF(COUNTA($A139:$F139)=0,"",IF($C139="","MissingDate",IF(OR($A139="",$D139="",$E139="",$D139=$E139),"InvalidSchedule",IF(COUNTIF(ActiveActivityCodes,$F139)=0,"InvalidCode",IF(COUNTIFS(tblScheduleData[EmployeeID],$A139,tblScheduleData[OperationalDate],$C139,tblScheduleData[ShiftStart],$D139,tblScheduleData[ShiftEnd],$E139,tblScheduleData[ActivityCode],$F139)&gt;1,"Duplicate","Valid")))))</f>
        <v/>
      </c>
      <c r="K139" s="2" t="n"/>
    </row>
    <row r="140">
      <c r="A140" s="2" t="inlineStr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>
        <f>IF(COUNTA($A140:$F140)=0,"",IF($C140="","MissingDate",IF(OR($A140="",$D140="",$E140="",$D140=$E140),"InvalidSchedule",IF(COUNTIF(ActiveActivityCodes,$F140)=0,"InvalidCode",IF(COUNTIFS(tblScheduleData[EmployeeID],$A140,tblScheduleData[OperationalDate],$C140,tblScheduleData[ShiftStart],$D140,tblScheduleData[ShiftEnd],$E140,tblScheduleData[ActivityCode],$F140)&gt;1,"Duplicate","Valid")))))</f>
        <v/>
      </c>
      <c r="K140" s="2" t="n"/>
    </row>
    <row r="141">
      <c r="A141" s="2" t="inlineStr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>
        <f>IF(COUNTA($A141:$F141)=0,"",IF($C141="","MissingDate",IF(OR($A141="",$D141="",$E141="",$D141=$E141),"InvalidSchedule",IF(COUNTIF(ActiveActivityCodes,$F141)=0,"InvalidCode",IF(COUNTIFS(tblScheduleData[EmployeeID],$A141,tblScheduleData[OperationalDate],$C141,tblScheduleData[ShiftStart],$D141,tblScheduleData[ShiftEnd],$E141,tblScheduleData[ActivityCode],$F141)&gt;1,"Duplicate","Valid")))))</f>
        <v/>
      </c>
      <c r="K141" s="2" t="n"/>
    </row>
    <row r="142">
      <c r="A142" s="2" t="inlineStr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>
        <f>IF(COUNTA($A142:$F142)=0,"",IF($C142="","MissingDate",IF(OR($A142="",$D142="",$E142="",$D142=$E142),"InvalidSchedule",IF(COUNTIF(ActiveActivityCodes,$F142)=0,"InvalidCode",IF(COUNTIFS(tblScheduleData[EmployeeID],$A142,tblScheduleData[OperationalDate],$C142,tblScheduleData[ShiftStart],$D142,tblScheduleData[ShiftEnd],$E142,tblScheduleData[ActivityCode],$F142)&gt;1,"Duplicate","Valid")))))</f>
        <v/>
      </c>
      <c r="K142" s="2" t="n"/>
    </row>
    <row r="143">
      <c r="A143" s="2" t="inlineStr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>
        <f>IF(COUNTA($A143:$F143)=0,"",IF($C143="","MissingDate",IF(OR($A143="",$D143="",$E143="",$D143=$E143),"InvalidSchedule",IF(COUNTIF(ActiveActivityCodes,$F143)=0,"InvalidCode",IF(COUNTIFS(tblScheduleData[EmployeeID],$A143,tblScheduleData[OperationalDate],$C143,tblScheduleData[ShiftStart],$D143,tblScheduleData[ShiftEnd],$E143,tblScheduleData[ActivityCode],$F143)&gt;1,"Duplicate","Valid")))))</f>
        <v/>
      </c>
      <c r="K143" s="2" t="n"/>
    </row>
    <row r="144">
      <c r="A144" s="2" t="inlineStr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>
        <f>IF(COUNTA($A144:$F144)=0,"",IF($C144="","MissingDate",IF(OR($A144="",$D144="",$E144="",$D144=$E144),"InvalidSchedule",IF(COUNTIF(ActiveActivityCodes,$F144)=0,"InvalidCode",IF(COUNTIFS(tblScheduleData[EmployeeID],$A144,tblScheduleData[OperationalDate],$C144,tblScheduleData[ShiftStart],$D144,tblScheduleData[ShiftEnd],$E144,tblScheduleData[ActivityCode],$F144)&gt;1,"Duplicate","Valid")))))</f>
        <v/>
      </c>
      <c r="K144" s="2" t="n"/>
    </row>
    <row r="145">
      <c r="A145" s="2" t="inlineStr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>
        <f>IF(COUNTA($A145:$F145)=0,"",IF($C145="","MissingDate",IF(OR($A145="",$D145="",$E145="",$D145=$E145),"InvalidSchedule",IF(COUNTIF(ActiveActivityCodes,$F145)=0,"InvalidCode",IF(COUNTIFS(tblScheduleData[EmployeeID],$A145,tblScheduleData[OperationalDate],$C145,tblScheduleData[ShiftStart],$D145,tblScheduleData[ShiftEnd],$E145,tblScheduleData[ActivityCode],$F145)&gt;1,"Duplicate","Valid")))))</f>
        <v/>
      </c>
      <c r="K145" s="2" t="n"/>
    </row>
    <row r="146">
      <c r="A146" s="2" t="inlineStr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>
        <f>IF(COUNTA($A146:$F146)=0,"",IF($C146="","MissingDate",IF(OR($A146="",$D146="",$E146="",$D146=$E146),"InvalidSchedule",IF(COUNTIF(ActiveActivityCodes,$F146)=0,"InvalidCode",IF(COUNTIFS(tblScheduleData[EmployeeID],$A146,tblScheduleData[OperationalDate],$C146,tblScheduleData[ShiftStart],$D146,tblScheduleData[ShiftEnd],$E146,tblScheduleData[ActivityCode],$F146)&gt;1,"Duplicate","Valid")))))</f>
        <v/>
      </c>
      <c r="K146" s="2" t="n"/>
    </row>
    <row r="147">
      <c r="A147" s="2" t="inlineStr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>
        <f>IF(COUNTA($A147:$F147)=0,"",IF($C147="","MissingDate",IF(OR($A147="",$D147="",$E147="",$D147=$E147),"InvalidSchedule",IF(COUNTIF(ActiveActivityCodes,$F147)=0,"InvalidCode",IF(COUNTIFS(tblScheduleData[EmployeeID],$A147,tblScheduleData[OperationalDate],$C147,tblScheduleData[ShiftStart],$D147,tblScheduleData[ShiftEnd],$E147,tblScheduleData[ActivityCode],$F147)&gt;1,"Duplicate","Valid")))))</f>
        <v/>
      </c>
      <c r="K147" s="2" t="n"/>
    </row>
    <row r="148">
      <c r="A148" s="2" t="inlineStr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>
        <f>IF(COUNTA($A148:$F148)=0,"",IF($C148="","MissingDate",IF(OR($A148="",$D148="",$E148="",$D148=$E148),"InvalidSchedule",IF(COUNTIF(ActiveActivityCodes,$F148)=0,"InvalidCode",IF(COUNTIFS(tblScheduleData[EmployeeID],$A148,tblScheduleData[OperationalDate],$C148,tblScheduleData[ShiftStart],$D148,tblScheduleData[ShiftEnd],$E148,tblScheduleData[ActivityCode],$F148)&gt;1,"Duplicate","Valid")))))</f>
        <v/>
      </c>
      <c r="K148" s="2" t="n"/>
    </row>
    <row r="149">
      <c r="A149" s="2" t="inlineStr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>
        <f>IF(COUNTA($A149:$F149)=0,"",IF($C149="","MissingDate",IF(OR($A149="",$D149="",$E149="",$D149=$E149),"InvalidSchedule",IF(COUNTIF(ActiveActivityCodes,$F149)=0,"InvalidCode",IF(COUNTIFS(tblScheduleData[EmployeeID],$A149,tblScheduleData[OperationalDate],$C149,tblScheduleData[ShiftStart],$D149,tblScheduleData[ShiftEnd],$E149,tblScheduleData[ActivityCode],$F149)&gt;1,"Duplicate","Valid")))))</f>
        <v/>
      </c>
      <c r="K149" s="2" t="n"/>
    </row>
    <row r="150">
      <c r="A150" s="2" t="inlineStr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>
        <f>IF(COUNTA($A150:$F150)=0,"",IF($C150="","MissingDate",IF(OR($A150="",$D150="",$E150="",$D150=$E150),"InvalidSchedule",IF(COUNTIF(ActiveActivityCodes,$F150)=0,"InvalidCode",IF(COUNTIFS(tblScheduleData[EmployeeID],$A150,tblScheduleData[OperationalDate],$C150,tblScheduleData[ShiftStart],$D150,tblScheduleData[ShiftEnd],$E150,tblScheduleData[ActivityCode],$F150)&gt;1,"Duplicate","Valid")))))</f>
        <v/>
      </c>
      <c r="K150" s="2" t="n"/>
    </row>
    <row r="151">
      <c r="A151" s="2" t="inlineStr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>
        <f>IF(COUNTA($A151:$F151)=0,"",IF($C151="","MissingDate",IF(OR($A151="",$D151="",$E151="",$D151=$E151),"InvalidSchedule",IF(COUNTIF(ActiveActivityCodes,$F151)=0,"InvalidCode",IF(COUNTIFS(tblScheduleData[EmployeeID],$A151,tblScheduleData[OperationalDate],$C151,tblScheduleData[ShiftStart],$D151,tblScheduleData[ShiftEnd],$E151,tblScheduleData[ActivityCode],$F151)&gt;1,"Duplicate","Valid")))))</f>
        <v/>
      </c>
      <c r="K151" s="2" t="n"/>
    </row>
    <row r="152">
      <c r="A152" s="2" t="inlineStr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>
        <f>IF(COUNTA($A152:$F152)=0,"",IF($C152="","MissingDate",IF(OR($A152="",$D152="",$E152="",$D152=$E152),"InvalidSchedule",IF(COUNTIF(ActiveActivityCodes,$F152)=0,"InvalidCode",IF(COUNTIFS(tblScheduleData[EmployeeID],$A152,tblScheduleData[OperationalDate],$C152,tblScheduleData[ShiftStart],$D152,tblScheduleData[ShiftEnd],$E152,tblScheduleData[ActivityCode],$F152)&gt;1,"Duplicate","Valid")))))</f>
        <v/>
      </c>
      <c r="K152" s="2" t="n"/>
    </row>
    <row r="153">
      <c r="A153" s="2" t="inlineStr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>
        <f>IF(COUNTA($A153:$F153)=0,"",IF($C153="","MissingDate",IF(OR($A153="",$D153="",$E153="",$D153=$E153),"InvalidSchedule",IF(COUNTIF(ActiveActivityCodes,$F153)=0,"InvalidCode",IF(COUNTIFS(tblScheduleData[EmployeeID],$A153,tblScheduleData[OperationalDate],$C153,tblScheduleData[ShiftStart],$D153,tblScheduleData[ShiftEnd],$E153,tblScheduleData[ActivityCode],$F153)&gt;1,"Duplicate","Valid")))))</f>
        <v/>
      </c>
      <c r="K153" s="2" t="n"/>
    </row>
    <row r="154">
      <c r="A154" s="2" t="inlineStr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>
        <f>IF(COUNTA($A154:$F154)=0,"",IF($C154="","MissingDate",IF(OR($A154="",$D154="",$E154="",$D154=$E154),"InvalidSchedule",IF(COUNTIF(ActiveActivityCodes,$F154)=0,"InvalidCode",IF(COUNTIFS(tblScheduleData[EmployeeID],$A154,tblScheduleData[OperationalDate],$C154,tblScheduleData[ShiftStart],$D154,tblScheduleData[ShiftEnd],$E154,tblScheduleData[ActivityCode],$F154)&gt;1,"Duplicate","Valid")))))</f>
        <v/>
      </c>
      <c r="K154" s="2" t="n"/>
    </row>
    <row r="155">
      <c r="A155" s="2" t="inlineStr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>
        <f>IF(COUNTA($A155:$F155)=0,"",IF($C155="","MissingDate",IF(OR($A155="",$D155="",$E155="",$D155=$E155),"InvalidSchedule",IF(COUNTIF(ActiveActivityCodes,$F155)=0,"InvalidCode",IF(COUNTIFS(tblScheduleData[EmployeeID],$A155,tblScheduleData[OperationalDate],$C155,tblScheduleData[ShiftStart],$D155,tblScheduleData[ShiftEnd],$E155,tblScheduleData[ActivityCode],$F155)&gt;1,"Duplicate","Valid")))))</f>
        <v/>
      </c>
      <c r="K155" s="2" t="n"/>
    </row>
    <row r="156">
      <c r="A156" s="2" t="inlineStr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>
        <f>IF(COUNTA($A156:$F156)=0,"",IF($C156="","MissingDate",IF(OR($A156="",$D156="",$E156="",$D156=$E156),"InvalidSchedule",IF(COUNTIF(ActiveActivityCodes,$F156)=0,"InvalidCode",IF(COUNTIFS(tblScheduleData[EmployeeID],$A156,tblScheduleData[OperationalDate],$C156,tblScheduleData[ShiftStart],$D156,tblScheduleData[ShiftEnd],$E156,tblScheduleData[ActivityCode],$F156)&gt;1,"Duplicate","Valid")))))</f>
        <v/>
      </c>
      <c r="K156" s="2" t="n"/>
    </row>
    <row r="157">
      <c r="A157" s="2" t="inlineStr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>
        <f>IF(COUNTA($A157:$F157)=0,"",IF($C157="","MissingDate",IF(OR($A157="",$D157="",$E157="",$D157=$E157),"InvalidSchedule",IF(COUNTIF(ActiveActivityCodes,$F157)=0,"InvalidCode",IF(COUNTIFS(tblScheduleData[EmployeeID],$A157,tblScheduleData[OperationalDate],$C157,tblScheduleData[ShiftStart],$D157,tblScheduleData[ShiftEnd],$E157,tblScheduleData[ActivityCode],$F157)&gt;1,"Duplicate","Valid")))))</f>
        <v/>
      </c>
      <c r="K157" s="2" t="n"/>
    </row>
    <row r="158">
      <c r="A158" s="2" t="inlineStr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>
        <f>IF(COUNTA($A158:$F158)=0,"",IF($C158="","MissingDate",IF(OR($A158="",$D158="",$E158="",$D158=$E158),"InvalidSchedule",IF(COUNTIF(ActiveActivityCodes,$F158)=0,"InvalidCode",IF(COUNTIFS(tblScheduleData[EmployeeID],$A158,tblScheduleData[OperationalDate],$C158,tblScheduleData[ShiftStart],$D158,tblScheduleData[ShiftEnd],$E158,tblScheduleData[ActivityCode],$F158)&gt;1,"Duplicate","Valid")))))</f>
        <v/>
      </c>
      <c r="K158" s="2" t="n"/>
    </row>
    <row r="159">
      <c r="A159" s="2" t="inlineStr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>
        <f>IF(COUNTA($A159:$F159)=0,"",IF($C159="","MissingDate",IF(OR($A159="",$D159="",$E159="",$D159=$E159),"InvalidSchedule",IF(COUNTIF(ActiveActivityCodes,$F159)=0,"InvalidCode",IF(COUNTIFS(tblScheduleData[EmployeeID],$A159,tblScheduleData[OperationalDate],$C159,tblScheduleData[ShiftStart],$D159,tblScheduleData[ShiftEnd],$E159,tblScheduleData[ActivityCode],$F159)&gt;1,"Duplicate","Valid")))))</f>
        <v/>
      </c>
      <c r="K159" s="2" t="n"/>
    </row>
    <row r="160">
      <c r="A160" s="2" t="inlineStr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>
        <f>IF(COUNTA($A160:$F160)=0,"",IF($C160="","MissingDate",IF(OR($A160="",$D160="",$E160="",$D160=$E160),"InvalidSchedule",IF(COUNTIF(ActiveActivityCodes,$F160)=0,"InvalidCode",IF(COUNTIFS(tblScheduleData[EmployeeID],$A160,tblScheduleData[OperationalDate],$C160,tblScheduleData[ShiftStart],$D160,tblScheduleData[ShiftEnd],$E160,tblScheduleData[ActivityCode],$F160)&gt;1,"Duplicate","Valid")))))</f>
        <v/>
      </c>
      <c r="K160" s="2" t="n"/>
    </row>
    <row r="161">
      <c r="A161" s="2" t="inlineStr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>
        <f>IF(COUNTA($A161:$F161)=0,"",IF($C161="","MissingDate",IF(OR($A161="",$D161="",$E161="",$D161=$E161),"InvalidSchedule",IF(COUNTIF(ActiveActivityCodes,$F161)=0,"InvalidCode",IF(COUNTIFS(tblScheduleData[EmployeeID],$A161,tblScheduleData[OperationalDate],$C161,tblScheduleData[ShiftStart],$D161,tblScheduleData[ShiftEnd],$E161,tblScheduleData[ActivityCode],$F161)&gt;1,"Duplicate","Valid")))))</f>
        <v/>
      </c>
      <c r="K161" s="2" t="n"/>
    </row>
    <row r="162">
      <c r="A162" s="2" t="inlineStr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>
        <f>IF(COUNTA($A162:$F162)=0,"",IF($C162="","MissingDate",IF(OR($A162="",$D162="",$E162="",$D162=$E162),"InvalidSchedule",IF(COUNTIF(ActiveActivityCodes,$F162)=0,"InvalidCode",IF(COUNTIFS(tblScheduleData[EmployeeID],$A162,tblScheduleData[OperationalDate],$C162,tblScheduleData[ShiftStart],$D162,tblScheduleData[ShiftEnd],$E162,tblScheduleData[ActivityCode],$F162)&gt;1,"Duplicate","Valid")))))</f>
        <v/>
      </c>
      <c r="K162" s="2" t="n"/>
    </row>
    <row r="163">
      <c r="A163" s="2" t="inlineStr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>
        <f>IF(COUNTA($A163:$F163)=0,"",IF($C163="","MissingDate",IF(OR($A163="",$D163="",$E163="",$D163=$E163),"InvalidSchedule",IF(COUNTIF(ActiveActivityCodes,$F163)=0,"InvalidCode",IF(COUNTIFS(tblScheduleData[EmployeeID],$A163,tblScheduleData[OperationalDate],$C163,tblScheduleData[ShiftStart],$D163,tblScheduleData[ShiftEnd],$E163,tblScheduleData[ActivityCode],$F163)&gt;1,"Duplicate","Valid")))))</f>
        <v/>
      </c>
      <c r="K163" s="2" t="n"/>
    </row>
    <row r="164">
      <c r="A164" s="2" t="inlineStr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>
        <f>IF(COUNTA($A164:$F164)=0,"",IF($C164="","MissingDate",IF(OR($A164="",$D164="",$E164="",$D164=$E164),"InvalidSchedule",IF(COUNTIF(ActiveActivityCodes,$F164)=0,"InvalidCode",IF(COUNTIFS(tblScheduleData[EmployeeID],$A164,tblScheduleData[OperationalDate],$C164,tblScheduleData[ShiftStart],$D164,tblScheduleData[ShiftEnd],$E164,tblScheduleData[ActivityCode],$F164)&gt;1,"Duplicate","Valid")))))</f>
        <v/>
      </c>
      <c r="K164" s="2" t="n"/>
    </row>
    <row r="165">
      <c r="A165" s="2" t="inlineStr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>
        <f>IF(COUNTA($A165:$F165)=0,"",IF($C165="","MissingDate",IF(OR($A165="",$D165="",$E165="",$D165=$E165),"InvalidSchedule",IF(COUNTIF(ActiveActivityCodes,$F165)=0,"InvalidCode",IF(COUNTIFS(tblScheduleData[EmployeeID],$A165,tblScheduleData[OperationalDate],$C165,tblScheduleData[ShiftStart],$D165,tblScheduleData[ShiftEnd],$E165,tblScheduleData[ActivityCode],$F165)&gt;1,"Duplicate","Valid")))))</f>
        <v/>
      </c>
      <c r="K165" s="2" t="n"/>
    </row>
    <row r="166">
      <c r="A166" s="2" t="inlineStr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>
        <f>IF(COUNTA($A166:$F166)=0,"",IF($C166="","MissingDate",IF(OR($A166="",$D166="",$E166="",$D166=$E166),"InvalidSchedule",IF(COUNTIF(ActiveActivityCodes,$F166)=0,"InvalidCode",IF(COUNTIFS(tblScheduleData[EmployeeID],$A166,tblScheduleData[OperationalDate],$C166,tblScheduleData[ShiftStart],$D166,tblScheduleData[ShiftEnd],$E166,tblScheduleData[ActivityCode],$F166)&gt;1,"Duplicate","Valid")))))</f>
        <v/>
      </c>
      <c r="K166" s="2" t="n"/>
    </row>
    <row r="167">
      <c r="A167" s="2" t="inlineStr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>
        <f>IF(COUNTA($A167:$F167)=0,"",IF($C167="","MissingDate",IF(OR($A167="",$D167="",$E167="",$D167=$E167),"InvalidSchedule",IF(COUNTIF(ActiveActivityCodes,$F167)=0,"InvalidCode",IF(COUNTIFS(tblScheduleData[EmployeeID],$A167,tblScheduleData[OperationalDate],$C167,tblScheduleData[ShiftStart],$D167,tblScheduleData[ShiftEnd],$E167,tblScheduleData[ActivityCode],$F167)&gt;1,"Duplicate","Valid")))))</f>
        <v/>
      </c>
      <c r="K167" s="2" t="n"/>
    </row>
    <row r="168">
      <c r="A168" s="2" t="inlineStr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>
        <f>IF(COUNTA($A168:$F168)=0,"",IF($C168="","MissingDate",IF(OR($A168="",$D168="",$E168="",$D168=$E168),"InvalidSchedule",IF(COUNTIF(ActiveActivityCodes,$F168)=0,"InvalidCode",IF(COUNTIFS(tblScheduleData[EmployeeID],$A168,tblScheduleData[OperationalDate],$C168,tblScheduleData[ShiftStart],$D168,tblScheduleData[ShiftEnd],$E168,tblScheduleData[ActivityCode],$F168)&gt;1,"Duplicate","Valid")))))</f>
        <v/>
      </c>
      <c r="K168" s="2" t="n"/>
    </row>
    <row r="169">
      <c r="A169" s="2" t="inlineStr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>
        <f>IF(COUNTA($A169:$F169)=0,"",IF($C169="","MissingDate",IF(OR($A169="",$D169="",$E169="",$D169=$E169),"InvalidSchedule",IF(COUNTIF(ActiveActivityCodes,$F169)=0,"InvalidCode",IF(COUNTIFS(tblScheduleData[EmployeeID],$A169,tblScheduleData[OperationalDate],$C169,tblScheduleData[ShiftStart],$D169,tblScheduleData[ShiftEnd],$E169,tblScheduleData[ActivityCode],$F169)&gt;1,"Duplicate","Valid")))))</f>
        <v/>
      </c>
      <c r="K169" s="2" t="n"/>
    </row>
    <row r="170">
      <c r="A170" s="2" t="inlineStr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>
        <f>IF(COUNTA($A170:$F170)=0,"",IF($C170="","MissingDate",IF(OR($A170="",$D170="",$E170="",$D170=$E170),"InvalidSchedule",IF(COUNTIF(ActiveActivityCodes,$F170)=0,"InvalidCode",IF(COUNTIFS(tblScheduleData[EmployeeID],$A170,tblScheduleData[OperationalDate],$C170,tblScheduleData[ShiftStart],$D170,tblScheduleData[ShiftEnd],$E170,tblScheduleData[ActivityCode],$F170)&gt;1,"Duplicate","Valid")))))</f>
        <v/>
      </c>
      <c r="K170" s="2" t="n"/>
    </row>
    <row r="171">
      <c r="A171" s="2" t="inlineStr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>
        <f>IF(COUNTA($A171:$F171)=0,"",IF($C171="","MissingDate",IF(OR($A171="",$D171="",$E171="",$D171=$E171),"InvalidSchedule",IF(COUNTIF(ActiveActivityCodes,$F171)=0,"InvalidCode",IF(COUNTIFS(tblScheduleData[EmployeeID],$A171,tblScheduleData[OperationalDate],$C171,tblScheduleData[ShiftStart],$D171,tblScheduleData[ShiftEnd],$E171,tblScheduleData[ActivityCode],$F171)&gt;1,"Duplicate","Valid")))))</f>
        <v/>
      </c>
      <c r="K171" s="2" t="n"/>
    </row>
    <row r="172">
      <c r="A172" s="2" t="inlineStr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>
        <f>IF(COUNTA($A172:$F172)=0,"",IF($C172="","MissingDate",IF(OR($A172="",$D172="",$E172="",$D172=$E172),"InvalidSchedule",IF(COUNTIF(ActiveActivityCodes,$F172)=0,"InvalidCode",IF(COUNTIFS(tblScheduleData[EmployeeID],$A172,tblScheduleData[OperationalDate],$C172,tblScheduleData[ShiftStart],$D172,tblScheduleData[ShiftEnd],$E172,tblScheduleData[ActivityCode],$F172)&gt;1,"Duplicate","Valid")))))</f>
        <v/>
      </c>
      <c r="K172" s="2" t="n"/>
    </row>
    <row r="173">
      <c r="A173" s="2" t="inlineStr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>
        <f>IF(COUNTA($A173:$F173)=0,"",IF($C173="","MissingDate",IF(OR($A173="",$D173="",$E173="",$D173=$E173),"InvalidSchedule",IF(COUNTIF(ActiveActivityCodes,$F173)=0,"InvalidCode",IF(COUNTIFS(tblScheduleData[EmployeeID],$A173,tblScheduleData[OperationalDate],$C173,tblScheduleData[ShiftStart],$D173,tblScheduleData[ShiftEnd],$E173,tblScheduleData[ActivityCode],$F173)&gt;1,"Duplicate","Valid")))))</f>
        <v/>
      </c>
      <c r="K173" s="2" t="n"/>
    </row>
    <row r="174">
      <c r="A174" s="2" t="inlineStr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>
        <f>IF(COUNTA($A174:$F174)=0,"",IF($C174="","MissingDate",IF(OR($A174="",$D174="",$E174="",$D174=$E174),"InvalidSchedule",IF(COUNTIF(ActiveActivityCodes,$F174)=0,"InvalidCode",IF(COUNTIFS(tblScheduleData[EmployeeID],$A174,tblScheduleData[OperationalDate],$C174,tblScheduleData[ShiftStart],$D174,tblScheduleData[ShiftEnd],$E174,tblScheduleData[ActivityCode],$F174)&gt;1,"Duplicate","Valid")))))</f>
        <v/>
      </c>
      <c r="K174" s="2" t="n"/>
    </row>
    <row r="175">
      <c r="A175" s="2" t="inlineStr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>
        <f>IF(COUNTA($A175:$F175)=0,"",IF($C175="","MissingDate",IF(OR($A175="",$D175="",$E175="",$D175=$E175),"InvalidSchedule",IF(COUNTIF(ActiveActivityCodes,$F175)=0,"InvalidCode",IF(COUNTIFS(tblScheduleData[EmployeeID],$A175,tblScheduleData[OperationalDate],$C175,tblScheduleData[ShiftStart],$D175,tblScheduleData[ShiftEnd],$E175,tblScheduleData[ActivityCode],$F175)&gt;1,"Duplicate","Valid")))))</f>
        <v/>
      </c>
      <c r="K175" s="2" t="n"/>
    </row>
    <row r="176">
      <c r="A176" s="2" t="inlineStr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>
        <f>IF(COUNTA($A176:$F176)=0,"",IF($C176="","MissingDate",IF(OR($A176="",$D176="",$E176="",$D176=$E176),"InvalidSchedule",IF(COUNTIF(ActiveActivityCodes,$F176)=0,"InvalidCode",IF(COUNTIFS(tblScheduleData[EmployeeID],$A176,tblScheduleData[OperationalDate],$C176,tblScheduleData[ShiftStart],$D176,tblScheduleData[ShiftEnd],$E176,tblScheduleData[ActivityCode],$F176)&gt;1,"Duplicate","Valid")))))</f>
        <v/>
      </c>
      <c r="K176" s="2" t="n"/>
    </row>
    <row r="177">
      <c r="A177" s="2" t="inlineStr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>
        <f>IF(COUNTA($A177:$F177)=0,"",IF($C177="","MissingDate",IF(OR($A177="",$D177="",$E177="",$D177=$E177),"InvalidSchedule",IF(COUNTIF(ActiveActivityCodes,$F177)=0,"InvalidCode",IF(COUNTIFS(tblScheduleData[EmployeeID],$A177,tblScheduleData[OperationalDate],$C177,tblScheduleData[ShiftStart],$D177,tblScheduleData[ShiftEnd],$E177,tblScheduleData[ActivityCode],$F177)&gt;1,"Duplicate","Valid")))))</f>
        <v/>
      </c>
      <c r="K177" s="2" t="n"/>
    </row>
    <row r="178">
      <c r="A178" s="2" t="inlineStr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>
        <f>IF(COUNTA($A178:$F178)=0,"",IF($C178="","MissingDate",IF(OR($A178="",$D178="",$E178="",$D178=$E178),"InvalidSchedule",IF(COUNTIF(ActiveActivityCodes,$F178)=0,"InvalidCode",IF(COUNTIFS(tblScheduleData[EmployeeID],$A178,tblScheduleData[OperationalDate],$C178,tblScheduleData[ShiftStart],$D178,tblScheduleData[ShiftEnd],$E178,tblScheduleData[ActivityCode],$F178)&gt;1,"Duplicate","Valid")))))</f>
        <v/>
      </c>
      <c r="K178" s="2" t="n"/>
    </row>
    <row r="179">
      <c r="A179" s="2" t="inlineStr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>
        <f>IF(COUNTA($A179:$F179)=0,"",IF($C179="","MissingDate",IF(OR($A179="",$D179="",$E179="",$D179=$E179),"InvalidSchedule",IF(COUNTIF(ActiveActivityCodes,$F179)=0,"InvalidCode",IF(COUNTIFS(tblScheduleData[EmployeeID],$A179,tblScheduleData[OperationalDate],$C179,tblScheduleData[ShiftStart],$D179,tblScheduleData[ShiftEnd],$E179,tblScheduleData[ActivityCode],$F179)&gt;1,"Duplicate","Valid")))))</f>
        <v/>
      </c>
      <c r="K179" s="2" t="n"/>
    </row>
    <row r="180">
      <c r="A180" s="2" t="inlineStr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>
        <f>IF(COUNTA($A180:$F180)=0,"",IF($C180="","MissingDate",IF(OR($A180="",$D180="",$E180="",$D180=$E180),"InvalidSchedule",IF(COUNTIF(ActiveActivityCodes,$F180)=0,"InvalidCode",IF(COUNTIFS(tblScheduleData[EmployeeID],$A180,tblScheduleData[OperationalDate],$C180,tblScheduleData[ShiftStart],$D180,tblScheduleData[ShiftEnd],$E180,tblScheduleData[ActivityCode],$F180)&gt;1,"Duplicate","Valid")))))</f>
        <v/>
      </c>
      <c r="K180" s="2" t="n"/>
    </row>
    <row r="181">
      <c r="A181" s="2" t="inlineStr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>
        <f>IF(COUNTA($A181:$F181)=0,"",IF($C181="","MissingDate",IF(OR($A181="",$D181="",$E181="",$D181=$E181),"InvalidSchedule",IF(COUNTIF(ActiveActivityCodes,$F181)=0,"InvalidCode",IF(COUNTIFS(tblScheduleData[EmployeeID],$A181,tblScheduleData[OperationalDate],$C181,tblScheduleData[ShiftStart],$D181,tblScheduleData[ShiftEnd],$E181,tblScheduleData[ActivityCode],$F181)&gt;1,"Duplicate","Valid")))))</f>
        <v/>
      </c>
      <c r="K181" s="2" t="n"/>
    </row>
    <row r="182">
      <c r="A182" s="2" t="inlineStr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>
        <f>IF(COUNTA($A182:$F182)=0,"",IF($C182="","MissingDate",IF(OR($A182="",$D182="",$E182="",$D182=$E182),"InvalidSchedule",IF(COUNTIF(ActiveActivityCodes,$F182)=0,"InvalidCode",IF(COUNTIFS(tblScheduleData[EmployeeID],$A182,tblScheduleData[OperationalDate],$C182,tblScheduleData[ShiftStart],$D182,tblScheduleData[ShiftEnd],$E182,tblScheduleData[ActivityCode],$F182)&gt;1,"Duplicate","Valid")))))</f>
        <v/>
      </c>
      <c r="K182" s="2" t="n"/>
    </row>
    <row r="183">
      <c r="A183" s="2" t="inlineStr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>
        <f>IF(COUNTA($A183:$F183)=0,"",IF($C183="","MissingDate",IF(OR($A183="",$D183="",$E183="",$D183=$E183),"InvalidSchedule",IF(COUNTIF(ActiveActivityCodes,$F183)=0,"InvalidCode",IF(COUNTIFS(tblScheduleData[EmployeeID],$A183,tblScheduleData[OperationalDate],$C183,tblScheduleData[ShiftStart],$D183,tblScheduleData[ShiftEnd],$E183,tblScheduleData[ActivityCode],$F183)&gt;1,"Duplicate","Valid")))))</f>
        <v/>
      </c>
      <c r="K183" s="2" t="n"/>
    </row>
    <row r="184">
      <c r="A184" s="2" t="inlineStr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>
        <f>IF(COUNTA($A184:$F184)=0,"",IF($C184="","MissingDate",IF(OR($A184="",$D184="",$E184="",$D184=$E184),"InvalidSchedule",IF(COUNTIF(ActiveActivityCodes,$F184)=0,"InvalidCode",IF(COUNTIFS(tblScheduleData[EmployeeID],$A184,tblScheduleData[OperationalDate],$C184,tblScheduleData[ShiftStart],$D184,tblScheduleData[ShiftEnd],$E184,tblScheduleData[ActivityCode],$F184)&gt;1,"Duplicate","Valid")))))</f>
        <v/>
      </c>
      <c r="K184" s="2" t="n"/>
    </row>
    <row r="185">
      <c r="A185" s="2" t="inlineStr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>
        <f>IF(COUNTA($A185:$F185)=0,"",IF($C185="","MissingDate",IF(OR($A185="",$D185="",$E185="",$D185=$E185),"InvalidSchedule",IF(COUNTIF(ActiveActivityCodes,$F185)=0,"InvalidCode",IF(COUNTIFS(tblScheduleData[EmployeeID],$A185,tblScheduleData[OperationalDate],$C185,tblScheduleData[ShiftStart],$D185,tblScheduleData[ShiftEnd],$E185,tblScheduleData[ActivityCode],$F185)&gt;1,"Duplicate","Valid")))))</f>
        <v/>
      </c>
      <c r="K185" s="2" t="n"/>
    </row>
    <row r="186">
      <c r="A186" s="2" t="inlineStr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>
        <f>IF(COUNTA($A186:$F186)=0,"",IF($C186="","MissingDate",IF(OR($A186="",$D186="",$E186="",$D186=$E186),"InvalidSchedule",IF(COUNTIF(ActiveActivityCodes,$F186)=0,"InvalidCode",IF(COUNTIFS(tblScheduleData[EmployeeID],$A186,tblScheduleData[OperationalDate],$C186,tblScheduleData[ShiftStart],$D186,tblScheduleData[ShiftEnd],$E186,tblScheduleData[ActivityCode],$F186)&gt;1,"Duplicate","Valid")))))</f>
        <v/>
      </c>
      <c r="K186" s="2" t="n"/>
    </row>
    <row r="187">
      <c r="A187" s="2" t="inlineStr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>
        <f>IF(COUNTA($A187:$F187)=0,"",IF($C187="","MissingDate",IF(OR($A187="",$D187="",$E187="",$D187=$E187),"InvalidSchedule",IF(COUNTIF(ActiveActivityCodes,$F187)=0,"InvalidCode",IF(COUNTIFS(tblScheduleData[EmployeeID],$A187,tblScheduleData[OperationalDate],$C187,tblScheduleData[ShiftStart],$D187,tblScheduleData[ShiftEnd],$E187,tblScheduleData[ActivityCode],$F187)&gt;1,"Duplicate","Valid")))))</f>
        <v/>
      </c>
      <c r="K187" s="2" t="n"/>
    </row>
    <row r="188">
      <c r="A188" s="2" t="inlineStr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>
        <f>IF(COUNTA($A188:$F188)=0,"",IF($C188="","MissingDate",IF(OR($A188="",$D188="",$E188="",$D188=$E188),"InvalidSchedule",IF(COUNTIF(ActiveActivityCodes,$F188)=0,"InvalidCode",IF(COUNTIFS(tblScheduleData[EmployeeID],$A188,tblScheduleData[OperationalDate],$C188,tblScheduleData[ShiftStart],$D188,tblScheduleData[ShiftEnd],$E188,tblScheduleData[ActivityCode],$F188)&gt;1,"Duplicate","Valid")))))</f>
        <v/>
      </c>
      <c r="K188" s="2" t="n"/>
    </row>
    <row r="189">
      <c r="A189" s="2" t="inlineStr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>
        <f>IF(COUNTA($A189:$F189)=0,"",IF($C189="","MissingDate",IF(OR($A189="",$D189="",$E189="",$D189=$E189),"InvalidSchedule",IF(COUNTIF(ActiveActivityCodes,$F189)=0,"InvalidCode",IF(COUNTIFS(tblScheduleData[EmployeeID],$A189,tblScheduleData[OperationalDate],$C189,tblScheduleData[ShiftStart],$D189,tblScheduleData[ShiftEnd],$E189,tblScheduleData[ActivityCode],$F189)&gt;1,"Duplicate","Valid")))))</f>
        <v/>
      </c>
      <c r="K189" s="2" t="n"/>
    </row>
    <row r="190">
      <c r="A190" s="2" t="inlineStr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>
        <f>IF(COUNTA($A190:$F190)=0,"",IF($C190="","MissingDate",IF(OR($A190="",$D190="",$E190="",$D190=$E190),"InvalidSchedule",IF(COUNTIF(ActiveActivityCodes,$F190)=0,"InvalidCode",IF(COUNTIFS(tblScheduleData[EmployeeID],$A190,tblScheduleData[OperationalDate],$C190,tblScheduleData[ShiftStart],$D190,tblScheduleData[ShiftEnd],$E190,tblScheduleData[ActivityCode],$F190)&gt;1,"Duplicate","Valid")))))</f>
        <v/>
      </c>
      <c r="K190" s="2" t="n"/>
    </row>
    <row r="191">
      <c r="A191" s="2" t="inlineStr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>
        <f>IF(COUNTA($A191:$F191)=0,"",IF($C191="","MissingDate",IF(OR($A191="",$D191="",$E191="",$D191=$E191),"InvalidSchedule",IF(COUNTIF(ActiveActivityCodes,$F191)=0,"InvalidCode",IF(COUNTIFS(tblScheduleData[EmployeeID],$A191,tblScheduleData[OperationalDate],$C191,tblScheduleData[ShiftStart],$D191,tblScheduleData[ShiftEnd],$E191,tblScheduleData[ActivityCode],$F191)&gt;1,"Duplicate","Valid")))))</f>
        <v/>
      </c>
      <c r="K191" s="2" t="n"/>
    </row>
    <row r="192">
      <c r="A192" s="2" t="inlineStr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>
        <f>IF(COUNTA($A192:$F192)=0,"",IF($C192="","MissingDate",IF(OR($A192="",$D192="",$E192="",$D192=$E192),"InvalidSchedule",IF(COUNTIF(ActiveActivityCodes,$F192)=0,"InvalidCode",IF(COUNTIFS(tblScheduleData[EmployeeID],$A192,tblScheduleData[OperationalDate],$C192,tblScheduleData[ShiftStart],$D192,tblScheduleData[ShiftEnd],$E192,tblScheduleData[ActivityCode],$F192)&gt;1,"Duplicate","Valid")))))</f>
        <v/>
      </c>
      <c r="K192" s="2" t="n"/>
    </row>
    <row r="193">
      <c r="A193" s="2" t="inlineStr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>
        <f>IF(COUNTA($A193:$F193)=0,"",IF($C193="","MissingDate",IF(OR($A193="",$D193="",$E193="",$D193=$E193),"InvalidSchedule",IF(COUNTIF(ActiveActivityCodes,$F193)=0,"InvalidCode",IF(COUNTIFS(tblScheduleData[EmployeeID],$A193,tblScheduleData[OperationalDate],$C193,tblScheduleData[ShiftStart],$D193,tblScheduleData[ShiftEnd],$E193,tblScheduleData[ActivityCode],$F193)&gt;1,"Duplicate","Valid")))))</f>
        <v/>
      </c>
      <c r="K193" s="2" t="n"/>
    </row>
    <row r="194">
      <c r="A194" s="2" t="inlineStr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>
        <f>IF(COUNTA($A194:$F194)=0,"",IF($C194="","MissingDate",IF(OR($A194="",$D194="",$E194="",$D194=$E194),"InvalidSchedule",IF(COUNTIF(ActiveActivityCodes,$F194)=0,"InvalidCode",IF(COUNTIFS(tblScheduleData[EmployeeID],$A194,tblScheduleData[OperationalDate],$C194,tblScheduleData[ShiftStart],$D194,tblScheduleData[ShiftEnd],$E194,tblScheduleData[ActivityCode],$F194)&gt;1,"Duplicate","Valid")))))</f>
        <v/>
      </c>
      <c r="K194" s="2" t="n"/>
    </row>
    <row r="195">
      <c r="A195" s="2" t="inlineStr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>
        <f>IF(COUNTA($A195:$F195)=0,"",IF($C195="","MissingDate",IF(OR($A195="",$D195="",$E195="",$D195=$E195),"InvalidSchedule",IF(COUNTIF(ActiveActivityCodes,$F195)=0,"InvalidCode",IF(COUNTIFS(tblScheduleData[EmployeeID],$A195,tblScheduleData[OperationalDate],$C195,tblScheduleData[ShiftStart],$D195,tblScheduleData[ShiftEnd],$E195,tblScheduleData[ActivityCode],$F195)&gt;1,"Duplicate","Valid")))))</f>
        <v/>
      </c>
      <c r="K195" s="2" t="n"/>
    </row>
    <row r="196">
      <c r="A196" s="2" t="inlineStr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>
        <f>IF(COUNTA($A196:$F196)=0,"",IF($C196="","MissingDate",IF(OR($A196="",$D196="",$E196="",$D196=$E196),"InvalidSchedule",IF(COUNTIF(ActiveActivityCodes,$F196)=0,"InvalidCode",IF(COUNTIFS(tblScheduleData[EmployeeID],$A196,tblScheduleData[OperationalDate],$C196,tblScheduleData[ShiftStart],$D196,tblScheduleData[ShiftEnd],$E196,tblScheduleData[ActivityCode],$F196)&gt;1,"Duplicate","Valid")))))</f>
        <v/>
      </c>
      <c r="K196" s="2" t="n"/>
    </row>
    <row r="197">
      <c r="A197" s="2" t="inlineStr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>
        <f>IF(COUNTA($A197:$F197)=0,"",IF($C197="","MissingDate",IF(OR($A197="",$D197="",$E197="",$D197=$E197),"InvalidSchedule",IF(COUNTIF(ActiveActivityCodes,$F197)=0,"InvalidCode",IF(COUNTIFS(tblScheduleData[EmployeeID],$A197,tblScheduleData[OperationalDate],$C197,tblScheduleData[ShiftStart],$D197,tblScheduleData[ShiftEnd],$E197,tblScheduleData[ActivityCode],$F197)&gt;1,"Duplicate","Valid")))))</f>
        <v/>
      </c>
      <c r="K197" s="2" t="n"/>
    </row>
    <row r="198">
      <c r="A198" s="2" t="inlineStr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>
        <f>IF(COUNTA($A198:$F198)=0,"",IF($C198="","MissingDate",IF(OR($A198="",$D198="",$E198="",$D198=$E198),"InvalidSchedule",IF(COUNTIF(ActiveActivityCodes,$F198)=0,"InvalidCode",IF(COUNTIFS(tblScheduleData[EmployeeID],$A198,tblScheduleData[OperationalDate],$C198,tblScheduleData[ShiftStart],$D198,tblScheduleData[ShiftEnd],$E198,tblScheduleData[ActivityCode],$F198)&gt;1,"Duplicate","Valid")))))</f>
        <v/>
      </c>
      <c r="K198" s="2" t="n"/>
    </row>
    <row r="199">
      <c r="A199" s="2" t="inlineStr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>
        <f>IF(COUNTA($A199:$F199)=0,"",IF($C199="","MissingDate",IF(OR($A199="",$D199="",$E199="",$D199=$E199),"InvalidSchedule",IF(COUNTIF(ActiveActivityCodes,$F199)=0,"InvalidCode",IF(COUNTIFS(tblScheduleData[EmployeeID],$A199,tblScheduleData[OperationalDate],$C199,tblScheduleData[ShiftStart],$D199,tblScheduleData[ShiftEnd],$E199,tblScheduleData[ActivityCode],$F199)&gt;1,"Duplicate","Valid")))))</f>
        <v/>
      </c>
      <c r="K199" s="2" t="n"/>
    </row>
    <row r="200">
      <c r="A200" s="2" t="inlineStr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>
        <f>IF(COUNTA($A200:$F200)=0,"",IF($C200="","MissingDate",IF(OR($A200="",$D200="",$E200="",$D200=$E200),"InvalidSchedule",IF(COUNTIF(ActiveActivityCodes,$F200)=0,"InvalidCode",IF(COUNTIFS(tblScheduleData[EmployeeID],$A200,tblScheduleData[OperationalDate],$C200,tblScheduleData[ShiftStart],$D200,tblScheduleData[ShiftEnd],$E200,tblScheduleData[ActivityCode],$F200)&gt;1,"Duplicate","Valid")))))</f>
        <v/>
      </c>
      <c r="K200" s="2" t="n"/>
    </row>
    <row r="201">
      <c r="A201" s="2" t="inlineStr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>
        <f>IF(COUNTA($A201:$F201)=0,"",IF($C201="","MissingDate",IF(OR($A201="",$D201="",$E201="",$D201=$E201),"InvalidSchedule",IF(COUNTIF(ActiveActivityCodes,$F201)=0,"InvalidCode",IF(COUNTIFS(tblScheduleData[EmployeeID],$A201,tblScheduleData[OperationalDate],$C201,tblScheduleData[ShiftStart],$D201,tblScheduleData[ShiftEnd],$E201,tblScheduleData[ActivityCode],$F201)&gt;1,"Duplicate","Valid")))))</f>
        <v/>
      </c>
      <c r="K201" s="2" t="n"/>
    </row>
    <row r="202">
      <c r="A202" s="2" t="inlineStr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>
        <f>IF(COUNTA($A202:$F202)=0,"",IF($C202="","MissingDate",IF(OR($A202="",$D202="",$E202="",$D202=$E202),"InvalidSchedule",IF(COUNTIF(ActiveActivityCodes,$F202)=0,"InvalidCode",IF(COUNTIFS(tblScheduleData[EmployeeID],$A202,tblScheduleData[OperationalDate],$C202,tblScheduleData[ShiftStart],$D202,tblScheduleData[ShiftEnd],$E202,tblScheduleData[ActivityCode],$F202)&gt;1,"Duplicate","Valid")))))</f>
        <v/>
      </c>
      <c r="K202" s="2" t="n"/>
    </row>
    <row r="203">
      <c r="A203" s="2" t="inlineStr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>
        <f>IF(COUNTA($A203:$F203)=0,"",IF($C203="","MissingDate",IF(OR($A203="",$D203="",$E203="",$D203=$E203),"InvalidSchedule",IF(COUNTIF(ActiveActivityCodes,$F203)=0,"InvalidCode",IF(COUNTIFS(tblScheduleData[EmployeeID],$A203,tblScheduleData[OperationalDate],$C203,tblScheduleData[ShiftStart],$D203,tblScheduleData[ShiftEnd],$E203,tblScheduleData[ActivityCode],$F203)&gt;1,"Duplicate","Valid")))))</f>
        <v/>
      </c>
      <c r="K203" s="2" t="n"/>
    </row>
    <row r="204">
      <c r="A204" s="2" t="inlineStr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>
        <f>IF(COUNTA($A204:$F204)=0,"",IF($C204="","MissingDate",IF(OR($A204="",$D204="",$E204="",$D204=$E204),"InvalidSchedule",IF(COUNTIF(ActiveActivityCodes,$F204)=0,"InvalidCode",IF(COUNTIFS(tblScheduleData[EmployeeID],$A204,tblScheduleData[OperationalDate],$C204,tblScheduleData[ShiftStart],$D204,tblScheduleData[ShiftEnd],$E204,tblScheduleData[ActivityCode],$F204)&gt;1,"Duplicate","Valid")))))</f>
        <v/>
      </c>
      <c r="K204" s="2" t="n"/>
    </row>
    <row r="205">
      <c r="A205" s="2" t="inlineStr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>
        <f>IF(COUNTA($A205:$F205)=0,"",IF($C205="","MissingDate",IF(OR($A205="",$D205="",$E205="",$D205=$E205),"InvalidSchedule",IF(COUNTIF(ActiveActivityCodes,$F205)=0,"InvalidCode",IF(COUNTIFS(tblScheduleData[EmployeeID],$A205,tblScheduleData[OperationalDate],$C205,tblScheduleData[ShiftStart],$D205,tblScheduleData[ShiftEnd],$E205,tblScheduleData[ActivityCode],$F205)&gt;1,"Duplicate","Valid")))))</f>
        <v/>
      </c>
      <c r="K205" s="2" t="n"/>
    </row>
    <row r="206">
      <c r="A206" s="2" t="inlineStr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>
        <f>IF(COUNTA($A206:$F206)=0,"",IF($C206="","MissingDate",IF(OR($A206="",$D206="",$E206="",$D206=$E206),"InvalidSchedule",IF(COUNTIF(ActiveActivityCodes,$F206)=0,"InvalidCode",IF(COUNTIFS(tblScheduleData[EmployeeID],$A206,tblScheduleData[OperationalDate],$C206,tblScheduleData[ShiftStart],$D206,tblScheduleData[ShiftEnd],$E206,tblScheduleData[ActivityCode],$F206)&gt;1,"Duplicate","Valid")))))</f>
        <v/>
      </c>
      <c r="K206" s="2" t="n"/>
    </row>
    <row r="207">
      <c r="A207" s="2" t="inlineStr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>
        <f>IF(COUNTA($A207:$F207)=0,"",IF($C207="","MissingDate",IF(OR($A207="",$D207="",$E207="",$D207=$E207),"InvalidSchedule",IF(COUNTIF(ActiveActivityCodes,$F207)=0,"InvalidCode",IF(COUNTIFS(tblScheduleData[EmployeeID],$A207,tblScheduleData[OperationalDate],$C207,tblScheduleData[ShiftStart],$D207,tblScheduleData[ShiftEnd],$E207,tblScheduleData[ActivityCode],$F207)&gt;1,"Duplicate","Valid")))))</f>
        <v/>
      </c>
      <c r="K207" s="2" t="n"/>
    </row>
    <row r="208">
      <c r="A208" s="2" t="inlineStr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>
        <f>IF(COUNTA($A208:$F208)=0,"",IF($C208="","MissingDate",IF(OR($A208="",$D208="",$E208="",$D208=$E208),"InvalidSchedule",IF(COUNTIF(ActiveActivityCodes,$F208)=0,"InvalidCode",IF(COUNTIFS(tblScheduleData[EmployeeID],$A208,tblScheduleData[OperationalDate],$C208,tblScheduleData[ShiftStart],$D208,tblScheduleData[ShiftEnd],$E208,tblScheduleData[ActivityCode],$F208)&gt;1,"Duplicate","Valid")))))</f>
        <v/>
      </c>
      <c r="K208" s="2" t="n"/>
    </row>
    <row r="209">
      <c r="A209" s="2" t="inlineStr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>
        <f>IF(COUNTA($A209:$F209)=0,"",IF($C209="","MissingDate",IF(OR($A209="",$D209="",$E209="",$D209=$E209),"InvalidSchedule",IF(COUNTIF(ActiveActivityCodes,$F209)=0,"InvalidCode",IF(COUNTIFS(tblScheduleData[EmployeeID],$A209,tblScheduleData[OperationalDate],$C209,tblScheduleData[ShiftStart],$D209,tblScheduleData[ShiftEnd],$E209,tblScheduleData[ActivityCode],$F209)&gt;1,"Duplicate","Valid")))))</f>
        <v/>
      </c>
      <c r="K209" s="2" t="n"/>
    </row>
    <row r="210">
      <c r="A210" s="2" t="inlineStr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>
        <f>IF(COUNTA($A210:$F210)=0,"",IF($C210="","MissingDate",IF(OR($A210="",$D210="",$E210="",$D210=$E210),"InvalidSchedule",IF(COUNTIF(ActiveActivityCodes,$F210)=0,"InvalidCode",IF(COUNTIFS(tblScheduleData[EmployeeID],$A210,tblScheduleData[OperationalDate],$C210,tblScheduleData[ShiftStart],$D210,tblScheduleData[ShiftEnd],$E210,tblScheduleData[ActivityCode],$F210)&gt;1,"Duplicate","Valid")))))</f>
        <v/>
      </c>
      <c r="K210" s="2" t="n"/>
    </row>
    <row r="211">
      <c r="A211" s="2" t="inlineStr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>
        <f>IF(COUNTA($A211:$F211)=0,"",IF($C211="","MissingDate",IF(OR($A211="",$D211="",$E211="",$D211=$E211),"InvalidSchedule",IF(COUNTIF(ActiveActivityCodes,$F211)=0,"InvalidCode",IF(COUNTIFS(tblScheduleData[EmployeeID],$A211,tblScheduleData[OperationalDate],$C211,tblScheduleData[ShiftStart],$D211,tblScheduleData[ShiftEnd],$E211,tblScheduleData[ActivityCode],$F211)&gt;1,"Duplicate","Valid")))))</f>
        <v/>
      </c>
      <c r="K211" s="2" t="n"/>
    </row>
    <row r="212">
      <c r="A212" s="2" t="inlineStr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>
        <f>IF(COUNTA($A212:$F212)=0,"",IF($C212="","MissingDate",IF(OR($A212="",$D212="",$E212="",$D212=$E212),"InvalidSchedule",IF(COUNTIF(ActiveActivityCodes,$F212)=0,"InvalidCode",IF(COUNTIFS(tblScheduleData[EmployeeID],$A212,tblScheduleData[OperationalDate],$C212,tblScheduleData[ShiftStart],$D212,tblScheduleData[ShiftEnd],$E212,tblScheduleData[ActivityCode],$F212)&gt;1,"Duplicate","Valid")))))</f>
        <v/>
      </c>
      <c r="K212" s="2" t="n"/>
    </row>
    <row r="213">
      <c r="A213" s="2" t="inlineStr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>
        <f>IF(COUNTA($A213:$F213)=0,"",IF($C213="","MissingDate",IF(OR($A213="",$D213="",$E213="",$D213=$E213),"InvalidSchedule",IF(COUNTIF(ActiveActivityCodes,$F213)=0,"InvalidCode",IF(COUNTIFS(tblScheduleData[EmployeeID],$A213,tblScheduleData[OperationalDate],$C213,tblScheduleData[ShiftStart],$D213,tblScheduleData[ShiftEnd],$E213,tblScheduleData[ActivityCode],$F213)&gt;1,"Duplicate","Valid")))))</f>
        <v/>
      </c>
      <c r="K213" s="2" t="n"/>
    </row>
    <row r="214">
      <c r="A214" s="2" t="inlineStr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>
        <f>IF(COUNTA($A214:$F214)=0,"",IF($C214="","MissingDate",IF(OR($A214="",$D214="",$E214="",$D214=$E214),"InvalidSchedule",IF(COUNTIF(ActiveActivityCodes,$F214)=0,"InvalidCode",IF(COUNTIFS(tblScheduleData[EmployeeID],$A214,tblScheduleData[OperationalDate],$C214,tblScheduleData[ShiftStart],$D214,tblScheduleData[ShiftEnd],$E214,tblScheduleData[ActivityCode],$F214)&gt;1,"Duplicate","Valid")))))</f>
        <v/>
      </c>
      <c r="K214" s="2" t="n"/>
    </row>
    <row r="215">
      <c r="A215" s="2" t="inlineStr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>
        <f>IF(COUNTA($A215:$F215)=0,"",IF($C215="","MissingDate",IF(OR($A215="",$D215="",$E215="",$D215=$E215),"InvalidSchedule",IF(COUNTIF(ActiveActivityCodes,$F215)=0,"InvalidCode",IF(COUNTIFS(tblScheduleData[EmployeeID],$A215,tblScheduleData[OperationalDate],$C215,tblScheduleData[ShiftStart],$D215,tblScheduleData[ShiftEnd],$E215,tblScheduleData[ActivityCode],$F215)&gt;1,"Duplicate","Valid")))))</f>
        <v/>
      </c>
      <c r="K215" s="2" t="n"/>
    </row>
    <row r="216">
      <c r="A216" s="2" t="inlineStr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>
        <f>IF(COUNTA($A216:$F216)=0,"",IF($C216="","MissingDate",IF(OR($A216="",$D216="",$E216="",$D216=$E216),"InvalidSchedule",IF(COUNTIF(ActiveActivityCodes,$F216)=0,"InvalidCode",IF(COUNTIFS(tblScheduleData[EmployeeID],$A216,tblScheduleData[OperationalDate],$C216,tblScheduleData[ShiftStart],$D216,tblScheduleData[ShiftEnd],$E216,tblScheduleData[ActivityCode],$F216)&gt;1,"Duplicate","Valid")))))</f>
        <v/>
      </c>
      <c r="K216" s="2" t="n"/>
    </row>
    <row r="217">
      <c r="A217" s="2" t="inlineStr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>
        <f>IF(COUNTA($A217:$F217)=0,"",IF($C217="","MissingDate",IF(OR($A217="",$D217="",$E217="",$D217=$E217),"InvalidSchedule",IF(COUNTIF(ActiveActivityCodes,$F217)=0,"InvalidCode",IF(COUNTIFS(tblScheduleData[EmployeeID],$A217,tblScheduleData[OperationalDate],$C217,tblScheduleData[ShiftStart],$D217,tblScheduleData[ShiftEnd],$E217,tblScheduleData[ActivityCode],$F217)&gt;1,"Duplicate","Valid")))))</f>
        <v/>
      </c>
      <c r="K217" s="2" t="n"/>
    </row>
    <row r="218">
      <c r="A218" s="2" t="inlineStr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>
        <f>IF(COUNTA($A218:$F218)=0,"",IF($C218="","MissingDate",IF(OR($A218="",$D218="",$E218="",$D218=$E218),"InvalidSchedule",IF(COUNTIF(ActiveActivityCodes,$F218)=0,"InvalidCode",IF(COUNTIFS(tblScheduleData[EmployeeID],$A218,tblScheduleData[OperationalDate],$C218,tblScheduleData[ShiftStart],$D218,tblScheduleData[ShiftEnd],$E218,tblScheduleData[ActivityCode],$F218)&gt;1,"Duplicate","Valid")))))</f>
        <v/>
      </c>
      <c r="K218" s="2" t="n"/>
    </row>
    <row r="219">
      <c r="A219" s="2" t="inlineStr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>
        <f>IF(COUNTA($A219:$F219)=0,"",IF($C219="","MissingDate",IF(OR($A219="",$D219="",$E219="",$D219=$E219),"InvalidSchedule",IF(COUNTIF(ActiveActivityCodes,$F219)=0,"InvalidCode",IF(COUNTIFS(tblScheduleData[EmployeeID],$A219,tblScheduleData[OperationalDate],$C219,tblScheduleData[ShiftStart],$D219,tblScheduleData[ShiftEnd],$E219,tblScheduleData[ActivityCode],$F219)&gt;1,"Duplicate","Valid")))))</f>
        <v/>
      </c>
      <c r="K219" s="2" t="n"/>
    </row>
    <row r="220">
      <c r="A220" s="2" t="inlineStr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>
        <f>IF(COUNTA($A220:$F220)=0,"",IF($C220="","MissingDate",IF(OR($A220="",$D220="",$E220="",$D220=$E220),"InvalidSchedule",IF(COUNTIF(ActiveActivityCodes,$F220)=0,"InvalidCode",IF(COUNTIFS(tblScheduleData[EmployeeID],$A220,tblScheduleData[OperationalDate],$C220,tblScheduleData[ShiftStart],$D220,tblScheduleData[ShiftEnd],$E220,tblScheduleData[ActivityCode],$F220)&gt;1,"Duplicate","Valid")))))</f>
        <v/>
      </c>
      <c r="K220" s="2" t="n"/>
    </row>
    <row r="221">
      <c r="A221" s="2" t="inlineStr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>
        <f>IF(COUNTA($A221:$F221)=0,"",IF($C221="","MissingDate",IF(OR($A221="",$D221="",$E221="",$D221=$E221),"InvalidSchedule",IF(COUNTIF(ActiveActivityCodes,$F221)=0,"InvalidCode",IF(COUNTIFS(tblScheduleData[EmployeeID],$A221,tblScheduleData[OperationalDate],$C221,tblScheduleData[ShiftStart],$D221,tblScheduleData[ShiftEnd],$E221,tblScheduleData[ActivityCode],$F221)&gt;1,"Duplicate","Valid")))))</f>
        <v/>
      </c>
      <c r="K221" s="2" t="n"/>
    </row>
    <row r="222">
      <c r="A222" s="2" t="inlineStr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>
        <f>IF(COUNTA($A222:$F222)=0,"",IF($C222="","MissingDate",IF(OR($A222="",$D222="",$E222="",$D222=$E222),"InvalidSchedule",IF(COUNTIF(ActiveActivityCodes,$F222)=0,"InvalidCode",IF(COUNTIFS(tblScheduleData[EmployeeID],$A222,tblScheduleData[OperationalDate],$C222,tblScheduleData[ShiftStart],$D222,tblScheduleData[ShiftEnd],$E222,tblScheduleData[ActivityCode],$F222)&gt;1,"Duplicate","Valid")))))</f>
        <v/>
      </c>
      <c r="K222" s="2" t="n"/>
    </row>
    <row r="223">
      <c r="A223" s="2" t="inlineStr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>
        <f>IF(COUNTA($A223:$F223)=0,"",IF($C223="","MissingDate",IF(OR($A223="",$D223="",$E223="",$D223=$E223),"InvalidSchedule",IF(COUNTIF(ActiveActivityCodes,$F223)=0,"InvalidCode",IF(COUNTIFS(tblScheduleData[EmployeeID],$A223,tblScheduleData[OperationalDate],$C223,tblScheduleData[ShiftStart],$D223,tblScheduleData[ShiftEnd],$E223,tblScheduleData[ActivityCode],$F223)&gt;1,"Duplicate","Valid")))))</f>
        <v/>
      </c>
      <c r="K223" s="2" t="n"/>
    </row>
    <row r="224">
      <c r="A224" s="2" t="inlineStr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>
        <f>IF(COUNTA($A224:$F224)=0,"",IF($C224="","MissingDate",IF(OR($A224="",$D224="",$E224="",$D224=$E224),"InvalidSchedule",IF(COUNTIF(ActiveActivityCodes,$F224)=0,"InvalidCode",IF(COUNTIFS(tblScheduleData[EmployeeID],$A224,tblScheduleData[OperationalDate],$C224,tblScheduleData[ShiftStart],$D224,tblScheduleData[ShiftEnd],$E224,tblScheduleData[ActivityCode],$F224)&gt;1,"Duplicate","Valid")))))</f>
        <v/>
      </c>
      <c r="K224" s="2" t="n"/>
    </row>
    <row r="225">
      <c r="A225" s="2" t="inlineStr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>
        <f>IF(COUNTA($A225:$F225)=0,"",IF($C225="","MissingDate",IF(OR($A225="",$D225="",$E225="",$D225=$E225),"InvalidSchedule",IF(COUNTIF(ActiveActivityCodes,$F225)=0,"InvalidCode",IF(COUNTIFS(tblScheduleData[EmployeeID],$A225,tblScheduleData[OperationalDate],$C225,tblScheduleData[ShiftStart],$D225,tblScheduleData[ShiftEnd],$E225,tblScheduleData[ActivityCode],$F225)&gt;1,"Duplicate","Valid")))))</f>
        <v/>
      </c>
      <c r="K225" s="2" t="n"/>
    </row>
    <row r="226">
      <c r="A226" s="2" t="inlineStr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>
        <f>IF(COUNTA($A226:$F226)=0,"",IF($C226="","MissingDate",IF(OR($A226="",$D226="",$E226="",$D226=$E226),"InvalidSchedule",IF(COUNTIF(ActiveActivityCodes,$F226)=0,"InvalidCode",IF(COUNTIFS(tblScheduleData[EmployeeID],$A226,tblScheduleData[OperationalDate],$C226,tblScheduleData[ShiftStart],$D226,tblScheduleData[ShiftEnd],$E226,tblScheduleData[ActivityCode],$F226)&gt;1,"Duplicate","Valid")))))</f>
        <v/>
      </c>
      <c r="K226" s="2" t="n"/>
    </row>
    <row r="227">
      <c r="A227" s="2" t="inlineStr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>
        <f>IF(COUNTA($A227:$F227)=0,"",IF($C227="","MissingDate",IF(OR($A227="",$D227="",$E227="",$D227=$E227),"InvalidSchedule",IF(COUNTIF(ActiveActivityCodes,$F227)=0,"InvalidCode",IF(COUNTIFS(tblScheduleData[EmployeeID],$A227,tblScheduleData[OperationalDate],$C227,tblScheduleData[ShiftStart],$D227,tblScheduleData[ShiftEnd],$E227,tblScheduleData[ActivityCode],$F227)&gt;1,"Duplicate","Valid")))))</f>
        <v/>
      </c>
      <c r="K227" s="2" t="n"/>
    </row>
    <row r="228">
      <c r="A228" s="2" t="inlineStr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>
        <f>IF(COUNTA($A228:$F228)=0,"",IF($C228="","MissingDate",IF(OR($A228="",$D228="",$E228="",$D228=$E228),"InvalidSchedule",IF(COUNTIF(ActiveActivityCodes,$F228)=0,"InvalidCode",IF(COUNTIFS(tblScheduleData[EmployeeID],$A228,tblScheduleData[OperationalDate],$C228,tblScheduleData[ShiftStart],$D228,tblScheduleData[ShiftEnd],$E228,tblScheduleData[ActivityCode],$F228)&gt;1,"Duplicate","Valid")))))</f>
        <v/>
      </c>
      <c r="K228" s="2" t="n"/>
    </row>
    <row r="229">
      <c r="A229" s="2" t="inlineStr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>
        <f>IF(COUNTA($A229:$F229)=0,"",IF($C229="","MissingDate",IF(OR($A229="",$D229="",$E229="",$D229=$E229),"InvalidSchedule",IF(COUNTIF(ActiveActivityCodes,$F229)=0,"InvalidCode",IF(COUNTIFS(tblScheduleData[EmployeeID],$A229,tblScheduleData[OperationalDate],$C229,tblScheduleData[ShiftStart],$D229,tblScheduleData[ShiftEnd],$E229,tblScheduleData[ActivityCode],$F229)&gt;1,"Duplicate","Valid")))))</f>
        <v/>
      </c>
      <c r="K229" s="2" t="n"/>
    </row>
    <row r="230">
      <c r="A230" s="2" t="inlineStr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>
        <f>IF(COUNTA($A230:$F230)=0,"",IF($C230="","MissingDate",IF(OR($A230="",$D230="",$E230="",$D230=$E230),"InvalidSchedule",IF(COUNTIF(ActiveActivityCodes,$F230)=0,"InvalidCode",IF(COUNTIFS(tblScheduleData[EmployeeID],$A230,tblScheduleData[OperationalDate],$C230,tblScheduleData[ShiftStart],$D230,tblScheduleData[ShiftEnd],$E230,tblScheduleData[ActivityCode],$F230)&gt;1,"Duplicate","Valid")))))</f>
        <v/>
      </c>
      <c r="K230" s="2" t="n"/>
    </row>
    <row r="231">
      <c r="A231" s="2" t="inlineStr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>
        <f>IF(COUNTA($A231:$F231)=0,"",IF($C231="","MissingDate",IF(OR($A231="",$D231="",$E231="",$D231=$E231),"InvalidSchedule",IF(COUNTIF(ActiveActivityCodes,$F231)=0,"InvalidCode",IF(COUNTIFS(tblScheduleData[EmployeeID],$A231,tblScheduleData[OperationalDate],$C231,tblScheduleData[ShiftStart],$D231,tblScheduleData[ShiftEnd],$E231,tblScheduleData[ActivityCode],$F231)&gt;1,"Duplicate","Valid")))))</f>
        <v/>
      </c>
      <c r="K231" s="2" t="n"/>
    </row>
    <row r="232">
      <c r="A232" s="2" t="inlineStr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>
        <f>IF(COUNTA($A232:$F232)=0,"",IF($C232="","MissingDate",IF(OR($A232="",$D232="",$E232="",$D232=$E232),"InvalidSchedule",IF(COUNTIF(ActiveActivityCodes,$F232)=0,"InvalidCode",IF(COUNTIFS(tblScheduleData[EmployeeID],$A232,tblScheduleData[OperationalDate],$C232,tblScheduleData[ShiftStart],$D232,tblScheduleData[ShiftEnd],$E232,tblScheduleData[ActivityCode],$F232)&gt;1,"Duplicate","Valid")))))</f>
        <v/>
      </c>
      <c r="K232" s="2" t="n"/>
    </row>
    <row r="233">
      <c r="A233" s="2" t="inlineStr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>
        <f>IF(COUNTA($A233:$F233)=0,"",IF($C233="","MissingDate",IF(OR($A233="",$D233="",$E233="",$D233=$E233),"InvalidSchedule",IF(COUNTIF(ActiveActivityCodes,$F233)=0,"InvalidCode",IF(COUNTIFS(tblScheduleData[EmployeeID],$A233,tblScheduleData[OperationalDate],$C233,tblScheduleData[ShiftStart],$D233,tblScheduleData[ShiftEnd],$E233,tblScheduleData[ActivityCode],$F233)&gt;1,"Duplicate","Valid")))))</f>
        <v/>
      </c>
      <c r="K233" s="2" t="n"/>
    </row>
    <row r="234">
      <c r="A234" s="2" t="inlineStr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>
        <f>IF(COUNTA($A234:$F234)=0,"",IF($C234="","MissingDate",IF(OR($A234="",$D234="",$E234="",$D234=$E234),"InvalidSchedule",IF(COUNTIF(ActiveActivityCodes,$F234)=0,"InvalidCode",IF(COUNTIFS(tblScheduleData[EmployeeID],$A234,tblScheduleData[OperationalDate],$C234,tblScheduleData[ShiftStart],$D234,tblScheduleData[ShiftEnd],$E234,tblScheduleData[ActivityCode],$F234)&gt;1,"Duplicate","Valid")))))</f>
        <v/>
      </c>
      <c r="K234" s="2" t="n"/>
    </row>
    <row r="235">
      <c r="A235" s="2" t="inlineStr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>
        <f>IF(COUNTA($A235:$F235)=0,"",IF($C235="","MissingDate",IF(OR($A235="",$D235="",$E235="",$D235=$E235),"InvalidSchedule",IF(COUNTIF(ActiveActivityCodes,$F235)=0,"InvalidCode",IF(COUNTIFS(tblScheduleData[EmployeeID],$A235,tblScheduleData[OperationalDate],$C235,tblScheduleData[ShiftStart],$D235,tblScheduleData[ShiftEnd],$E235,tblScheduleData[ActivityCode],$F235)&gt;1,"Duplicate","Valid")))))</f>
        <v/>
      </c>
      <c r="K235" s="2" t="n"/>
    </row>
    <row r="236">
      <c r="A236" s="2" t="inlineStr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>
        <f>IF(COUNTA($A236:$F236)=0,"",IF($C236="","MissingDate",IF(OR($A236="",$D236="",$E236="",$D236=$E236),"InvalidSchedule",IF(COUNTIF(ActiveActivityCodes,$F236)=0,"InvalidCode",IF(COUNTIFS(tblScheduleData[EmployeeID],$A236,tblScheduleData[OperationalDate],$C236,tblScheduleData[ShiftStart],$D236,tblScheduleData[ShiftEnd],$E236,tblScheduleData[ActivityCode],$F236)&gt;1,"Duplicate","Valid")))))</f>
        <v/>
      </c>
      <c r="K236" s="2" t="n"/>
    </row>
    <row r="237">
      <c r="A237" s="2" t="inlineStr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>
        <f>IF(COUNTA($A237:$F237)=0,"",IF($C237="","MissingDate",IF(OR($A237="",$D237="",$E237="",$D237=$E237),"InvalidSchedule",IF(COUNTIF(ActiveActivityCodes,$F237)=0,"InvalidCode",IF(COUNTIFS(tblScheduleData[EmployeeID],$A237,tblScheduleData[OperationalDate],$C237,tblScheduleData[ShiftStart],$D237,tblScheduleData[ShiftEnd],$E237,tblScheduleData[ActivityCode],$F237)&gt;1,"Duplicate","Valid")))))</f>
        <v/>
      </c>
      <c r="K237" s="2" t="n"/>
    </row>
    <row r="238">
      <c r="A238" s="2" t="inlineStr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>
        <f>IF(COUNTA($A238:$F238)=0,"",IF($C238="","MissingDate",IF(OR($A238="",$D238="",$E238="",$D238=$E238),"InvalidSchedule",IF(COUNTIF(ActiveActivityCodes,$F238)=0,"InvalidCode",IF(COUNTIFS(tblScheduleData[EmployeeID],$A238,tblScheduleData[OperationalDate],$C238,tblScheduleData[ShiftStart],$D238,tblScheduleData[ShiftEnd],$E238,tblScheduleData[ActivityCode],$F238)&gt;1,"Duplicate","Valid")))))</f>
        <v/>
      </c>
      <c r="K238" s="2" t="n"/>
    </row>
    <row r="239">
      <c r="A239" s="2" t="inlineStr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>
        <f>IF(COUNTA($A239:$F239)=0,"",IF($C239="","MissingDate",IF(OR($A239="",$D239="",$E239="",$D239=$E239),"InvalidSchedule",IF(COUNTIF(ActiveActivityCodes,$F239)=0,"InvalidCode",IF(COUNTIFS(tblScheduleData[EmployeeID],$A239,tblScheduleData[OperationalDate],$C239,tblScheduleData[ShiftStart],$D239,tblScheduleData[ShiftEnd],$E239,tblScheduleData[ActivityCode],$F239)&gt;1,"Duplicate","Valid")))))</f>
        <v/>
      </c>
      <c r="K239" s="2" t="n"/>
    </row>
    <row r="240">
      <c r="A240" s="2" t="inlineStr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>
        <f>IF(COUNTA($A240:$F240)=0,"",IF($C240="","MissingDate",IF(OR($A240="",$D240="",$E240="",$D240=$E240),"InvalidSchedule",IF(COUNTIF(ActiveActivityCodes,$F240)=0,"InvalidCode",IF(COUNTIFS(tblScheduleData[EmployeeID],$A240,tblScheduleData[OperationalDate],$C240,tblScheduleData[ShiftStart],$D240,tblScheduleData[ShiftEnd],$E240,tblScheduleData[ActivityCode],$F240)&gt;1,"Duplicate","Valid")))))</f>
        <v/>
      </c>
      <c r="K240" s="2" t="n"/>
    </row>
    <row r="241">
      <c r="A241" s="2" t="inlineStr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>
        <f>IF(COUNTA($A241:$F241)=0,"",IF($C241="","MissingDate",IF(OR($A241="",$D241="",$E241="",$D241=$E241),"InvalidSchedule",IF(COUNTIF(ActiveActivityCodes,$F241)=0,"InvalidCode",IF(COUNTIFS(tblScheduleData[EmployeeID],$A241,tblScheduleData[OperationalDate],$C241,tblScheduleData[ShiftStart],$D241,tblScheduleData[ShiftEnd],$E241,tblScheduleData[ActivityCode],$F241)&gt;1,"Duplicate","Valid")))))</f>
        <v/>
      </c>
      <c r="K241" s="2" t="n"/>
    </row>
    <row r="242">
      <c r="A242" s="2" t="inlineStr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>
        <f>IF(COUNTA($A242:$F242)=0,"",IF($C242="","MissingDate",IF(OR($A242="",$D242="",$E242="",$D242=$E242),"InvalidSchedule",IF(COUNTIF(ActiveActivityCodes,$F242)=0,"InvalidCode",IF(COUNTIFS(tblScheduleData[EmployeeID],$A242,tblScheduleData[OperationalDate],$C242,tblScheduleData[ShiftStart],$D242,tblScheduleData[ShiftEnd],$E242,tblScheduleData[ActivityCode],$F242)&gt;1,"Duplicate","Valid")))))</f>
        <v/>
      </c>
      <c r="K242" s="2" t="n"/>
    </row>
    <row r="243">
      <c r="A243" s="2" t="inlineStr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>
        <f>IF(COUNTA($A243:$F243)=0,"",IF($C243="","MissingDate",IF(OR($A243="",$D243="",$E243="",$D243=$E243),"InvalidSchedule",IF(COUNTIF(ActiveActivityCodes,$F243)=0,"InvalidCode",IF(COUNTIFS(tblScheduleData[EmployeeID],$A243,tblScheduleData[OperationalDate],$C243,tblScheduleData[ShiftStart],$D243,tblScheduleData[ShiftEnd],$E243,tblScheduleData[ActivityCode],$F243)&gt;1,"Duplicate","Valid")))))</f>
        <v/>
      </c>
      <c r="K243" s="2" t="n"/>
    </row>
    <row r="244">
      <c r="A244" s="2" t="inlineStr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>
        <f>IF(COUNTA($A244:$F244)=0,"",IF($C244="","MissingDate",IF(OR($A244="",$D244="",$E244="",$D244=$E244),"InvalidSchedule",IF(COUNTIF(ActiveActivityCodes,$F244)=0,"InvalidCode",IF(COUNTIFS(tblScheduleData[EmployeeID],$A244,tblScheduleData[OperationalDate],$C244,tblScheduleData[ShiftStart],$D244,tblScheduleData[ShiftEnd],$E244,tblScheduleData[ActivityCode],$F244)&gt;1,"Duplicate","Valid")))))</f>
        <v/>
      </c>
      <c r="K244" s="2" t="n"/>
    </row>
    <row r="245">
      <c r="A245" s="2" t="inlineStr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>
        <f>IF(COUNTA($A245:$F245)=0,"",IF($C245="","MissingDate",IF(OR($A245="",$D245="",$E245="",$D245=$E245),"InvalidSchedule",IF(COUNTIF(ActiveActivityCodes,$F245)=0,"InvalidCode",IF(COUNTIFS(tblScheduleData[EmployeeID],$A245,tblScheduleData[OperationalDate],$C245,tblScheduleData[ShiftStart],$D245,tblScheduleData[ShiftEnd],$E245,tblScheduleData[ActivityCode],$F245)&gt;1,"Duplicate","Valid")))))</f>
        <v/>
      </c>
      <c r="K245" s="2" t="n"/>
    </row>
    <row r="246">
      <c r="A246" s="2" t="inlineStr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>
        <f>IF(COUNTA($A246:$F246)=0,"",IF($C246="","MissingDate",IF(OR($A246="",$D246="",$E246="",$D246=$E246),"InvalidSchedule",IF(COUNTIF(ActiveActivityCodes,$F246)=0,"InvalidCode",IF(COUNTIFS(tblScheduleData[EmployeeID],$A246,tblScheduleData[OperationalDate],$C246,tblScheduleData[ShiftStart],$D246,tblScheduleData[ShiftEnd],$E246,tblScheduleData[ActivityCode],$F246)&gt;1,"Duplicate","Valid")))))</f>
        <v/>
      </c>
      <c r="K246" s="2" t="n"/>
    </row>
    <row r="247">
      <c r="A247" s="2" t="inlineStr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>
        <f>IF(COUNTA($A247:$F247)=0,"",IF($C247="","MissingDate",IF(OR($A247="",$D247="",$E247="",$D247=$E247),"InvalidSchedule",IF(COUNTIF(ActiveActivityCodes,$F247)=0,"InvalidCode",IF(COUNTIFS(tblScheduleData[EmployeeID],$A247,tblScheduleData[OperationalDate],$C247,tblScheduleData[ShiftStart],$D247,tblScheduleData[ShiftEnd],$E247,tblScheduleData[ActivityCode],$F247)&gt;1,"Duplicate","Valid")))))</f>
        <v/>
      </c>
      <c r="K247" s="2" t="n"/>
    </row>
    <row r="248">
      <c r="A248" s="2" t="inlineStr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>
        <f>IF(COUNTA($A248:$F248)=0,"",IF($C248="","MissingDate",IF(OR($A248="",$D248="",$E248="",$D248=$E248),"InvalidSchedule",IF(COUNTIF(ActiveActivityCodes,$F248)=0,"InvalidCode",IF(COUNTIFS(tblScheduleData[EmployeeID],$A248,tblScheduleData[OperationalDate],$C248,tblScheduleData[ShiftStart],$D248,tblScheduleData[ShiftEnd],$E248,tblScheduleData[ActivityCode],$F248)&gt;1,"Duplicate","Valid")))))</f>
        <v/>
      </c>
      <c r="K248" s="2" t="n"/>
    </row>
    <row r="249">
      <c r="A249" s="2" t="inlineStr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>
        <f>IF(COUNTA($A249:$F249)=0,"",IF($C249="","MissingDate",IF(OR($A249="",$D249="",$E249="",$D249=$E249),"InvalidSchedule",IF(COUNTIF(ActiveActivityCodes,$F249)=0,"InvalidCode",IF(COUNTIFS(tblScheduleData[EmployeeID],$A249,tblScheduleData[OperationalDate],$C249,tblScheduleData[ShiftStart],$D249,tblScheduleData[ShiftEnd],$E249,tblScheduleData[ActivityCode],$F249)&gt;1,"Duplicate","Valid")))))</f>
        <v/>
      </c>
      <c r="K249" s="2" t="n"/>
    </row>
    <row r="250">
      <c r="A250" s="2" t="inlineStr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>
        <f>IF(COUNTA($A250:$F250)=0,"",IF($C250="","MissingDate",IF(OR($A250="",$D250="",$E250="",$D250=$E250),"InvalidSchedule",IF(COUNTIF(ActiveActivityCodes,$F250)=0,"InvalidCode",IF(COUNTIFS(tblScheduleData[EmployeeID],$A250,tblScheduleData[OperationalDate],$C250,tblScheduleData[ShiftStart],$D250,tblScheduleData[ShiftEnd],$E250,tblScheduleData[ActivityCode],$F250)&gt;1,"Duplicate","Valid")))))</f>
        <v/>
      </c>
      <c r="K250" s="2" t="n"/>
    </row>
    <row r="251">
      <c r="A251" s="2" t="inlineStr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>
        <f>IF(COUNTA($A251:$F251)=0,"",IF($C251="","MissingDate",IF(OR($A251="",$D251="",$E251="",$D251=$E251),"InvalidSchedule",IF(COUNTIF(ActiveActivityCodes,$F251)=0,"InvalidCode",IF(COUNTIFS(tblScheduleData[EmployeeID],$A251,tblScheduleData[OperationalDate],$C251,tblScheduleData[ShiftStart],$D251,tblScheduleData[ShiftEnd],$E251,tblScheduleData[ActivityCode],$F251)&gt;1,"Duplicate","Valid")))))</f>
        <v/>
      </c>
      <c r="K251" s="2" t="n"/>
    </row>
    <row r="252">
      <c r="A252" s="2" t="inlineStr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>
        <f>IF(COUNTA($A252:$F252)=0,"",IF($C252="","MissingDate",IF(OR($A252="",$D252="",$E252="",$D252=$E252),"InvalidSchedule",IF(COUNTIF(ActiveActivityCodes,$F252)=0,"InvalidCode",IF(COUNTIFS(tblScheduleData[EmployeeID],$A252,tblScheduleData[OperationalDate],$C252,tblScheduleData[ShiftStart],$D252,tblScheduleData[ShiftEnd],$E252,tblScheduleData[ActivityCode],$F252)&gt;1,"Duplicate","Valid")))))</f>
        <v/>
      </c>
      <c r="K252" s="2" t="n"/>
    </row>
    <row r="253">
      <c r="A253" s="2" t="inlineStr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>
        <f>IF(COUNTA($A253:$F253)=0,"",IF($C253="","MissingDate",IF(OR($A253="",$D253="",$E253="",$D253=$E253),"InvalidSchedule",IF(COUNTIF(ActiveActivityCodes,$F253)=0,"InvalidCode",IF(COUNTIFS(tblScheduleData[EmployeeID],$A253,tblScheduleData[OperationalDate],$C253,tblScheduleData[ShiftStart],$D253,tblScheduleData[ShiftEnd],$E253,tblScheduleData[ActivityCode],$F253)&gt;1,"Duplicate","Valid")))))</f>
        <v/>
      </c>
      <c r="K253" s="2" t="n"/>
    </row>
    <row r="254">
      <c r="A254" s="2" t="inlineStr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>
        <f>IF(COUNTA($A254:$F254)=0,"",IF($C254="","MissingDate",IF(OR($A254="",$D254="",$E254="",$D254=$E254),"InvalidSchedule",IF(COUNTIF(ActiveActivityCodes,$F254)=0,"InvalidCode",IF(COUNTIFS(tblScheduleData[EmployeeID],$A254,tblScheduleData[OperationalDate],$C254,tblScheduleData[ShiftStart],$D254,tblScheduleData[ShiftEnd],$E254,tblScheduleData[ActivityCode],$F254)&gt;1,"Duplicate","Valid")))))</f>
        <v/>
      </c>
      <c r="K254" s="2" t="n"/>
    </row>
    <row r="255">
      <c r="A255" s="2" t="inlineStr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>
        <f>IF(COUNTA($A255:$F255)=0,"",IF($C255="","MissingDate",IF(OR($A255="",$D255="",$E255="",$D255=$E255),"InvalidSchedule",IF(COUNTIF(ActiveActivityCodes,$F255)=0,"InvalidCode",IF(COUNTIFS(tblScheduleData[EmployeeID],$A255,tblScheduleData[OperationalDate],$C255,tblScheduleData[ShiftStart],$D255,tblScheduleData[ShiftEnd],$E255,tblScheduleData[ActivityCode],$F255)&gt;1,"Duplicate","Valid")))))</f>
        <v/>
      </c>
      <c r="K255" s="2" t="n"/>
    </row>
    <row r="256">
      <c r="A256" s="2" t="inlineStr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>
        <f>IF(COUNTA($A256:$F256)=0,"",IF($C256="","MissingDate",IF(OR($A256="",$D256="",$E256="",$D256=$E256),"InvalidSchedule",IF(COUNTIF(ActiveActivityCodes,$F256)=0,"InvalidCode",IF(COUNTIFS(tblScheduleData[EmployeeID],$A256,tblScheduleData[OperationalDate],$C256,tblScheduleData[ShiftStart],$D256,tblScheduleData[ShiftEnd],$E256,tblScheduleData[ActivityCode],$F256)&gt;1,"Duplicate","Valid")))))</f>
        <v/>
      </c>
      <c r="K256" s="2" t="n"/>
    </row>
    <row r="257">
      <c r="A257" s="2" t="inlineStr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>
        <f>IF(COUNTA($A257:$F257)=0,"",IF($C257="","MissingDate",IF(OR($A257="",$D257="",$E257="",$D257=$E257),"InvalidSchedule",IF(COUNTIF(ActiveActivityCodes,$F257)=0,"InvalidCode",IF(COUNTIFS(tblScheduleData[EmployeeID],$A257,tblScheduleData[OperationalDate],$C257,tblScheduleData[ShiftStart],$D257,tblScheduleData[ShiftEnd],$E257,tblScheduleData[ActivityCode],$F257)&gt;1,"Duplicate","Valid")))))</f>
        <v/>
      </c>
      <c r="K257" s="2" t="n"/>
    </row>
    <row r="258">
      <c r="A258" s="2" t="inlineStr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>
        <f>IF(COUNTA($A258:$F258)=0,"",IF($C258="","MissingDate",IF(OR($A258="",$D258="",$E258="",$D258=$E258),"InvalidSchedule",IF(COUNTIF(ActiveActivityCodes,$F258)=0,"InvalidCode",IF(COUNTIFS(tblScheduleData[EmployeeID],$A258,tblScheduleData[OperationalDate],$C258,tblScheduleData[ShiftStart],$D258,tblScheduleData[ShiftEnd],$E258,tblScheduleData[ActivityCode],$F258)&gt;1,"Duplicate","Valid")))))</f>
        <v/>
      </c>
      <c r="K258" s="2" t="n"/>
    </row>
    <row r="259">
      <c r="A259" s="2" t="inlineStr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>
        <f>IF(COUNTA($A259:$F259)=0,"",IF($C259="","MissingDate",IF(OR($A259="",$D259="",$E259="",$D259=$E259),"InvalidSchedule",IF(COUNTIF(ActiveActivityCodes,$F259)=0,"InvalidCode",IF(COUNTIFS(tblScheduleData[EmployeeID],$A259,tblScheduleData[OperationalDate],$C259,tblScheduleData[ShiftStart],$D259,tblScheduleData[ShiftEnd],$E259,tblScheduleData[ActivityCode],$F259)&gt;1,"Duplicate","Valid")))))</f>
        <v/>
      </c>
      <c r="K259" s="2" t="n"/>
    </row>
    <row r="260">
      <c r="A260" s="2" t="inlineStr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>
        <f>IF(COUNTA($A260:$F260)=0,"",IF($C260="","MissingDate",IF(OR($A260="",$D260="",$E260="",$D260=$E260),"InvalidSchedule",IF(COUNTIF(ActiveActivityCodes,$F260)=0,"InvalidCode",IF(COUNTIFS(tblScheduleData[EmployeeID],$A260,tblScheduleData[OperationalDate],$C260,tblScheduleData[ShiftStart],$D260,tblScheduleData[ShiftEnd],$E260,tblScheduleData[ActivityCode],$F260)&gt;1,"Duplicate","Valid")))))</f>
        <v/>
      </c>
      <c r="K260" s="2" t="n"/>
    </row>
    <row r="261">
      <c r="A261" s="2" t="inlineStr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>
        <f>IF(COUNTA($A261:$F261)=0,"",IF($C261="","MissingDate",IF(OR($A261="",$D261="",$E261="",$D261=$E261),"InvalidSchedule",IF(COUNTIF(ActiveActivityCodes,$F261)=0,"InvalidCode",IF(COUNTIFS(tblScheduleData[EmployeeID],$A261,tblScheduleData[OperationalDate],$C261,tblScheduleData[ShiftStart],$D261,tblScheduleData[ShiftEnd],$E261,tblScheduleData[ActivityCode],$F261)&gt;1,"Duplicate","Valid")))))</f>
        <v/>
      </c>
      <c r="K261" s="2" t="n"/>
    </row>
    <row r="262">
      <c r="A262" s="2" t="inlineStr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>
        <f>IF(COUNTA($A262:$F262)=0,"",IF($C262="","MissingDate",IF(OR($A262="",$D262="",$E262="",$D262=$E262),"InvalidSchedule",IF(COUNTIF(ActiveActivityCodes,$F262)=0,"InvalidCode",IF(COUNTIFS(tblScheduleData[EmployeeID],$A262,tblScheduleData[OperationalDate],$C262,tblScheduleData[ShiftStart],$D262,tblScheduleData[ShiftEnd],$E262,tblScheduleData[ActivityCode],$F262)&gt;1,"Duplicate","Valid")))))</f>
        <v/>
      </c>
      <c r="K262" s="2" t="n"/>
    </row>
    <row r="263">
      <c r="A263" s="2" t="inlineStr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>
        <f>IF(COUNTA($A263:$F263)=0,"",IF($C263="","MissingDate",IF(OR($A263="",$D263="",$E263="",$D263=$E263),"InvalidSchedule",IF(COUNTIF(ActiveActivityCodes,$F263)=0,"InvalidCode",IF(COUNTIFS(tblScheduleData[EmployeeID],$A263,tblScheduleData[OperationalDate],$C263,tblScheduleData[ShiftStart],$D263,tblScheduleData[ShiftEnd],$E263,tblScheduleData[ActivityCode],$F263)&gt;1,"Duplicate","Valid")))))</f>
        <v/>
      </c>
      <c r="K263" s="2" t="n"/>
    </row>
    <row r="264">
      <c r="A264" s="2" t="inlineStr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>
        <f>IF(COUNTA($A264:$F264)=0,"",IF($C264="","MissingDate",IF(OR($A264="",$D264="",$E264="",$D264=$E264),"InvalidSchedule",IF(COUNTIF(ActiveActivityCodes,$F264)=0,"InvalidCode",IF(COUNTIFS(tblScheduleData[EmployeeID],$A264,tblScheduleData[OperationalDate],$C264,tblScheduleData[ShiftStart],$D264,tblScheduleData[ShiftEnd],$E264,tblScheduleData[ActivityCode],$F264)&gt;1,"Duplicate","Valid")))))</f>
        <v/>
      </c>
      <c r="K264" s="2" t="n"/>
    </row>
    <row r="265">
      <c r="A265" s="2" t="inlineStr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>
        <f>IF(COUNTA($A265:$F265)=0,"",IF($C265="","MissingDate",IF(OR($A265="",$D265="",$E265="",$D265=$E265),"InvalidSchedule",IF(COUNTIF(ActiveActivityCodes,$F265)=0,"InvalidCode",IF(COUNTIFS(tblScheduleData[EmployeeID],$A265,tblScheduleData[OperationalDate],$C265,tblScheduleData[ShiftStart],$D265,tblScheduleData[ShiftEnd],$E265,tblScheduleData[ActivityCode],$F265)&gt;1,"Duplicate","Valid")))))</f>
        <v/>
      </c>
      <c r="K265" s="2" t="n"/>
    </row>
    <row r="266">
      <c r="A266" s="2" t="inlineStr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>
        <f>IF(COUNTA($A266:$F266)=0,"",IF($C266="","MissingDate",IF(OR($A266="",$D266="",$E266="",$D266=$E266),"InvalidSchedule",IF(COUNTIF(ActiveActivityCodes,$F266)=0,"InvalidCode",IF(COUNTIFS(tblScheduleData[EmployeeID],$A266,tblScheduleData[OperationalDate],$C266,tblScheduleData[ShiftStart],$D266,tblScheduleData[ShiftEnd],$E266,tblScheduleData[ActivityCode],$F266)&gt;1,"Duplicate","Valid")))))</f>
        <v/>
      </c>
      <c r="K266" s="2" t="n"/>
    </row>
    <row r="267">
      <c r="A267" s="2" t="inlineStr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>
        <f>IF(COUNTA($A267:$F267)=0,"",IF($C267="","MissingDate",IF(OR($A267="",$D267="",$E267="",$D267=$E267),"InvalidSchedule",IF(COUNTIF(ActiveActivityCodes,$F267)=0,"InvalidCode",IF(COUNTIFS(tblScheduleData[EmployeeID],$A267,tblScheduleData[OperationalDate],$C267,tblScheduleData[ShiftStart],$D267,tblScheduleData[ShiftEnd],$E267,tblScheduleData[ActivityCode],$F267)&gt;1,"Duplicate","Valid")))))</f>
        <v/>
      </c>
      <c r="K267" s="2" t="n"/>
    </row>
    <row r="268">
      <c r="A268" s="2" t="inlineStr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>
        <f>IF(COUNTA($A268:$F268)=0,"",IF($C268="","MissingDate",IF(OR($A268="",$D268="",$E268="",$D268=$E268),"InvalidSchedule",IF(COUNTIF(ActiveActivityCodes,$F268)=0,"InvalidCode",IF(COUNTIFS(tblScheduleData[EmployeeID],$A268,tblScheduleData[OperationalDate],$C268,tblScheduleData[ShiftStart],$D268,tblScheduleData[ShiftEnd],$E268,tblScheduleData[ActivityCode],$F268)&gt;1,"Duplicate","Valid")))))</f>
        <v/>
      </c>
      <c r="K268" s="2" t="n"/>
    </row>
    <row r="269">
      <c r="A269" s="2" t="inlineStr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>
        <f>IF(COUNTA($A269:$F269)=0,"",IF($C269="","MissingDate",IF(OR($A269="",$D269="",$E269="",$D269=$E269),"InvalidSchedule",IF(COUNTIF(ActiveActivityCodes,$F269)=0,"InvalidCode",IF(COUNTIFS(tblScheduleData[EmployeeID],$A269,tblScheduleData[OperationalDate],$C269,tblScheduleData[ShiftStart],$D269,tblScheduleData[ShiftEnd],$E269,tblScheduleData[ActivityCode],$F269)&gt;1,"Duplicate","Valid")))))</f>
        <v/>
      </c>
      <c r="K269" s="2" t="n"/>
    </row>
    <row r="270">
      <c r="A270" s="2" t="inlineStr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>
        <f>IF(COUNTA($A270:$F270)=0,"",IF($C270="","MissingDate",IF(OR($A270="",$D270="",$E270="",$D270=$E270),"InvalidSchedule",IF(COUNTIF(ActiveActivityCodes,$F270)=0,"InvalidCode",IF(COUNTIFS(tblScheduleData[EmployeeID],$A270,tblScheduleData[OperationalDate],$C270,tblScheduleData[ShiftStart],$D270,tblScheduleData[ShiftEnd],$E270,tblScheduleData[ActivityCode],$F270)&gt;1,"Duplicate","Valid")))))</f>
        <v/>
      </c>
      <c r="K270" s="2" t="n"/>
    </row>
    <row r="271">
      <c r="A271" s="2" t="inlineStr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>
        <f>IF(COUNTA($A271:$F271)=0,"",IF($C271="","MissingDate",IF(OR($A271="",$D271="",$E271="",$D271=$E271),"InvalidSchedule",IF(COUNTIF(ActiveActivityCodes,$F271)=0,"InvalidCode",IF(COUNTIFS(tblScheduleData[EmployeeID],$A271,tblScheduleData[OperationalDate],$C271,tblScheduleData[ShiftStart],$D271,tblScheduleData[ShiftEnd],$E271,tblScheduleData[ActivityCode],$F271)&gt;1,"Duplicate","Valid")))))</f>
        <v/>
      </c>
      <c r="K271" s="2" t="n"/>
    </row>
    <row r="272">
      <c r="A272" s="2" t="inlineStr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>
        <f>IF(COUNTA($A272:$F272)=0,"",IF($C272="","MissingDate",IF(OR($A272="",$D272="",$E272="",$D272=$E272),"InvalidSchedule",IF(COUNTIF(ActiveActivityCodes,$F272)=0,"InvalidCode",IF(COUNTIFS(tblScheduleData[EmployeeID],$A272,tblScheduleData[OperationalDate],$C272,tblScheduleData[ShiftStart],$D272,tblScheduleData[ShiftEnd],$E272,tblScheduleData[ActivityCode],$F272)&gt;1,"Duplicate","Valid")))))</f>
        <v/>
      </c>
      <c r="K272" s="2" t="n"/>
    </row>
    <row r="273">
      <c r="A273" s="2" t="inlineStr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>
        <f>IF(COUNTA($A273:$F273)=0,"",IF($C273="","MissingDate",IF(OR($A273="",$D273="",$E273="",$D273=$E273),"InvalidSchedule",IF(COUNTIF(ActiveActivityCodes,$F273)=0,"InvalidCode",IF(COUNTIFS(tblScheduleData[EmployeeID],$A273,tblScheduleData[OperationalDate],$C273,tblScheduleData[ShiftStart],$D273,tblScheduleData[ShiftEnd],$E273,tblScheduleData[ActivityCode],$F273)&gt;1,"Duplicate","Valid")))))</f>
        <v/>
      </c>
      <c r="K273" s="2" t="n"/>
    </row>
    <row r="274">
      <c r="A274" s="2" t="inlineStr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>
        <f>IF(COUNTA($A274:$F274)=0,"",IF($C274="","MissingDate",IF(OR($A274="",$D274="",$E274="",$D274=$E274),"InvalidSchedule",IF(COUNTIF(ActiveActivityCodes,$F274)=0,"InvalidCode",IF(COUNTIFS(tblScheduleData[EmployeeID],$A274,tblScheduleData[OperationalDate],$C274,tblScheduleData[ShiftStart],$D274,tblScheduleData[ShiftEnd],$E274,tblScheduleData[ActivityCode],$F274)&gt;1,"Duplicate","Valid")))))</f>
        <v/>
      </c>
      <c r="K274" s="2" t="n"/>
    </row>
    <row r="275">
      <c r="A275" s="2" t="inlineStr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>
        <f>IF(COUNTA($A275:$F275)=0,"",IF($C275="","MissingDate",IF(OR($A275="",$D275="",$E275="",$D275=$E275),"InvalidSchedule",IF(COUNTIF(ActiveActivityCodes,$F275)=0,"InvalidCode",IF(COUNTIFS(tblScheduleData[EmployeeID],$A275,tblScheduleData[OperationalDate],$C275,tblScheduleData[ShiftStart],$D275,tblScheduleData[ShiftEnd],$E275,tblScheduleData[ActivityCode],$F275)&gt;1,"Duplicate","Valid")))))</f>
        <v/>
      </c>
      <c r="K275" s="2" t="n"/>
    </row>
    <row r="276">
      <c r="A276" s="2" t="inlineStr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>
        <f>IF(COUNTA($A276:$F276)=0,"",IF($C276="","MissingDate",IF(OR($A276="",$D276="",$E276="",$D276=$E276),"InvalidSchedule",IF(COUNTIF(ActiveActivityCodes,$F276)=0,"InvalidCode",IF(COUNTIFS(tblScheduleData[EmployeeID],$A276,tblScheduleData[OperationalDate],$C276,tblScheduleData[ShiftStart],$D276,tblScheduleData[ShiftEnd],$E276,tblScheduleData[ActivityCode],$F276)&gt;1,"Duplicate","Valid")))))</f>
        <v/>
      </c>
      <c r="K276" s="2" t="n"/>
    </row>
    <row r="277">
      <c r="A277" s="2" t="inlineStr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>
        <f>IF(COUNTA($A277:$F277)=0,"",IF($C277="","MissingDate",IF(OR($A277="",$D277="",$E277="",$D277=$E277),"InvalidSchedule",IF(COUNTIF(ActiveActivityCodes,$F277)=0,"InvalidCode",IF(COUNTIFS(tblScheduleData[EmployeeID],$A277,tblScheduleData[OperationalDate],$C277,tblScheduleData[ShiftStart],$D277,tblScheduleData[ShiftEnd],$E277,tblScheduleData[ActivityCode],$F277)&gt;1,"Duplicate","Valid")))))</f>
        <v/>
      </c>
      <c r="K277" s="2" t="n"/>
    </row>
    <row r="278">
      <c r="A278" s="2" t="inlineStr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>
        <f>IF(COUNTA($A278:$F278)=0,"",IF($C278="","MissingDate",IF(OR($A278="",$D278="",$E278="",$D278=$E278),"InvalidSchedule",IF(COUNTIF(ActiveActivityCodes,$F278)=0,"InvalidCode",IF(COUNTIFS(tblScheduleData[EmployeeID],$A278,tblScheduleData[OperationalDate],$C278,tblScheduleData[ShiftStart],$D278,tblScheduleData[ShiftEnd],$E278,tblScheduleData[ActivityCode],$F278)&gt;1,"Duplicate","Valid")))))</f>
        <v/>
      </c>
      <c r="K278" s="2" t="n"/>
    </row>
    <row r="279">
      <c r="A279" s="2" t="inlineStr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>
        <f>IF(COUNTA($A279:$F279)=0,"",IF($C279="","MissingDate",IF(OR($A279="",$D279="",$E279="",$D279=$E279),"InvalidSchedule",IF(COUNTIF(ActiveActivityCodes,$F279)=0,"InvalidCode",IF(COUNTIFS(tblScheduleData[EmployeeID],$A279,tblScheduleData[OperationalDate],$C279,tblScheduleData[ShiftStart],$D279,tblScheduleData[ShiftEnd],$E279,tblScheduleData[ActivityCode],$F279)&gt;1,"Duplicate","Valid")))))</f>
        <v/>
      </c>
      <c r="K279" s="2" t="n"/>
    </row>
    <row r="280">
      <c r="A280" s="2" t="inlineStr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>
        <f>IF(COUNTA($A280:$F280)=0,"",IF($C280="","MissingDate",IF(OR($A280="",$D280="",$E280="",$D280=$E280),"InvalidSchedule",IF(COUNTIF(ActiveActivityCodes,$F280)=0,"InvalidCode",IF(COUNTIFS(tblScheduleData[EmployeeID],$A280,tblScheduleData[OperationalDate],$C280,tblScheduleData[ShiftStart],$D280,tblScheduleData[ShiftEnd],$E280,tblScheduleData[ActivityCode],$F280)&gt;1,"Duplicate","Valid")))))</f>
        <v/>
      </c>
      <c r="K280" s="2" t="n"/>
    </row>
    <row r="281">
      <c r="A281" s="2" t="inlineStr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>
        <f>IF(COUNTA($A281:$F281)=0,"",IF($C281="","MissingDate",IF(OR($A281="",$D281="",$E281="",$D281=$E281),"InvalidSchedule",IF(COUNTIF(ActiveActivityCodes,$F281)=0,"InvalidCode",IF(COUNTIFS(tblScheduleData[EmployeeID],$A281,tblScheduleData[OperationalDate],$C281,tblScheduleData[ShiftStart],$D281,tblScheduleData[ShiftEnd],$E281,tblScheduleData[ActivityCode],$F281)&gt;1,"Duplicate","Valid")))))</f>
        <v/>
      </c>
      <c r="K281" s="2" t="n"/>
    </row>
    <row r="282">
      <c r="A282" s="2" t="inlineStr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>
        <f>IF(COUNTA($A282:$F282)=0,"",IF($C282="","MissingDate",IF(OR($A282="",$D282="",$E282="",$D282=$E282),"InvalidSchedule",IF(COUNTIF(ActiveActivityCodes,$F282)=0,"InvalidCode",IF(COUNTIFS(tblScheduleData[EmployeeID],$A282,tblScheduleData[OperationalDate],$C282,tblScheduleData[ShiftStart],$D282,tblScheduleData[ShiftEnd],$E282,tblScheduleData[ActivityCode],$F282)&gt;1,"Duplicate","Valid")))))</f>
        <v/>
      </c>
      <c r="K282" s="2" t="n"/>
    </row>
    <row r="283">
      <c r="A283" s="2" t="inlineStr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>
        <f>IF(COUNTA($A283:$F283)=0,"",IF($C283="","MissingDate",IF(OR($A283="",$D283="",$E283="",$D283=$E283),"InvalidSchedule",IF(COUNTIF(ActiveActivityCodes,$F283)=0,"InvalidCode",IF(COUNTIFS(tblScheduleData[EmployeeID],$A283,tblScheduleData[OperationalDate],$C283,tblScheduleData[ShiftStart],$D283,tblScheduleData[ShiftEnd],$E283,tblScheduleData[ActivityCode],$F283)&gt;1,"Duplicate","Valid")))))</f>
        <v/>
      </c>
      <c r="K283" s="2" t="n"/>
    </row>
    <row r="284">
      <c r="A284" s="2" t="inlineStr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>
        <f>IF(COUNTA($A284:$F284)=0,"",IF($C284="","MissingDate",IF(OR($A284="",$D284="",$E284="",$D284=$E284),"InvalidSchedule",IF(COUNTIF(ActiveActivityCodes,$F284)=0,"InvalidCode",IF(COUNTIFS(tblScheduleData[EmployeeID],$A284,tblScheduleData[OperationalDate],$C284,tblScheduleData[ShiftStart],$D284,tblScheduleData[ShiftEnd],$E284,tblScheduleData[ActivityCode],$F284)&gt;1,"Duplicate","Valid")))))</f>
        <v/>
      </c>
      <c r="K284" s="2" t="n"/>
    </row>
    <row r="285">
      <c r="A285" s="2" t="inlineStr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>
        <f>IF(COUNTA($A285:$F285)=0,"",IF($C285="","MissingDate",IF(OR($A285="",$D285="",$E285="",$D285=$E285),"InvalidSchedule",IF(COUNTIF(ActiveActivityCodes,$F285)=0,"InvalidCode",IF(COUNTIFS(tblScheduleData[EmployeeID],$A285,tblScheduleData[OperationalDate],$C285,tblScheduleData[ShiftStart],$D285,tblScheduleData[ShiftEnd],$E285,tblScheduleData[ActivityCode],$F285)&gt;1,"Duplicate","Valid")))))</f>
        <v/>
      </c>
      <c r="K285" s="2" t="n"/>
    </row>
    <row r="286">
      <c r="A286" s="2" t="inlineStr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>
        <f>IF(COUNTA($A286:$F286)=0,"",IF($C286="","MissingDate",IF(OR($A286="",$D286="",$E286="",$D286=$E286),"InvalidSchedule",IF(COUNTIF(ActiveActivityCodes,$F286)=0,"InvalidCode",IF(COUNTIFS(tblScheduleData[EmployeeID],$A286,tblScheduleData[OperationalDate],$C286,tblScheduleData[ShiftStart],$D286,tblScheduleData[ShiftEnd],$E286,tblScheduleData[ActivityCode],$F286)&gt;1,"Duplicate","Valid")))))</f>
        <v/>
      </c>
      <c r="K286" s="2" t="n"/>
    </row>
    <row r="287">
      <c r="A287" s="2" t="inlineStr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>
        <f>IF(COUNTA($A287:$F287)=0,"",IF($C287="","MissingDate",IF(OR($A287="",$D287="",$E287="",$D287=$E287),"InvalidSchedule",IF(COUNTIF(ActiveActivityCodes,$F287)=0,"InvalidCode",IF(COUNTIFS(tblScheduleData[EmployeeID],$A287,tblScheduleData[OperationalDate],$C287,tblScheduleData[ShiftStart],$D287,tblScheduleData[ShiftEnd],$E287,tblScheduleData[ActivityCode],$F287)&gt;1,"Duplicate","Valid")))))</f>
        <v/>
      </c>
      <c r="K287" s="2" t="n"/>
    </row>
    <row r="288">
      <c r="A288" s="2" t="inlineStr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>
        <f>IF(COUNTA($A288:$F288)=0,"",IF($C288="","MissingDate",IF(OR($A288="",$D288="",$E288="",$D288=$E288),"InvalidSchedule",IF(COUNTIF(ActiveActivityCodes,$F288)=0,"InvalidCode",IF(COUNTIFS(tblScheduleData[EmployeeID],$A288,tblScheduleData[OperationalDate],$C288,tblScheduleData[ShiftStart],$D288,tblScheduleData[ShiftEnd],$E288,tblScheduleData[ActivityCode],$F288)&gt;1,"Duplicate","Valid")))))</f>
        <v/>
      </c>
      <c r="K288" s="2" t="n"/>
    </row>
    <row r="289">
      <c r="A289" s="2" t="inlineStr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>
        <f>IF(COUNTA($A289:$F289)=0,"",IF($C289="","MissingDate",IF(OR($A289="",$D289="",$E289="",$D289=$E289),"InvalidSchedule",IF(COUNTIF(ActiveActivityCodes,$F289)=0,"InvalidCode",IF(COUNTIFS(tblScheduleData[EmployeeID],$A289,tblScheduleData[OperationalDate],$C289,tblScheduleData[ShiftStart],$D289,tblScheduleData[ShiftEnd],$E289,tblScheduleData[ActivityCode],$F289)&gt;1,"Duplicate","Valid")))))</f>
        <v/>
      </c>
      <c r="K289" s="2" t="n"/>
    </row>
    <row r="290">
      <c r="A290" s="2" t="inlineStr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>
        <f>IF(COUNTA($A290:$F290)=0,"",IF($C290="","MissingDate",IF(OR($A290="",$D290="",$E290="",$D290=$E290),"InvalidSchedule",IF(COUNTIF(ActiveActivityCodes,$F290)=0,"InvalidCode",IF(COUNTIFS(tblScheduleData[EmployeeID],$A290,tblScheduleData[OperationalDate],$C290,tblScheduleData[ShiftStart],$D290,tblScheduleData[ShiftEnd],$E290,tblScheduleData[ActivityCode],$F290)&gt;1,"Duplicate","Valid")))))</f>
        <v/>
      </c>
      <c r="K290" s="2" t="n"/>
    </row>
    <row r="291">
      <c r="A291" s="2" t="inlineStr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>
        <f>IF(COUNTA($A291:$F291)=0,"",IF($C291="","MissingDate",IF(OR($A291="",$D291="",$E291="",$D291=$E291),"InvalidSchedule",IF(COUNTIF(ActiveActivityCodes,$F291)=0,"InvalidCode",IF(COUNTIFS(tblScheduleData[EmployeeID],$A291,tblScheduleData[OperationalDate],$C291,tblScheduleData[ShiftStart],$D291,tblScheduleData[ShiftEnd],$E291,tblScheduleData[ActivityCode],$F291)&gt;1,"Duplicate","Valid")))))</f>
        <v/>
      </c>
      <c r="K291" s="2" t="n"/>
    </row>
    <row r="292">
      <c r="A292" s="2" t="inlineStr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>
        <f>IF(COUNTA($A292:$F292)=0,"",IF($C292="","MissingDate",IF(OR($A292="",$D292="",$E292="",$D292=$E292),"InvalidSchedule",IF(COUNTIF(ActiveActivityCodes,$F292)=0,"InvalidCode",IF(COUNTIFS(tblScheduleData[EmployeeID],$A292,tblScheduleData[OperationalDate],$C292,tblScheduleData[ShiftStart],$D292,tblScheduleData[ShiftEnd],$E292,tblScheduleData[ActivityCode],$F292)&gt;1,"Duplicate","Valid")))))</f>
        <v/>
      </c>
      <c r="K292" s="2" t="n"/>
    </row>
    <row r="293">
      <c r="A293" s="2" t="inlineStr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>
        <f>IF(COUNTA($A293:$F293)=0,"",IF($C293="","MissingDate",IF(OR($A293="",$D293="",$E293="",$D293=$E293),"InvalidSchedule",IF(COUNTIF(ActiveActivityCodes,$F293)=0,"InvalidCode",IF(COUNTIFS(tblScheduleData[EmployeeID],$A293,tblScheduleData[OperationalDate],$C293,tblScheduleData[ShiftStart],$D293,tblScheduleData[ShiftEnd],$E293,tblScheduleData[ActivityCode],$F293)&gt;1,"Duplicate","Valid")))))</f>
        <v/>
      </c>
      <c r="K293" s="2" t="n"/>
    </row>
    <row r="294">
      <c r="A294" s="2" t="inlineStr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>
        <f>IF(COUNTA($A294:$F294)=0,"",IF($C294="","MissingDate",IF(OR($A294="",$D294="",$E294="",$D294=$E294),"InvalidSchedule",IF(COUNTIF(ActiveActivityCodes,$F294)=0,"InvalidCode",IF(COUNTIFS(tblScheduleData[EmployeeID],$A294,tblScheduleData[OperationalDate],$C294,tblScheduleData[ShiftStart],$D294,tblScheduleData[ShiftEnd],$E294,tblScheduleData[ActivityCode],$F294)&gt;1,"Duplicate","Valid")))))</f>
        <v/>
      </c>
      <c r="K294" s="2" t="n"/>
    </row>
    <row r="295">
      <c r="A295" s="2" t="inlineStr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>
        <f>IF(COUNTA($A295:$F295)=0,"",IF($C295="","MissingDate",IF(OR($A295="",$D295="",$E295="",$D295=$E295),"InvalidSchedule",IF(COUNTIF(ActiveActivityCodes,$F295)=0,"InvalidCode",IF(COUNTIFS(tblScheduleData[EmployeeID],$A295,tblScheduleData[OperationalDate],$C295,tblScheduleData[ShiftStart],$D295,tblScheduleData[ShiftEnd],$E295,tblScheduleData[ActivityCode],$F295)&gt;1,"Duplicate","Valid")))))</f>
        <v/>
      </c>
      <c r="K295" s="2" t="n"/>
    </row>
    <row r="296">
      <c r="A296" s="2" t="inlineStr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>
        <f>IF(COUNTA($A296:$F296)=0,"",IF($C296="","MissingDate",IF(OR($A296="",$D296="",$E296="",$D296=$E296),"InvalidSchedule",IF(COUNTIF(ActiveActivityCodes,$F296)=0,"InvalidCode",IF(COUNTIFS(tblScheduleData[EmployeeID],$A296,tblScheduleData[OperationalDate],$C296,tblScheduleData[ShiftStart],$D296,tblScheduleData[ShiftEnd],$E296,tblScheduleData[ActivityCode],$F296)&gt;1,"Duplicate","Valid")))))</f>
        <v/>
      </c>
      <c r="K296" s="2" t="n"/>
    </row>
    <row r="297">
      <c r="A297" s="2" t="inlineStr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>
        <f>IF(COUNTA($A297:$F297)=0,"",IF($C297="","MissingDate",IF(OR($A297="",$D297="",$E297="",$D297=$E297),"InvalidSchedule",IF(COUNTIF(ActiveActivityCodes,$F297)=0,"InvalidCode",IF(COUNTIFS(tblScheduleData[EmployeeID],$A297,tblScheduleData[OperationalDate],$C297,tblScheduleData[ShiftStart],$D297,tblScheduleData[ShiftEnd],$E297,tblScheduleData[ActivityCode],$F297)&gt;1,"Duplicate","Valid")))))</f>
        <v/>
      </c>
      <c r="K297" s="2" t="n"/>
    </row>
    <row r="298">
      <c r="A298" s="2" t="inlineStr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>
        <f>IF(COUNTA($A298:$F298)=0,"",IF($C298="","MissingDate",IF(OR($A298="",$D298="",$E298="",$D298=$E298),"InvalidSchedule",IF(COUNTIF(ActiveActivityCodes,$F298)=0,"InvalidCode",IF(COUNTIFS(tblScheduleData[EmployeeID],$A298,tblScheduleData[OperationalDate],$C298,tblScheduleData[ShiftStart],$D298,tblScheduleData[ShiftEnd],$E298,tblScheduleData[ActivityCode],$F298)&gt;1,"Duplicate","Valid")))))</f>
        <v/>
      </c>
      <c r="K298" s="2" t="n"/>
    </row>
    <row r="299">
      <c r="A299" s="2" t="inlineStr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>
        <f>IF(COUNTA($A299:$F299)=0,"",IF($C299="","MissingDate",IF(OR($A299="",$D299="",$E299="",$D299=$E299),"InvalidSchedule",IF(COUNTIF(ActiveActivityCodes,$F299)=0,"InvalidCode",IF(COUNTIFS(tblScheduleData[EmployeeID],$A299,tblScheduleData[OperationalDate],$C299,tblScheduleData[ShiftStart],$D299,tblScheduleData[ShiftEnd],$E299,tblScheduleData[ActivityCode],$F299)&gt;1,"Duplicate","Valid")))))</f>
        <v/>
      </c>
      <c r="K299" s="2" t="n"/>
    </row>
    <row r="300">
      <c r="A300" s="2" t="inlineStr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>
        <f>IF(COUNTA($A300:$F300)=0,"",IF($C300="","MissingDate",IF(OR($A300="",$D300="",$E300="",$D300=$E300),"InvalidSchedule",IF(COUNTIF(ActiveActivityCodes,$F300)=0,"InvalidCode",IF(COUNTIFS(tblScheduleData[EmployeeID],$A300,tblScheduleData[OperationalDate],$C300,tblScheduleData[ShiftStart],$D300,tblScheduleData[ShiftEnd],$E300,tblScheduleData[ActivityCode],$F300)&gt;1,"Duplicate","Valid")))))</f>
        <v/>
      </c>
      <c r="K300" s="2" t="n"/>
    </row>
    <row r="301">
      <c r="A301" s="2" t="inlineStr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>
        <f>IF(COUNTA($A301:$F301)=0,"",IF($C301="","MissingDate",IF(OR($A301="",$D301="",$E301="",$D301=$E301),"InvalidSchedule",IF(COUNTIF(ActiveActivityCodes,$F301)=0,"InvalidCode",IF(COUNTIFS(tblScheduleData[EmployeeID],$A301,tblScheduleData[OperationalDate],$C301,tblScheduleData[ShiftStart],$D301,tblScheduleData[ShiftEnd],$E301,tblScheduleData[ActivityCode],$F301)&gt;1,"Duplicate","Valid")))))</f>
        <v/>
      </c>
      <c r="K301" s="2" t="n"/>
    </row>
    <row r="302">
      <c r="A302" s="2" t="inlineStr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>
        <f>IF(COUNTA($A302:$F302)=0,"",IF($C302="","MissingDate",IF(OR($A302="",$D302="",$E302="",$D302=$E302),"InvalidSchedule",IF(COUNTIF(ActiveActivityCodes,$F302)=0,"InvalidCode",IF(COUNTIFS(tblScheduleData[EmployeeID],$A302,tblScheduleData[OperationalDate],$C302,tblScheduleData[ShiftStart],$D302,tblScheduleData[ShiftEnd],$E302,tblScheduleData[ActivityCode],$F302)&gt;1,"Duplicate","Valid")))))</f>
        <v/>
      </c>
      <c r="K302" s="2" t="n"/>
    </row>
    <row r="303">
      <c r="A303" s="2" t="inlineStr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>
        <f>IF(COUNTA($A303:$F303)=0,"",IF($C303="","MissingDate",IF(OR($A303="",$D303="",$E303="",$D303=$E303),"InvalidSchedule",IF(COUNTIF(ActiveActivityCodes,$F303)=0,"InvalidCode",IF(COUNTIFS(tblScheduleData[EmployeeID],$A303,tblScheduleData[OperationalDate],$C303,tblScheduleData[ShiftStart],$D303,tblScheduleData[ShiftEnd],$E303,tblScheduleData[ActivityCode],$F303)&gt;1,"Duplicate","Valid")))))</f>
        <v/>
      </c>
      <c r="K303" s="2" t="n"/>
    </row>
    <row r="304">
      <c r="A304" s="2" t="inlineStr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>
        <f>IF(COUNTA($A304:$F304)=0,"",IF($C304="","MissingDate",IF(OR($A304="",$D304="",$E304="",$D304=$E304),"InvalidSchedule",IF(COUNTIF(ActiveActivityCodes,$F304)=0,"InvalidCode",IF(COUNTIFS(tblScheduleData[EmployeeID],$A304,tblScheduleData[OperationalDate],$C304,tblScheduleData[ShiftStart],$D304,tblScheduleData[ShiftEnd],$E304,tblScheduleData[ActivityCode],$F304)&gt;1,"Duplicate","Valid")))))</f>
        <v/>
      </c>
      <c r="K304" s="2" t="n"/>
    </row>
    <row r="305">
      <c r="A305" s="2" t="inlineStr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>
        <f>IF(COUNTA($A305:$F305)=0,"",IF($C305="","MissingDate",IF(OR($A305="",$D305="",$E305="",$D305=$E305),"InvalidSchedule",IF(COUNTIF(ActiveActivityCodes,$F305)=0,"InvalidCode",IF(COUNTIFS(tblScheduleData[EmployeeID],$A305,tblScheduleData[OperationalDate],$C305,tblScheduleData[ShiftStart],$D305,tblScheduleData[ShiftEnd],$E305,tblScheduleData[ActivityCode],$F305)&gt;1,"Duplicate","Valid")))))</f>
        <v/>
      </c>
      <c r="K305" s="2" t="n"/>
    </row>
    <row r="306">
      <c r="A306" s="2" t="inlineStr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>
        <f>IF(COUNTA($A306:$F306)=0,"",IF($C306="","MissingDate",IF(OR($A306="",$D306="",$E306="",$D306=$E306),"InvalidSchedule",IF(COUNTIF(ActiveActivityCodes,$F306)=0,"InvalidCode",IF(COUNTIFS(tblScheduleData[EmployeeID],$A306,tblScheduleData[OperationalDate],$C306,tblScheduleData[ShiftStart],$D306,tblScheduleData[ShiftEnd],$E306,tblScheduleData[ActivityCode],$F306)&gt;1,"Duplicate","Valid")))))</f>
        <v/>
      </c>
      <c r="K306" s="2" t="n"/>
    </row>
    <row r="307">
      <c r="A307" s="2" t="inlineStr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>
        <f>IF(COUNTA($A307:$F307)=0,"",IF($C307="","MissingDate",IF(OR($A307="",$D307="",$E307="",$D307=$E307),"InvalidSchedule",IF(COUNTIF(ActiveActivityCodes,$F307)=0,"InvalidCode",IF(COUNTIFS(tblScheduleData[EmployeeID],$A307,tblScheduleData[OperationalDate],$C307,tblScheduleData[ShiftStart],$D307,tblScheduleData[ShiftEnd],$E307,tblScheduleData[ActivityCode],$F307)&gt;1,"Duplicate","Valid")))))</f>
        <v/>
      </c>
      <c r="K307" s="2" t="n"/>
    </row>
    <row r="308">
      <c r="A308" s="2" t="inlineStr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>
        <f>IF(COUNTA($A308:$F308)=0,"",IF($C308="","MissingDate",IF(OR($A308="",$D308="",$E308="",$D308=$E308),"InvalidSchedule",IF(COUNTIF(ActiveActivityCodes,$F308)=0,"InvalidCode",IF(COUNTIFS(tblScheduleData[EmployeeID],$A308,tblScheduleData[OperationalDate],$C308,tblScheduleData[ShiftStart],$D308,tblScheduleData[ShiftEnd],$E308,tblScheduleData[ActivityCode],$F308)&gt;1,"Duplicate","Valid")))))</f>
        <v/>
      </c>
      <c r="K308" s="2" t="n"/>
    </row>
    <row r="309">
      <c r="A309" s="2" t="inlineStr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>
        <f>IF(COUNTA($A309:$F309)=0,"",IF($C309="","MissingDate",IF(OR($A309="",$D309="",$E309="",$D309=$E309),"InvalidSchedule",IF(COUNTIF(ActiveActivityCodes,$F309)=0,"InvalidCode",IF(COUNTIFS(tblScheduleData[EmployeeID],$A309,tblScheduleData[OperationalDate],$C309,tblScheduleData[ShiftStart],$D309,tblScheduleData[ShiftEnd],$E309,tblScheduleData[ActivityCode],$F309)&gt;1,"Duplicate","Valid")))))</f>
        <v/>
      </c>
      <c r="K309" s="2" t="n"/>
    </row>
    <row r="310">
      <c r="A310" s="2" t="inlineStr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>
        <f>IF(COUNTA($A310:$F310)=0,"",IF($C310="","MissingDate",IF(OR($A310="",$D310="",$E310="",$D310=$E310),"InvalidSchedule",IF(COUNTIF(ActiveActivityCodes,$F310)=0,"InvalidCode",IF(COUNTIFS(tblScheduleData[EmployeeID],$A310,tblScheduleData[OperationalDate],$C310,tblScheduleData[ShiftStart],$D310,tblScheduleData[ShiftEnd],$E310,tblScheduleData[ActivityCode],$F310)&gt;1,"Duplicate","Valid")))))</f>
        <v/>
      </c>
      <c r="K310" s="2" t="n"/>
    </row>
    <row r="311">
      <c r="A311" s="2" t="inlineStr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>
        <f>IF(COUNTA($A311:$F311)=0,"",IF($C311="","MissingDate",IF(OR($A311="",$D311="",$E311="",$D311=$E311),"InvalidSchedule",IF(COUNTIF(ActiveActivityCodes,$F311)=0,"InvalidCode",IF(COUNTIFS(tblScheduleData[EmployeeID],$A311,tblScheduleData[OperationalDate],$C311,tblScheduleData[ShiftStart],$D311,tblScheduleData[ShiftEnd],$E311,tblScheduleData[ActivityCode],$F311)&gt;1,"Duplicate","Valid")))))</f>
        <v/>
      </c>
      <c r="K311" s="2" t="n"/>
    </row>
    <row r="312">
      <c r="A312" s="2" t="inlineStr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>
        <f>IF(COUNTA($A312:$F312)=0,"",IF($C312="","MissingDate",IF(OR($A312="",$D312="",$E312="",$D312=$E312),"InvalidSchedule",IF(COUNTIF(ActiveActivityCodes,$F312)=0,"InvalidCode",IF(COUNTIFS(tblScheduleData[EmployeeID],$A312,tblScheduleData[OperationalDate],$C312,tblScheduleData[ShiftStart],$D312,tblScheduleData[ShiftEnd],$E312,tblScheduleData[ActivityCode],$F312)&gt;1,"Duplicate","Valid")))))</f>
        <v/>
      </c>
      <c r="K312" s="2" t="n"/>
    </row>
    <row r="313">
      <c r="A313" s="2" t="inlineStr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>
        <f>IF(COUNTA($A313:$F313)=0,"",IF($C313="","MissingDate",IF(OR($A313="",$D313="",$E313="",$D313=$E313),"InvalidSchedule",IF(COUNTIF(ActiveActivityCodes,$F313)=0,"InvalidCode",IF(COUNTIFS(tblScheduleData[EmployeeID],$A313,tblScheduleData[OperationalDate],$C313,tblScheduleData[ShiftStart],$D313,tblScheduleData[ShiftEnd],$E313,tblScheduleData[ActivityCode],$F313)&gt;1,"Duplicate","Valid")))))</f>
        <v/>
      </c>
      <c r="K313" s="2" t="n"/>
    </row>
    <row r="314">
      <c r="A314" s="2" t="inlineStr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>
        <f>IF(COUNTA($A314:$F314)=0,"",IF($C314="","MissingDate",IF(OR($A314="",$D314="",$E314="",$D314=$E314),"InvalidSchedule",IF(COUNTIF(ActiveActivityCodes,$F314)=0,"InvalidCode",IF(COUNTIFS(tblScheduleData[EmployeeID],$A314,tblScheduleData[OperationalDate],$C314,tblScheduleData[ShiftStart],$D314,tblScheduleData[ShiftEnd],$E314,tblScheduleData[ActivityCode],$F314)&gt;1,"Duplicate","Valid")))))</f>
        <v/>
      </c>
      <c r="K314" s="2" t="n"/>
    </row>
    <row r="315">
      <c r="A315" s="2" t="inlineStr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>
        <f>IF(COUNTA($A315:$F315)=0,"",IF($C315="","MissingDate",IF(OR($A315="",$D315="",$E315="",$D315=$E315),"InvalidSchedule",IF(COUNTIF(ActiveActivityCodes,$F315)=0,"InvalidCode",IF(COUNTIFS(tblScheduleData[EmployeeID],$A315,tblScheduleData[OperationalDate],$C315,tblScheduleData[ShiftStart],$D315,tblScheduleData[ShiftEnd],$E315,tblScheduleData[ActivityCode],$F315)&gt;1,"Duplicate","Valid")))))</f>
        <v/>
      </c>
      <c r="K315" s="2" t="n"/>
    </row>
    <row r="316">
      <c r="A316" s="2" t="inlineStr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>
        <f>IF(COUNTA($A316:$F316)=0,"",IF($C316="","MissingDate",IF(OR($A316="",$D316="",$E316="",$D316=$E316),"InvalidSchedule",IF(COUNTIF(ActiveActivityCodes,$F316)=0,"InvalidCode",IF(COUNTIFS(tblScheduleData[EmployeeID],$A316,tblScheduleData[OperationalDate],$C316,tblScheduleData[ShiftStart],$D316,tblScheduleData[ShiftEnd],$E316,tblScheduleData[ActivityCode],$F316)&gt;1,"Duplicate","Valid")))))</f>
        <v/>
      </c>
      <c r="K316" s="2" t="n"/>
    </row>
    <row r="317">
      <c r="A317" s="2" t="inlineStr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>
        <f>IF(COUNTA($A317:$F317)=0,"",IF($C317="","MissingDate",IF(OR($A317="",$D317="",$E317="",$D317=$E317),"InvalidSchedule",IF(COUNTIF(ActiveActivityCodes,$F317)=0,"InvalidCode",IF(COUNTIFS(tblScheduleData[EmployeeID],$A317,tblScheduleData[OperationalDate],$C317,tblScheduleData[ShiftStart],$D317,tblScheduleData[ShiftEnd],$E317,tblScheduleData[ActivityCode],$F317)&gt;1,"Duplicate","Valid")))))</f>
        <v/>
      </c>
      <c r="K317" s="2" t="n"/>
    </row>
    <row r="318">
      <c r="A318" s="2" t="inlineStr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>
        <f>IF(COUNTA($A318:$F318)=0,"",IF($C318="","MissingDate",IF(OR($A318="",$D318="",$E318="",$D318=$E318),"InvalidSchedule",IF(COUNTIF(ActiveActivityCodes,$F318)=0,"InvalidCode",IF(COUNTIFS(tblScheduleData[EmployeeID],$A318,tblScheduleData[OperationalDate],$C318,tblScheduleData[ShiftStart],$D318,tblScheduleData[ShiftEnd],$E318,tblScheduleData[ActivityCode],$F318)&gt;1,"Duplicate","Valid")))))</f>
        <v/>
      </c>
      <c r="K318" s="2" t="n"/>
    </row>
    <row r="319">
      <c r="A319" s="2" t="inlineStr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>
        <f>IF(COUNTA($A319:$F319)=0,"",IF($C319="","MissingDate",IF(OR($A319="",$D319="",$E319="",$D319=$E319),"InvalidSchedule",IF(COUNTIF(ActiveActivityCodes,$F319)=0,"InvalidCode",IF(COUNTIFS(tblScheduleData[EmployeeID],$A319,tblScheduleData[OperationalDate],$C319,tblScheduleData[ShiftStart],$D319,tblScheduleData[ShiftEnd],$E319,tblScheduleData[ActivityCode],$F319)&gt;1,"Duplicate","Valid")))))</f>
        <v/>
      </c>
      <c r="K319" s="2" t="n"/>
    </row>
    <row r="320">
      <c r="A320" s="2" t="inlineStr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>
        <f>IF(COUNTA($A320:$F320)=0,"",IF($C320="","MissingDate",IF(OR($A320="",$D320="",$E320="",$D320=$E320),"InvalidSchedule",IF(COUNTIF(ActiveActivityCodes,$F320)=0,"InvalidCode",IF(COUNTIFS(tblScheduleData[EmployeeID],$A320,tblScheduleData[OperationalDate],$C320,tblScheduleData[ShiftStart],$D320,tblScheduleData[ShiftEnd],$E320,tblScheduleData[ActivityCode],$F320)&gt;1,"Duplicate","Valid")))))</f>
        <v/>
      </c>
      <c r="K320" s="2" t="n"/>
    </row>
    <row r="321">
      <c r="A321" s="2" t="inlineStr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>
        <f>IF(COUNTA($A321:$F321)=0,"",IF($C321="","MissingDate",IF(OR($A321="",$D321="",$E321="",$D321=$E321),"InvalidSchedule",IF(COUNTIF(ActiveActivityCodes,$F321)=0,"InvalidCode",IF(COUNTIFS(tblScheduleData[EmployeeID],$A321,tblScheduleData[OperationalDate],$C321,tblScheduleData[ShiftStart],$D321,tblScheduleData[ShiftEnd],$E321,tblScheduleData[ActivityCode],$F321)&gt;1,"Duplicate","Valid")))))</f>
        <v/>
      </c>
      <c r="K321" s="2" t="n"/>
    </row>
    <row r="322">
      <c r="A322" s="2" t="inlineStr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>
        <f>IF(COUNTA($A322:$F322)=0,"",IF($C322="","MissingDate",IF(OR($A322="",$D322="",$E322="",$D322=$E322),"InvalidSchedule",IF(COUNTIF(ActiveActivityCodes,$F322)=0,"InvalidCode",IF(COUNTIFS(tblScheduleData[EmployeeID],$A322,tblScheduleData[OperationalDate],$C322,tblScheduleData[ShiftStart],$D322,tblScheduleData[ShiftEnd],$E322,tblScheduleData[ActivityCode],$F322)&gt;1,"Duplicate","Valid")))))</f>
        <v/>
      </c>
      <c r="K322" s="2" t="n"/>
    </row>
    <row r="323">
      <c r="A323" s="2" t="inlineStr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>
        <f>IF(COUNTA($A323:$F323)=0,"",IF($C323="","MissingDate",IF(OR($A323="",$D323="",$E323="",$D323=$E323),"InvalidSchedule",IF(COUNTIF(ActiveActivityCodes,$F323)=0,"InvalidCode",IF(COUNTIFS(tblScheduleData[EmployeeID],$A323,tblScheduleData[OperationalDate],$C323,tblScheduleData[ShiftStart],$D323,tblScheduleData[ShiftEnd],$E323,tblScheduleData[ActivityCode],$F323)&gt;1,"Duplicate","Valid")))))</f>
        <v/>
      </c>
      <c r="K323" s="2" t="n"/>
    </row>
    <row r="324">
      <c r="A324" s="2" t="inlineStr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>
        <f>IF(COUNTA($A324:$F324)=0,"",IF($C324="","MissingDate",IF(OR($A324="",$D324="",$E324="",$D324=$E324),"InvalidSchedule",IF(COUNTIF(ActiveActivityCodes,$F324)=0,"InvalidCode",IF(COUNTIFS(tblScheduleData[EmployeeID],$A324,tblScheduleData[OperationalDate],$C324,tblScheduleData[ShiftStart],$D324,tblScheduleData[ShiftEnd],$E324,tblScheduleData[ActivityCode],$F324)&gt;1,"Duplicate","Valid")))))</f>
        <v/>
      </c>
      <c r="K324" s="2" t="n"/>
    </row>
    <row r="325">
      <c r="A325" s="2" t="inlineStr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>
        <f>IF(COUNTA($A325:$F325)=0,"",IF($C325="","MissingDate",IF(OR($A325="",$D325="",$E325="",$D325=$E325),"InvalidSchedule",IF(COUNTIF(ActiveActivityCodes,$F325)=0,"InvalidCode",IF(COUNTIFS(tblScheduleData[EmployeeID],$A325,tblScheduleData[OperationalDate],$C325,tblScheduleData[ShiftStart],$D325,tblScheduleData[ShiftEnd],$E325,tblScheduleData[ActivityCode],$F325)&gt;1,"Duplicate","Valid")))))</f>
        <v/>
      </c>
      <c r="K325" s="2" t="n"/>
    </row>
    <row r="326">
      <c r="A326" s="2" t="inlineStr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>
        <f>IF(COUNTA($A326:$F326)=0,"",IF($C326="","MissingDate",IF(OR($A326="",$D326="",$E326="",$D326=$E326),"InvalidSchedule",IF(COUNTIF(ActiveActivityCodes,$F326)=0,"InvalidCode",IF(COUNTIFS(tblScheduleData[EmployeeID],$A326,tblScheduleData[OperationalDate],$C326,tblScheduleData[ShiftStart],$D326,tblScheduleData[ShiftEnd],$E326,tblScheduleData[ActivityCode],$F326)&gt;1,"Duplicate","Valid")))))</f>
        <v/>
      </c>
      <c r="K326" s="2" t="n"/>
    </row>
    <row r="327">
      <c r="A327" s="2" t="inlineStr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>
        <f>IF(COUNTA($A327:$F327)=0,"",IF($C327="","MissingDate",IF(OR($A327="",$D327="",$E327="",$D327=$E327),"InvalidSchedule",IF(COUNTIF(ActiveActivityCodes,$F327)=0,"InvalidCode",IF(COUNTIFS(tblScheduleData[EmployeeID],$A327,tblScheduleData[OperationalDate],$C327,tblScheduleData[ShiftStart],$D327,tblScheduleData[ShiftEnd],$E327,tblScheduleData[ActivityCode],$F327)&gt;1,"Duplicate","Valid")))))</f>
        <v/>
      </c>
      <c r="K327" s="2" t="n"/>
    </row>
    <row r="328">
      <c r="A328" s="2" t="inlineStr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>
        <f>IF(COUNTA($A328:$F328)=0,"",IF($C328="","MissingDate",IF(OR($A328="",$D328="",$E328="",$D328=$E328),"InvalidSchedule",IF(COUNTIF(ActiveActivityCodes,$F328)=0,"InvalidCode",IF(COUNTIFS(tblScheduleData[EmployeeID],$A328,tblScheduleData[OperationalDate],$C328,tblScheduleData[ShiftStart],$D328,tblScheduleData[ShiftEnd],$E328,tblScheduleData[ActivityCode],$F328)&gt;1,"Duplicate","Valid")))))</f>
        <v/>
      </c>
      <c r="K328" s="2" t="n"/>
    </row>
    <row r="329">
      <c r="A329" s="2" t="inlineStr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>
        <f>IF(COUNTA($A329:$F329)=0,"",IF($C329="","MissingDate",IF(OR($A329="",$D329="",$E329="",$D329=$E329),"InvalidSchedule",IF(COUNTIF(ActiveActivityCodes,$F329)=0,"InvalidCode",IF(COUNTIFS(tblScheduleData[EmployeeID],$A329,tblScheduleData[OperationalDate],$C329,tblScheduleData[ShiftStart],$D329,tblScheduleData[ShiftEnd],$E329,tblScheduleData[ActivityCode],$F329)&gt;1,"Duplicate","Valid")))))</f>
        <v/>
      </c>
      <c r="K329" s="2" t="n"/>
    </row>
    <row r="330">
      <c r="A330" s="2" t="inlineStr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>
        <f>IF(COUNTA($A330:$F330)=0,"",IF($C330="","MissingDate",IF(OR($A330="",$D330="",$E330="",$D330=$E330),"InvalidSchedule",IF(COUNTIF(ActiveActivityCodes,$F330)=0,"InvalidCode",IF(COUNTIFS(tblScheduleData[EmployeeID],$A330,tblScheduleData[OperationalDate],$C330,tblScheduleData[ShiftStart],$D330,tblScheduleData[ShiftEnd],$E330,tblScheduleData[ActivityCode],$F330)&gt;1,"Duplicate","Valid")))))</f>
        <v/>
      </c>
      <c r="K330" s="2" t="n"/>
    </row>
    <row r="331">
      <c r="A331" s="2" t="inlineStr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>
        <f>IF(COUNTA($A331:$F331)=0,"",IF($C331="","MissingDate",IF(OR($A331="",$D331="",$E331="",$D331=$E331),"InvalidSchedule",IF(COUNTIF(ActiveActivityCodes,$F331)=0,"InvalidCode",IF(COUNTIFS(tblScheduleData[EmployeeID],$A331,tblScheduleData[OperationalDate],$C331,tblScheduleData[ShiftStart],$D331,tblScheduleData[ShiftEnd],$E331,tblScheduleData[ActivityCode],$F331)&gt;1,"Duplicate","Valid")))))</f>
        <v/>
      </c>
      <c r="K331" s="2" t="n"/>
    </row>
    <row r="332">
      <c r="A332" s="2" t="inlineStr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>
        <f>IF(COUNTA($A332:$F332)=0,"",IF($C332="","MissingDate",IF(OR($A332="",$D332="",$E332="",$D332=$E332),"InvalidSchedule",IF(COUNTIF(ActiveActivityCodes,$F332)=0,"InvalidCode",IF(COUNTIFS(tblScheduleData[EmployeeID],$A332,tblScheduleData[OperationalDate],$C332,tblScheduleData[ShiftStart],$D332,tblScheduleData[ShiftEnd],$E332,tblScheduleData[ActivityCode],$F332)&gt;1,"Duplicate","Valid")))))</f>
        <v/>
      </c>
      <c r="K332" s="2" t="n"/>
    </row>
    <row r="333">
      <c r="A333" s="2" t="inlineStr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>
        <f>IF(COUNTA($A333:$F333)=0,"",IF($C333="","MissingDate",IF(OR($A333="",$D333="",$E333="",$D333=$E333),"InvalidSchedule",IF(COUNTIF(ActiveActivityCodes,$F333)=0,"InvalidCode",IF(COUNTIFS(tblScheduleData[EmployeeID],$A333,tblScheduleData[OperationalDate],$C333,tblScheduleData[ShiftStart],$D333,tblScheduleData[ShiftEnd],$E333,tblScheduleData[ActivityCode],$F333)&gt;1,"Duplicate","Valid")))))</f>
        <v/>
      </c>
      <c r="K333" s="2" t="n"/>
    </row>
    <row r="334">
      <c r="A334" s="2" t="inlineStr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>
        <f>IF(COUNTA($A334:$F334)=0,"",IF($C334="","MissingDate",IF(OR($A334="",$D334="",$E334="",$D334=$E334),"InvalidSchedule",IF(COUNTIF(ActiveActivityCodes,$F334)=0,"InvalidCode",IF(COUNTIFS(tblScheduleData[EmployeeID],$A334,tblScheduleData[OperationalDate],$C334,tblScheduleData[ShiftStart],$D334,tblScheduleData[ShiftEnd],$E334,tblScheduleData[ActivityCode],$F334)&gt;1,"Duplicate","Valid")))))</f>
        <v/>
      </c>
      <c r="K334" s="2" t="n"/>
    </row>
    <row r="335">
      <c r="A335" s="2" t="inlineStr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>
        <f>IF(COUNTA($A335:$F335)=0,"",IF($C335="","MissingDate",IF(OR($A335="",$D335="",$E335="",$D335=$E335),"InvalidSchedule",IF(COUNTIF(ActiveActivityCodes,$F335)=0,"InvalidCode",IF(COUNTIFS(tblScheduleData[EmployeeID],$A335,tblScheduleData[OperationalDate],$C335,tblScheduleData[ShiftStart],$D335,tblScheduleData[ShiftEnd],$E335,tblScheduleData[ActivityCode],$F335)&gt;1,"Duplicate","Valid")))))</f>
        <v/>
      </c>
      <c r="K335" s="2" t="n"/>
    </row>
    <row r="336">
      <c r="A336" s="2" t="inlineStr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>
        <f>IF(COUNTA($A336:$F336)=0,"",IF($C336="","MissingDate",IF(OR($A336="",$D336="",$E336="",$D336=$E336),"InvalidSchedule",IF(COUNTIF(ActiveActivityCodes,$F336)=0,"InvalidCode",IF(COUNTIFS(tblScheduleData[EmployeeID],$A336,tblScheduleData[OperationalDate],$C336,tblScheduleData[ShiftStart],$D336,tblScheduleData[ShiftEnd],$E336,tblScheduleData[ActivityCode],$F336)&gt;1,"Duplicate","Valid")))))</f>
        <v/>
      </c>
      <c r="K336" s="2" t="n"/>
    </row>
    <row r="337">
      <c r="A337" s="2" t="inlineStr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>
        <f>IF(COUNTA($A337:$F337)=0,"",IF($C337="","MissingDate",IF(OR($A337="",$D337="",$E337="",$D337=$E337),"InvalidSchedule",IF(COUNTIF(ActiveActivityCodes,$F337)=0,"InvalidCode",IF(COUNTIFS(tblScheduleData[EmployeeID],$A337,tblScheduleData[OperationalDate],$C337,tblScheduleData[ShiftStart],$D337,tblScheduleData[ShiftEnd],$E337,tblScheduleData[ActivityCode],$F337)&gt;1,"Duplicate","Valid")))))</f>
        <v/>
      </c>
      <c r="K337" s="2" t="n"/>
    </row>
    <row r="338">
      <c r="A338" s="2" t="inlineStr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>
        <f>IF(COUNTA($A338:$F338)=0,"",IF($C338="","MissingDate",IF(OR($A338="",$D338="",$E338="",$D338=$E338),"InvalidSchedule",IF(COUNTIF(ActiveActivityCodes,$F338)=0,"InvalidCode",IF(COUNTIFS(tblScheduleData[EmployeeID],$A338,tblScheduleData[OperationalDate],$C338,tblScheduleData[ShiftStart],$D338,tblScheduleData[ShiftEnd],$E338,tblScheduleData[ActivityCode],$F338)&gt;1,"Duplicate","Valid")))))</f>
        <v/>
      </c>
      <c r="K338" s="2" t="n"/>
    </row>
    <row r="339">
      <c r="A339" s="2" t="inlineStr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>
        <f>IF(COUNTA($A339:$F339)=0,"",IF($C339="","MissingDate",IF(OR($A339="",$D339="",$E339="",$D339=$E339),"InvalidSchedule",IF(COUNTIF(ActiveActivityCodes,$F339)=0,"InvalidCode",IF(COUNTIFS(tblScheduleData[EmployeeID],$A339,tblScheduleData[OperationalDate],$C339,tblScheduleData[ShiftStart],$D339,tblScheduleData[ShiftEnd],$E339,tblScheduleData[ActivityCode],$F339)&gt;1,"Duplicate","Valid")))))</f>
        <v/>
      </c>
      <c r="K339" s="2" t="n"/>
    </row>
    <row r="340">
      <c r="A340" s="2" t="inlineStr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>
        <f>IF(COUNTA($A340:$F340)=0,"",IF($C340="","MissingDate",IF(OR($A340="",$D340="",$E340="",$D340=$E340),"InvalidSchedule",IF(COUNTIF(ActiveActivityCodes,$F340)=0,"InvalidCode",IF(COUNTIFS(tblScheduleData[EmployeeID],$A340,tblScheduleData[OperationalDate],$C340,tblScheduleData[ShiftStart],$D340,tblScheduleData[ShiftEnd],$E340,tblScheduleData[ActivityCode],$F340)&gt;1,"Duplicate","Valid")))))</f>
        <v/>
      </c>
      <c r="K340" s="2" t="n"/>
    </row>
    <row r="341">
      <c r="A341" s="2" t="inlineStr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>
        <f>IF(COUNTA($A341:$F341)=0,"",IF($C341="","MissingDate",IF(OR($A341="",$D341="",$E341="",$D341=$E341),"InvalidSchedule",IF(COUNTIF(ActiveActivityCodes,$F341)=0,"InvalidCode",IF(COUNTIFS(tblScheduleData[EmployeeID],$A341,tblScheduleData[OperationalDate],$C341,tblScheduleData[ShiftStart],$D341,tblScheduleData[ShiftEnd],$E341,tblScheduleData[ActivityCode],$F341)&gt;1,"Duplicate","Valid")))))</f>
        <v/>
      </c>
      <c r="K341" s="2" t="n"/>
    </row>
    <row r="342">
      <c r="A342" s="2" t="inlineStr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>
        <f>IF(COUNTA($A342:$F342)=0,"",IF($C342="","MissingDate",IF(OR($A342="",$D342="",$E342="",$D342=$E342),"InvalidSchedule",IF(COUNTIF(ActiveActivityCodes,$F342)=0,"InvalidCode",IF(COUNTIFS(tblScheduleData[EmployeeID],$A342,tblScheduleData[OperationalDate],$C342,tblScheduleData[ShiftStart],$D342,tblScheduleData[ShiftEnd],$E342,tblScheduleData[ActivityCode],$F342)&gt;1,"Duplicate","Valid")))))</f>
        <v/>
      </c>
      <c r="K342" s="2" t="n"/>
    </row>
    <row r="343">
      <c r="A343" s="2" t="inlineStr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>
        <f>IF(COUNTA($A343:$F343)=0,"",IF($C343="","MissingDate",IF(OR($A343="",$D343="",$E343="",$D343=$E343),"InvalidSchedule",IF(COUNTIF(ActiveActivityCodes,$F343)=0,"InvalidCode",IF(COUNTIFS(tblScheduleData[EmployeeID],$A343,tblScheduleData[OperationalDate],$C343,tblScheduleData[ShiftStart],$D343,tblScheduleData[ShiftEnd],$E343,tblScheduleData[ActivityCode],$F343)&gt;1,"Duplicate","Valid")))))</f>
        <v/>
      </c>
      <c r="K343" s="2" t="n"/>
    </row>
    <row r="344">
      <c r="A344" s="2" t="inlineStr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>
        <f>IF(COUNTA($A344:$F344)=0,"",IF($C344="","MissingDate",IF(OR($A344="",$D344="",$E344="",$D344=$E344),"InvalidSchedule",IF(COUNTIF(ActiveActivityCodes,$F344)=0,"InvalidCode",IF(COUNTIFS(tblScheduleData[EmployeeID],$A344,tblScheduleData[OperationalDate],$C344,tblScheduleData[ShiftStart],$D344,tblScheduleData[ShiftEnd],$E344,tblScheduleData[ActivityCode],$F344)&gt;1,"Duplicate","Valid")))))</f>
        <v/>
      </c>
      <c r="K344" s="2" t="n"/>
    </row>
    <row r="345">
      <c r="A345" s="2" t="inlineStr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>
        <f>IF(COUNTA($A345:$F345)=0,"",IF($C345="","MissingDate",IF(OR($A345="",$D345="",$E345="",$D345=$E345),"InvalidSchedule",IF(COUNTIF(ActiveActivityCodes,$F345)=0,"InvalidCode",IF(COUNTIFS(tblScheduleData[EmployeeID],$A345,tblScheduleData[OperationalDate],$C345,tblScheduleData[ShiftStart],$D345,tblScheduleData[ShiftEnd],$E345,tblScheduleData[ActivityCode],$F345)&gt;1,"Duplicate","Valid")))))</f>
        <v/>
      </c>
      <c r="K345" s="2" t="n"/>
    </row>
    <row r="346">
      <c r="A346" s="2" t="inlineStr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>
        <f>IF(COUNTA($A346:$F346)=0,"",IF($C346="","MissingDate",IF(OR($A346="",$D346="",$E346="",$D346=$E346),"InvalidSchedule",IF(COUNTIF(ActiveActivityCodes,$F346)=0,"InvalidCode",IF(COUNTIFS(tblScheduleData[EmployeeID],$A346,tblScheduleData[OperationalDate],$C346,tblScheduleData[ShiftStart],$D346,tblScheduleData[ShiftEnd],$E346,tblScheduleData[ActivityCode],$F346)&gt;1,"Duplicate","Valid")))))</f>
        <v/>
      </c>
      <c r="K346" s="2" t="n"/>
    </row>
    <row r="347">
      <c r="A347" s="2" t="inlineStr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>
        <f>IF(COUNTA($A347:$F347)=0,"",IF($C347="","MissingDate",IF(OR($A347="",$D347="",$E347="",$D347=$E347),"InvalidSchedule",IF(COUNTIF(ActiveActivityCodes,$F347)=0,"InvalidCode",IF(COUNTIFS(tblScheduleData[EmployeeID],$A347,tblScheduleData[OperationalDate],$C347,tblScheduleData[ShiftStart],$D347,tblScheduleData[ShiftEnd],$E347,tblScheduleData[ActivityCode],$F347)&gt;1,"Duplicate","Valid")))))</f>
        <v/>
      </c>
      <c r="K347" s="2" t="n"/>
    </row>
    <row r="348">
      <c r="A348" s="2" t="inlineStr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>
        <f>IF(COUNTA($A348:$F348)=0,"",IF($C348="","MissingDate",IF(OR($A348="",$D348="",$E348="",$D348=$E348),"InvalidSchedule",IF(COUNTIF(ActiveActivityCodes,$F348)=0,"InvalidCode",IF(COUNTIFS(tblScheduleData[EmployeeID],$A348,tblScheduleData[OperationalDate],$C348,tblScheduleData[ShiftStart],$D348,tblScheduleData[ShiftEnd],$E348,tblScheduleData[ActivityCode],$F348)&gt;1,"Duplicate","Valid")))))</f>
        <v/>
      </c>
      <c r="K348" s="2" t="n"/>
    </row>
    <row r="349">
      <c r="A349" s="2" t="inlineStr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>
        <f>IF(COUNTA($A349:$F349)=0,"",IF($C349="","MissingDate",IF(OR($A349="",$D349="",$E349="",$D349=$E349),"InvalidSchedule",IF(COUNTIF(ActiveActivityCodes,$F349)=0,"InvalidCode",IF(COUNTIFS(tblScheduleData[EmployeeID],$A349,tblScheduleData[OperationalDate],$C349,tblScheduleData[ShiftStart],$D349,tblScheduleData[ShiftEnd],$E349,tblScheduleData[ActivityCode],$F349)&gt;1,"Duplicate","Valid")))))</f>
        <v/>
      </c>
      <c r="K349" s="2" t="n"/>
    </row>
    <row r="350">
      <c r="A350" s="2" t="inlineStr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>
        <f>IF(COUNTA($A350:$F350)=0,"",IF($C350="","MissingDate",IF(OR($A350="",$D350="",$E350="",$D350=$E350),"InvalidSchedule",IF(COUNTIF(ActiveActivityCodes,$F350)=0,"InvalidCode",IF(COUNTIFS(tblScheduleData[EmployeeID],$A350,tblScheduleData[OperationalDate],$C350,tblScheduleData[ShiftStart],$D350,tblScheduleData[ShiftEnd],$E350,tblScheduleData[ActivityCode],$F350)&gt;1,"Duplicate","Valid")))))</f>
        <v/>
      </c>
      <c r="K350" s="2" t="n"/>
    </row>
    <row r="351">
      <c r="A351" s="2" t="inlineStr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>
        <f>IF(COUNTA($A351:$F351)=0,"",IF($C351="","MissingDate",IF(OR($A351="",$D351="",$E351="",$D351=$E351),"InvalidSchedule",IF(COUNTIF(ActiveActivityCodes,$F351)=0,"InvalidCode",IF(COUNTIFS(tblScheduleData[EmployeeID],$A351,tblScheduleData[OperationalDate],$C351,tblScheduleData[ShiftStart],$D351,tblScheduleData[ShiftEnd],$E351,tblScheduleData[ActivityCode],$F351)&gt;1,"Duplicate","Valid")))))</f>
        <v/>
      </c>
      <c r="K351" s="2" t="n"/>
    </row>
    <row r="352">
      <c r="A352" s="2" t="inlineStr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>
        <f>IF(COUNTA($A352:$F352)=0,"",IF($C352="","MissingDate",IF(OR($A352="",$D352="",$E352="",$D352=$E352),"InvalidSchedule",IF(COUNTIF(ActiveActivityCodes,$F352)=0,"InvalidCode",IF(COUNTIFS(tblScheduleData[EmployeeID],$A352,tblScheduleData[OperationalDate],$C352,tblScheduleData[ShiftStart],$D352,tblScheduleData[ShiftEnd],$E352,tblScheduleData[ActivityCode],$F352)&gt;1,"Duplicate","Valid")))))</f>
        <v/>
      </c>
      <c r="K352" s="2" t="n"/>
    </row>
    <row r="353">
      <c r="A353" s="2" t="inlineStr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>
        <f>IF(COUNTA($A353:$F353)=0,"",IF($C353="","MissingDate",IF(OR($A353="",$D353="",$E353="",$D353=$E353),"InvalidSchedule",IF(COUNTIF(ActiveActivityCodes,$F353)=0,"InvalidCode",IF(COUNTIFS(tblScheduleData[EmployeeID],$A353,tblScheduleData[OperationalDate],$C353,tblScheduleData[ShiftStart],$D353,tblScheduleData[ShiftEnd],$E353,tblScheduleData[ActivityCode],$F353)&gt;1,"Duplicate","Valid")))))</f>
        <v/>
      </c>
      <c r="K353" s="2" t="n"/>
    </row>
    <row r="354">
      <c r="A354" s="2" t="inlineStr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>
        <f>IF(COUNTA($A354:$F354)=0,"",IF($C354="","MissingDate",IF(OR($A354="",$D354="",$E354="",$D354=$E354),"InvalidSchedule",IF(COUNTIF(ActiveActivityCodes,$F354)=0,"InvalidCode",IF(COUNTIFS(tblScheduleData[EmployeeID],$A354,tblScheduleData[OperationalDate],$C354,tblScheduleData[ShiftStart],$D354,tblScheduleData[ShiftEnd],$E354,tblScheduleData[ActivityCode],$F354)&gt;1,"Duplicate","Valid")))))</f>
        <v/>
      </c>
      <c r="K354" s="2" t="n"/>
    </row>
    <row r="355">
      <c r="A355" s="2" t="inlineStr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>
        <f>IF(COUNTA($A355:$F355)=0,"",IF($C355="","MissingDate",IF(OR($A355="",$D355="",$E355="",$D355=$E355),"InvalidSchedule",IF(COUNTIF(ActiveActivityCodes,$F355)=0,"InvalidCode",IF(COUNTIFS(tblScheduleData[EmployeeID],$A355,tblScheduleData[OperationalDate],$C355,tblScheduleData[ShiftStart],$D355,tblScheduleData[ShiftEnd],$E355,tblScheduleData[ActivityCode],$F355)&gt;1,"Duplicate","Valid")))))</f>
        <v/>
      </c>
      <c r="K355" s="2" t="n"/>
    </row>
    <row r="356">
      <c r="A356" s="2" t="inlineStr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>
        <f>IF(COUNTA($A356:$F356)=0,"",IF($C356="","MissingDate",IF(OR($A356="",$D356="",$E356="",$D356=$E356),"InvalidSchedule",IF(COUNTIF(ActiveActivityCodes,$F356)=0,"InvalidCode",IF(COUNTIFS(tblScheduleData[EmployeeID],$A356,tblScheduleData[OperationalDate],$C356,tblScheduleData[ShiftStart],$D356,tblScheduleData[ShiftEnd],$E356,tblScheduleData[ActivityCode],$F356)&gt;1,"Duplicate","Valid")))))</f>
        <v/>
      </c>
      <c r="K356" s="2" t="n"/>
    </row>
    <row r="357">
      <c r="A357" s="2" t="inlineStr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>
        <f>IF(COUNTA($A357:$F357)=0,"",IF($C357="","MissingDate",IF(OR($A357="",$D357="",$E357="",$D357=$E357),"InvalidSchedule",IF(COUNTIF(ActiveActivityCodes,$F357)=0,"InvalidCode",IF(COUNTIFS(tblScheduleData[EmployeeID],$A357,tblScheduleData[OperationalDate],$C357,tblScheduleData[ShiftStart],$D357,tblScheduleData[ShiftEnd],$E357,tblScheduleData[ActivityCode],$F357)&gt;1,"Duplicate","Valid")))))</f>
        <v/>
      </c>
      <c r="K357" s="2" t="n"/>
    </row>
    <row r="358">
      <c r="A358" s="2" t="inlineStr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>
        <f>IF(COUNTA($A358:$F358)=0,"",IF($C358="","MissingDate",IF(OR($A358="",$D358="",$E358="",$D358=$E358),"InvalidSchedule",IF(COUNTIF(ActiveActivityCodes,$F358)=0,"InvalidCode",IF(COUNTIFS(tblScheduleData[EmployeeID],$A358,tblScheduleData[OperationalDate],$C358,tblScheduleData[ShiftStart],$D358,tblScheduleData[ShiftEnd],$E358,tblScheduleData[ActivityCode],$F358)&gt;1,"Duplicate","Valid")))))</f>
        <v/>
      </c>
      <c r="K358" s="2" t="n"/>
    </row>
    <row r="359">
      <c r="A359" s="2" t="inlineStr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>
        <f>IF(COUNTA($A359:$F359)=0,"",IF($C359="","MissingDate",IF(OR($A359="",$D359="",$E359="",$D359=$E359),"InvalidSchedule",IF(COUNTIF(ActiveActivityCodes,$F359)=0,"InvalidCode",IF(COUNTIFS(tblScheduleData[EmployeeID],$A359,tblScheduleData[OperationalDate],$C359,tblScheduleData[ShiftStart],$D359,tblScheduleData[ShiftEnd],$E359,tblScheduleData[ActivityCode],$F359)&gt;1,"Duplicate","Valid")))))</f>
        <v/>
      </c>
      <c r="K359" s="2" t="n"/>
    </row>
    <row r="360">
      <c r="A360" s="2" t="inlineStr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>
        <f>IF(COUNTA($A360:$F360)=0,"",IF($C360="","MissingDate",IF(OR($A360="",$D360="",$E360="",$D360=$E360),"InvalidSchedule",IF(COUNTIF(ActiveActivityCodes,$F360)=0,"InvalidCode",IF(COUNTIFS(tblScheduleData[EmployeeID],$A360,tblScheduleData[OperationalDate],$C360,tblScheduleData[ShiftStart],$D360,tblScheduleData[ShiftEnd],$E360,tblScheduleData[ActivityCode],$F360)&gt;1,"Duplicate","Valid")))))</f>
        <v/>
      </c>
      <c r="K360" s="2" t="n"/>
    </row>
    <row r="361">
      <c r="A361" s="2" t="inlineStr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>
        <f>IF(COUNTA($A361:$F361)=0,"",IF($C361="","MissingDate",IF(OR($A361="",$D361="",$E361="",$D361=$E361),"InvalidSchedule",IF(COUNTIF(ActiveActivityCodes,$F361)=0,"InvalidCode",IF(COUNTIFS(tblScheduleData[EmployeeID],$A361,tblScheduleData[OperationalDate],$C361,tblScheduleData[ShiftStart],$D361,tblScheduleData[ShiftEnd],$E361,tblScheduleData[ActivityCode],$F361)&gt;1,"Duplicate","Valid")))))</f>
        <v/>
      </c>
      <c r="K361" s="2" t="n"/>
    </row>
    <row r="362">
      <c r="A362" s="2" t="inlineStr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>
        <f>IF(COUNTA($A362:$F362)=0,"",IF($C362="","MissingDate",IF(OR($A362="",$D362="",$E362="",$D362=$E362),"InvalidSchedule",IF(COUNTIF(ActiveActivityCodes,$F362)=0,"InvalidCode",IF(COUNTIFS(tblScheduleData[EmployeeID],$A362,tblScheduleData[OperationalDate],$C362,tblScheduleData[ShiftStart],$D362,tblScheduleData[ShiftEnd],$E362,tblScheduleData[ActivityCode],$F362)&gt;1,"Duplicate","Valid")))))</f>
        <v/>
      </c>
      <c r="K362" s="2" t="n"/>
    </row>
    <row r="363">
      <c r="A363" s="2" t="inlineStr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>
        <f>IF(COUNTA($A363:$F363)=0,"",IF($C363="","MissingDate",IF(OR($A363="",$D363="",$E363="",$D363=$E363),"InvalidSchedule",IF(COUNTIF(ActiveActivityCodes,$F363)=0,"InvalidCode",IF(COUNTIFS(tblScheduleData[EmployeeID],$A363,tblScheduleData[OperationalDate],$C363,tblScheduleData[ShiftStart],$D363,tblScheduleData[ShiftEnd],$E363,tblScheduleData[ActivityCode],$F363)&gt;1,"Duplicate","Valid")))))</f>
        <v/>
      </c>
      <c r="K363" s="2" t="n"/>
    </row>
    <row r="364">
      <c r="A364" s="2" t="inlineStr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>
        <f>IF(COUNTA($A364:$F364)=0,"",IF($C364="","MissingDate",IF(OR($A364="",$D364="",$E364="",$D364=$E364),"InvalidSchedule",IF(COUNTIF(ActiveActivityCodes,$F364)=0,"InvalidCode",IF(COUNTIFS(tblScheduleData[EmployeeID],$A364,tblScheduleData[OperationalDate],$C364,tblScheduleData[ShiftStart],$D364,tblScheduleData[ShiftEnd],$E364,tblScheduleData[ActivityCode],$F364)&gt;1,"Duplicate","Valid")))))</f>
        <v/>
      </c>
      <c r="K364" s="2" t="n"/>
    </row>
    <row r="365">
      <c r="A365" s="2" t="inlineStr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>
        <f>IF(COUNTA($A365:$F365)=0,"",IF($C365="","MissingDate",IF(OR($A365="",$D365="",$E365="",$D365=$E365),"InvalidSchedule",IF(COUNTIF(ActiveActivityCodes,$F365)=0,"InvalidCode",IF(COUNTIFS(tblScheduleData[EmployeeID],$A365,tblScheduleData[OperationalDate],$C365,tblScheduleData[ShiftStart],$D365,tblScheduleData[ShiftEnd],$E365,tblScheduleData[ActivityCode],$F365)&gt;1,"Duplicate","Valid")))))</f>
        <v/>
      </c>
      <c r="K365" s="2" t="n"/>
    </row>
    <row r="366">
      <c r="A366" s="2" t="inlineStr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>
        <f>IF(COUNTA($A366:$F366)=0,"",IF($C366="","MissingDate",IF(OR($A366="",$D366="",$E366="",$D366=$E366),"InvalidSchedule",IF(COUNTIF(ActiveActivityCodes,$F366)=0,"InvalidCode",IF(COUNTIFS(tblScheduleData[EmployeeID],$A366,tblScheduleData[OperationalDate],$C366,tblScheduleData[ShiftStart],$D366,tblScheduleData[ShiftEnd],$E366,tblScheduleData[ActivityCode],$F366)&gt;1,"Duplicate","Valid")))))</f>
        <v/>
      </c>
      <c r="K366" s="2" t="n"/>
    </row>
    <row r="367">
      <c r="A367" s="2" t="inlineStr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>
        <f>IF(COUNTA($A367:$F367)=0,"",IF($C367="","MissingDate",IF(OR($A367="",$D367="",$E367="",$D367=$E367),"InvalidSchedule",IF(COUNTIF(ActiveActivityCodes,$F367)=0,"InvalidCode",IF(COUNTIFS(tblScheduleData[EmployeeID],$A367,tblScheduleData[OperationalDate],$C367,tblScheduleData[ShiftStart],$D367,tblScheduleData[ShiftEnd],$E367,tblScheduleData[ActivityCode],$F367)&gt;1,"Duplicate","Valid")))))</f>
        <v/>
      </c>
      <c r="K367" s="2" t="n"/>
    </row>
    <row r="368">
      <c r="A368" s="2" t="inlineStr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>
        <f>IF(COUNTA($A368:$F368)=0,"",IF($C368="","MissingDate",IF(OR($A368="",$D368="",$E368="",$D368=$E368),"InvalidSchedule",IF(COUNTIF(ActiveActivityCodes,$F368)=0,"InvalidCode",IF(COUNTIFS(tblScheduleData[EmployeeID],$A368,tblScheduleData[OperationalDate],$C368,tblScheduleData[ShiftStart],$D368,tblScheduleData[ShiftEnd],$E368,tblScheduleData[ActivityCode],$F368)&gt;1,"Duplicate","Valid")))))</f>
        <v/>
      </c>
      <c r="K368" s="2" t="n"/>
    </row>
    <row r="369">
      <c r="A369" s="2" t="inlineStr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>
        <f>IF(COUNTA($A369:$F369)=0,"",IF($C369="","MissingDate",IF(OR($A369="",$D369="",$E369="",$D369=$E369),"InvalidSchedule",IF(COUNTIF(ActiveActivityCodes,$F369)=0,"InvalidCode",IF(COUNTIFS(tblScheduleData[EmployeeID],$A369,tblScheduleData[OperationalDate],$C369,tblScheduleData[ShiftStart],$D369,tblScheduleData[ShiftEnd],$E369,tblScheduleData[ActivityCode],$F369)&gt;1,"Duplicate","Valid")))))</f>
        <v/>
      </c>
      <c r="K369" s="2" t="n"/>
    </row>
    <row r="370">
      <c r="A370" s="2" t="inlineStr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>
        <f>IF(COUNTA($A370:$F370)=0,"",IF($C370="","MissingDate",IF(OR($A370="",$D370="",$E370="",$D370=$E370),"InvalidSchedule",IF(COUNTIF(ActiveActivityCodes,$F370)=0,"InvalidCode",IF(COUNTIFS(tblScheduleData[EmployeeID],$A370,tblScheduleData[OperationalDate],$C370,tblScheduleData[ShiftStart],$D370,tblScheduleData[ShiftEnd],$E370,tblScheduleData[ActivityCode],$F370)&gt;1,"Duplicate","Valid")))))</f>
        <v/>
      </c>
      <c r="K370" s="2" t="n"/>
    </row>
    <row r="371">
      <c r="A371" s="2" t="inlineStr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>
        <f>IF(COUNTA($A371:$F371)=0,"",IF($C371="","MissingDate",IF(OR($A371="",$D371="",$E371="",$D371=$E371),"InvalidSchedule",IF(COUNTIF(ActiveActivityCodes,$F371)=0,"InvalidCode",IF(COUNTIFS(tblScheduleData[EmployeeID],$A371,tblScheduleData[OperationalDate],$C371,tblScheduleData[ShiftStart],$D371,tblScheduleData[ShiftEnd],$E371,tblScheduleData[ActivityCode],$F371)&gt;1,"Duplicate","Valid")))))</f>
        <v/>
      </c>
      <c r="K371" s="2" t="n"/>
    </row>
    <row r="372">
      <c r="A372" s="2" t="inlineStr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>
        <f>IF(COUNTA($A372:$F372)=0,"",IF($C372="","MissingDate",IF(OR($A372="",$D372="",$E372="",$D372=$E372),"InvalidSchedule",IF(COUNTIF(ActiveActivityCodes,$F372)=0,"InvalidCode",IF(COUNTIFS(tblScheduleData[EmployeeID],$A372,tblScheduleData[OperationalDate],$C372,tblScheduleData[ShiftStart],$D372,tblScheduleData[ShiftEnd],$E372,tblScheduleData[ActivityCode],$F372)&gt;1,"Duplicate","Valid")))))</f>
        <v/>
      </c>
      <c r="K372" s="2" t="n"/>
    </row>
    <row r="373">
      <c r="A373" s="2" t="inlineStr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>
        <f>IF(COUNTA($A373:$F373)=0,"",IF($C373="","MissingDate",IF(OR($A373="",$D373="",$E373="",$D373=$E373),"InvalidSchedule",IF(COUNTIF(ActiveActivityCodes,$F373)=0,"InvalidCode",IF(COUNTIFS(tblScheduleData[EmployeeID],$A373,tblScheduleData[OperationalDate],$C373,tblScheduleData[ShiftStart],$D373,tblScheduleData[ShiftEnd],$E373,tblScheduleData[ActivityCode],$F373)&gt;1,"Duplicate","Valid")))))</f>
        <v/>
      </c>
      <c r="K373" s="2" t="n"/>
    </row>
    <row r="374">
      <c r="A374" s="2" t="inlineStr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>
        <f>IF(COUNTA($A374:$F374)=0,"",IF($C374="","MissingDate",IF(OR($A374="",$D374="",$E374="",$D374=$E374),"InvalidSchedule",IF(COUNTIF(ActiveActivityCodes,$F374)=0,"InvalidCode",IF(COUNTIFS(tblScheduleData[EmployeeID],$A374,tblScheduleData[OperationalDate],$C374,tblScheduleData[ShiftStart],$D374,tblScheduleData[ShiftEnd],$E374,tblScheduleData[ActivityCode],$F374)&gt;1,"Duplicate","Valid")))))</f>
        <v/>
      </c>
      <c r="K374" s="2" t="n"/>
    </row>
    <row r="375">
      <c r="A375" s="2" t="inlineStr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>
        <f>IF(COUNTA($A375:$F375)=0,"",IF($C375="","MissingDate",IF(OR($A375="",$D375="",$E375="",$D375=$E375),"InvalidSchedule",IF(COUNTIF(ActiveActivityCodes,$F375)=0,"InvalidCode",IF(COUNTIFS(tblScheduleData[EmployeeID],$A375,tblScheduleData[OperationalDate],$C375,tblScheduleData[ShiftStart],$D375,tblScheduleData[ShiftEnd],$E375,tblScheduleData[ActivityCode],$F375)&gt;1,"Duplicate","Valid")))))</f>
        <v/>
      </c>
      <c r="K375" s="2" t="n"/>
    </row>
    <row r="376">
      <c r="A376" s="2" t="inlineStr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>
        <f>IF(COUNTA($A376:$F376)=0,"",IF($C376="","MissingDate",IF(OR($A376="",$D376="",$E376="",$D376=$E376),"InvalidSchedule",IF(COUNTIF(ActiveActivityCodes,$F376)=0,"InvalidCode",IF(COUNTIFS(tblScheduleData[EmployeeID],$A376,tblScheduleData[OperationalDate],$C376,tblScheduleData[ShiftStart],$D376,tblScheduleData[ShiftEnd],$E376,tblScheduleData[ActivityCode],$F376)&gt;1,"Duplicate","Valid")))))</f>
        <v/>
      </c>
      <c r="K376" s="2" t="n"/>
    </row>
    <row r="377">
      <c r="A377" s="2" t="inlineStr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>
        <f>IF(COUNTA($A377:$F377)=0,"",IF($C377="","MissingDate",IF(OR($A377="",$D377="",$E377="",$D377=$E377),"InvalidSchedule",IF(COUNTIF(ActiveActivityCodes,$F377)=0,"InvalidCode",IF(COUNTIFS(tblScheduleData[EmployeeID],$A377,tblScheduleData[OperationalDate],$C377,tblScheduleData[ShiftStart],$D377,tblScheduleData[ShiftEnd],$E377,tblScheduleData[ActivityCode],$F377)&gt;1,"Duplicate","Valid")))))</f>
        <v/>
      </c>
      <c r="K377" s="2" t="n"/>
    </row>
    <row r="378">
      <c r="A378" s="2" t="inlineStr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>
        <f>IF(COUNTA($A378:$F378)=0,"",IF($C378="","MissingDate",IF(OR($A378="",$D378="",$E378="",$D378=$E378),"InvalidSchedule",IF(COUNTIF(ActiveActivityCodes,$F378)=0,"InvalidCode",IF(COUNTIFS(tblScheduleData[EmployeeID],$A378,tblScheduleData[OperationalDate],$C378,tblScheduleData[ShiftStart],$D378,tblScheduleData[ShiftEnd],$E378,tblScheduleData[ActivityCode],$F378)&gt;1,"Duplicate","Valid")))))</f>
        <v/>
      </c>
      <c r="K378" s="2" t="n"/>
    </row>
    <row r="379">
      <c r="A379" s="2" t="inlineStr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>
        <f>IF(COUNTA($A379:$F379)=0,"",IF($C379="","MissingDate",IF(OR($A379="",$D379="",$E379="",$D379=$E379),"InvalidSchedule",IF(COUNTIF(ActiveActivityCodes,$F379)=0,"InvalidCode",IF(COUNTIFS(tblScheduleData[EmployeeID],$A379,tblScheduleData[OperationalDate],$C379,tblScheduleData[ShiftStart],$D379,tblScheduleData[ShiftEnd],$E379,tblScheduleData[ActivityCode],$F379)&gt;1,"Duplicate","Valid")))))</f>
        <v/>
      </c>
      <c r="K379" s="2" t="n"/>
    </row>
    <row r="380">
      <c r="A380" s="2" t="inlineStr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>
        <f>IF(COUNTA($A380:$F380)=0,"",IF($C380="","MissingDate",IF(OR($A380="",$D380="",$E380="",$D380=$E380),"InvalidSchedule",IF(COUNTIF(ActiveActivityCodes,$F380)=0,"InvalidCode",IF(COUNTIFS(tblScheduleData[EmployeeID],$A380,tblScheduleData[OperationalDate],$C380,tblScheduleData[ShiftStart],$D380,tblScheduleData[ShiftEnd],$E380,tblScheduleData[ActivityCode],$F380)&gt;1,"Duplicate","Valid")))))</f>
        <v/>
      </c>
      <c r="K380" s="2" t="n"/>
    </row>
    <row r="381">
      <c r="A381" s="2" t="inlineStr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>
        <f>IF(COUNTA($A381:$F381)=0,"",IF($C381="","MissingDate",IF(OR($A381="",$D381="",$E381="",$D381=$E381),"InvalidSchedule",IF(COUNTIF(ActiveActivityCodes,$F381)=0,"InvalidCode",IF(COUNTIFS(tblScheduleData[EmployeeID],$A381,tblScheduleData[OperationalDate],$C381,tblScheduleData[ShiftStart],$D381,tblScheduleData[ShiftEnd],$E381,tblScheduleData[ActivityCode],$F381)&gt;1,"Duplicate","Valid")))))</f>
        <v/>
      </c>
      <c r="K381" s="2" t="n"/>
    </row>
    <row r="382">
      <c r="A382" s="2" t="inlineStr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>
        <f>IF(COUNTA($A382:$F382)=0,"",IF($C382="","MissingDate",IF(OR($A382="",$D382="",$E382="",$D382=$E382),"InvalidSchedule",IF(COUNTIF(ActiveActivityCodes,$F382)=0,"InvalidCode",IF(COUNTIFS(tblScheduleData[EmployeeID],$A382,tblScheduleData[OperationalDate],$C382,tblScheduleData[ShiftStart],$D382,tblScheduleData[ShiftEnd],$E382,tblScheduleData[ActivityCode],$F382)&gt;1,"Duplicate","Valid")))))</f>
        <v/>
      </c>
      <c r="K382" s="2" t="n"/>
    </row>
    <row r="383">
      <c r="A383" s="2" t="inlineStr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>
        <f>IF(COUNTA($A383:$F383)=0,"",IF($C383="","MissingDate",IF(OR($A383="",$D383="",$E383="",$D383=$E383),"InvalidSchedule",IF(COUNTIF(ActiveActivityCodes,$F383)=0,"InvalidCode",IF(COUNTIFS(tblScheduleData[EmployeeID],$A383,tblScheduleData[OperationalDate],$C383,tblScheduleData[ShiftStart],$D383,tblScheduleData[ShiftEnd],$E383,tblScheduleData[ActivityCode],$F383)&gt;1,"Duplicate","Valid")))))</f>
        <v/>
      </c>
      <c r="K383" s="2" t="n"/>
    </row>
    <row r="384">
      <c r="A384" s="2" t="inlineStr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>
        <f>IF(COUNTA($A384:$F384)=0,"",IF($C384="","MissingDate",IF(OR($A384="",$D384="",$E384="",$D384=$E384),"InvalidSchedule",IF(COUNTIF(ActiveActivityCodes,$F384)=0,"InvalidCode",IF(COUNTIFS(tblScheduleData[EmployeeID],$A384,tblScheduleData[OperationalDate],$C384,tblScheduleData[ShiftStart],$D384,tblScheduleData[ShiftEnd],$E384,tblScheduleData[ActivityCode],$F384)&gt;1,"Duplicate","Valid")))))</f>
        <v/>
      </c>
      <c r="K384" s="2" t="n"/>
    </row>
    <row r="385">
      <c r="A385" s="2" t="inlineStr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>
        <f>IF(COUNTA($A385:$F385)=0,"",IF($C385="","MissingDate",IF(OR($A385="",$D385="",$E385="",$D385=$E385),"InvalidSchedule",IF(COUNTIF(ActiveActivityCodes,$F385)=0,"InvalidCode",IF(COUNTIFS(tblScheduleData[EmployeeID],$A385,tblScheduleData[OperationalDate],$C385,tblScheduleData[ShiftStart],$D385,tblScheduleData[ShiftEnd],$E385,tblScheduleData[ActivityCode],$F385)&gt;1,"Duplicate","Valid")))))</f>
        <v/>
      </c>
      <c r="K385" s="2" t="n"/>
    </row>
    <row r="386">
      <c r="A386" s="2" t="inlineStr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>
        <f>IF(COUNTA($A386:$F386)=0,"",IF($C386="","MissingDate",IF(OR($A386="",$D386="",$E386="",$D386=$E386),"InvalidSchedule",IF(COUNTIF(ActiveActivityCodes,$F386)=0,"InvalidCode",IF(COUNTIFS(tblScheduleData[EmployeeID],$A386,tblScheduleData[OperationalDate],$C386,tblScheduleData[ShiftStart],$D386,tblScheduleData[ShiftEnd],$E386,tblScheduleData[ActivityCode],$F386)&gt;1,"Duplicate","Valid")))))</f>
        <v/>
      </c>
      <c r="K386" s="2" t="n"/>
    </row>
    <row r="387">
      <c r="A387" s="2" t="inlineStr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>
        <f>IF(COUNTA($A387:$F387)=0,"",IF($C387="","MissingDate",IF(OR($A387="",$D387="",$E387="",$D387=$E387),"InvalidSchedule",IF(COUNTIF(ActiveActivityCodes,$F387)=0,"InvalidCode",IF(COUNTIFS(tblScheduleData[EmployeeID],$A387,tblScheduleData[OperationalDate],$C387,tblScheduleData[ShiftStart],$D387,tblScheduleData[ShiftEnd],$E387,tblScheduleData[ActivityCode],$F387)&gt;1,"Duplicate","Valid")))))</f>
        <v/>
      </c>
      <c r="K387" s="2" t="n"/>
    </row>
    <row r="388">
      <c r="A388" s="2" t="inlineStr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>
        <f>IF(COUNTA($A388:$F388)=0,"",IF($C388="","MissingDate",IF(OR($A388="",$D388="",$E388="",$D388=$E388),"InvalidSchedule",IF(COUNTIF(ActiveActivityCodes,$F388)=0,"InvalidCode",IF(COUNTIFS(tblScheduleData[EmployeeID],$A388,tblScheduleData[OperationalDate],$C388,tblScheduleData[ShiftStart],$D388,tblScheduleData[ShiftEnd],$E388,tblScheduleData[ActivityCode],$F388)&gt;1,"Duplicate","Valid")))))</f>
        <v/>
      </c>
      <c r="K388" s="2" t="n"/>
    </row>
    <row r="389">
      <c r="A389" s="2" t="inlineStr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>
        <f>IF(COUNTA($A389:$F389)=0,"",IF($C389="","MissingDate",IF(OR($A389="",$D389="",$E389="",$D389=$E389),"InvalidSchedule",IF(COUNTIF(ActiveActivityCodes,$F389)=0,"InvalidCode",IF(COUNTIFS(tblScheduleData[EmployeeID],$A389,tblScheduleData[OperationalDate],$C389,tblScheduleData[ShiftStart],$D389,tblScheduleData[ShiftEnd],$E389,tblScheduleData[ActivityCode],$F389)&gt;1,"Duplicate","Valid")))))</f>
        <v/>
      </c>
      <c r="K389" s="2" t="n"/>
    </row>
    <row r="390">
      <c r="A390" s="2" t="inlineStr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>
        <f>IF(COUNTA($A390:$F390)=0,"",IF($C390="","MissingDate",IF(OR($A390="",$D390="",$E390="",$D390=$E390),"InvalidSchedule",IF(COUNTIF(ActiveActivityCodes,$F390)=0,"InvalidCode",IF(COUNTIFS(tblScheduleData[EmployeeID],$A390,tblScheduleData[OperationalDate],$C390,tblScheduleData[ShiftStart],$D390,tblScheduleData[ShiftEnd],$E390,tblScheduleData[ActivityCode],$F390)&gt;1,"Duplicate","Valid")))))</f>
        <v/>
      </c>
      <c r="K390" s="2" t="n"/>
    </row>
    <row r="391">
      <c r="A391" s="2" t="inlineStr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>
        <f>IF(COUNTA($A391:$F391)=0,"",IF($C391="","MissingDate",IF(OR($A391="",$D391="",$E391="",$D391=$E391),"InvalidSchedule",IF(COUNTIF(ActiveActivityCodes,$F391)=0,"InvalidCode",IF(COUNTIFS(tblScheduleData[EmployeeID],$A391,tblScheduleData[OperationalDate],$C391,tblScheduleData[ShiftStart],$D391,tblScheduleData[ShiftEnd],$E391,tblScheduleData[ActivityCode],$F391)&gt;1,"Duplicate","Valid")))))</f>
        <v/>
      </c>
      <c r="K391" s="2" t="n"/>
    </row>
    <row r="392">
      <c r="A392" s="2" t="inlineStr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>
        <f>IF(COUNTA($A392:$F392)=0,"",IF($C392="","MissingDate",IF(OR($A392="",$D392="",$E392="",$D392=$E392),"InvalidSchedule",IF(COUNTIF(ActiveActivityCodes,$F392)=0,"InvalidCode",IF(COUNTIFS(tblScheduleData[EmployeeID],$A392,tblScheduleData[OperationalDate],$C392,tblScheduleData[ShiftStart],$D392,tblScheduleData[ShiftEnd],$E392,tblScheduleData[ActivityCode],$F392)&gt;1,"Duplicate","Valid")))))</f>
        <v/>
      </c>
      <c r="K392" s="2" t="n"/>
    </row>
    <row r="393">
      <c r="A393" s="2" t="inlineStr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>
        <f>IF(COUNTA($A393:$F393)=0,"",IF($C393="","MissingDate",IF(OR($A393="",$D393="",$E393="",$D393=$E393),"InvalidSchedule",IF(COUNTIF(ActiveActivityCodes,$F393)=0,"InvalidCode",IF(COUNTIFS(tblScheduleData[EmployeeID],$A393,tblScheduleData[OperationalDate],$C393,tblScheduleData[ShiftStart],$D393,tblScheduleData[ShiftEnd],$E393,tblScheduleData[ActivityCode],$F393)&gt;1,"Duplicate","Valid")))))</f>
        <v/>
      </c>
      <c r="K393" s="2" t="n"/>
    </row>
    <row r="394">
      <c r="A394" s="2" t="inlineStr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>
        <f>IF(COUNTA($A394:$F394)=0,"",IF($C394="","MissingDate",IF(OR($A394="",$D394="",$E394="",$D394=$E394),"InvalidSchedule",IF(COUNTIF(ActiveActivityCodes,$F394)=0,"InvalidCode",IF(COUNTIFS(tblScheduleData[EmployeeID],$A394,tblScheduleData[OperationalDate],$C394,tblScheduleData[ShiftStart],$D394,tblScheduleData[ShiftEnd],$E394,tblScheduleData[ActivityCode],$F394)&gt;1,"Duplicate","Valid")))))</f>
        <v/>
      </c>
      <c r="K394" s="2" t="n"/>
    </row>
    <row r="395">
      <c r="A395" s="2" t="inlineStr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>
        <f>IF(COUNTA($A395:$F395)=0,"",IF($C395="","MissingDate",IF(OR($A395="",$D395="",$E395="",$D395=$E395),"InvalidSchedule",IF(COUNTIF(ActiveActivityCodes,$F395)=0,"InvalidCode",IF(COUNTIFS(tblScheduleData[EmployeeID],$A395,tblScheduleData[OperationalDate],$C395,tblScheduleData[ShiftStart],$D395,tblScheduleData[ShiftEnd],$E395,tblScheduleData[ActivityCode],$F395)&gt;1,"Duplicate","Valid")))))</f>
        <v/>
      </c>
      <c r="K395" s="2" t="n"/>
    </row>
    <row r="396">
      <c r="A396" s="2" t="inlineStr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>
        <f>IF(COUNTA($A396:$F396)=0,"",IF($C396="","MissingDate",IF(OR($A396="",$D396="",$E396="",$D396=$E396),"InvalidSchedule",IF(COUNTIF(ActiveActivityCodes,$F396)=0,"InvalidCode",IF(COUNTIFS(tblScheduleData[EmployeeID],$A396,tblScheduleData[OperationalDate],$C396,tblScheduleData[ShiftStart],$D396,tblScheduleData[ShiftEnd],$E396,tblScheduleData[ActivityCode],$F396)&gt;1,"Duplicate","Valid")))))</f>
        <v/>
      </c>
      <c r="K396" s="2" t="n"/>
    </row>
    <row r="397">
      <c r="A397" s="2" t="inlineStr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>
        <f>IF(COUNTA($A397:$F397)=0,"",IF($C397="","MissingDate",IF(OR($A397="",$D397="",$E397="",$D397=$E397),"InvalidSchedule",IF(COUNTIF(ActiveActivityCodes,$F397)=0,"InvalidCode",IF(COUNTIFS(tblScheduleData[EmployeeID],$A397,tblScheduleData[OperationalDate],$C397,tblScheduleData[ShiftStart],$D397,tblScheduleData[ShiftEnd],$E397,tblScheduleData[ActivityCode],$F397)&gt;1,"Duplicate","Valid")))))</f>
        <v/>
      </c>
      <c r="K397" s="2" t="n"/>
    </row>
    <row r="398">
      <c r="A398" s="2" t="inlineStr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>
        <f>IF(COUNTA($A398:$F398)=0,"",IF($C398="","MissingDate",IF(OR($A398="",$D398="",$E398="",$D398=$E398),"InvalidSchedule",IF(COUNTIF(ActiveActivityCodes,$F398)=0,"InvalidCode",IF(COUNTIFS(tblScheduleData[EmployeeID],$A398,tblScheduleData[OperationalDate],$C398,tblScheduleData[ShiftStart],$D398,tblScheduleData[ShiftEnd],$E398,tblScheduleData[ActivityCode],$F398)&gt;1,"Duplicate","Valid")))))</f>
        <v/>
      </c>
      <c r="K398" s="2" t="n"/>
    </row>
    <row r="399">
      <c r="A399" s="2" t="inlineStr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>
        <f>IF(COUNTA($A399:$F399)=0,"",IF($C399="","MissingDate",IF(OR($A399="",$D399="",$E399="",$D399=$E399),"InvalidSchedule",IF(COUNTIF(ActiveActivityCodes,$F399)=0,"InvalidCode",IF(COUNTIFS(tblScheduleData[EmployeeID],$A399,tblScheduleData[OperationalDate],$C399,tblScheduleData[ShiftStart],$D399,tblScheduleData[ShiftEnd],$E399,tblScheduleData[ActivityCode],$F399)&gt;1,"Duplicate","Valid")))))</f>
        <v/>
      </c>
      <c r="K399" s="2" t="n"/>
    </row>
    <row r="400">
      <c r="A400" s="2" t="inlineStr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>
        <f>IF(COUNTA($A400:$F400)=0,"",IF($C400="","MissingDate",IF(OR($A400="",$D400="",$E400="",$D400=$E400),"InvalidSchedule",IF(COUNTIF(ActiveActivityCodes,$F400)=0,"InvalidCode",IF(COUNTIFS(tblScheduleData[EmployeeID],$A400,tblScheduleData[OperationalDate],$C400,tblScheduleData[ShiftStart],$D400,tblScheduleData[ShiftEnd],$E400,tblScheduleData[ActivityCode],$F400)&gt;1,"Duplicate","Valid")))))</f>
        <v/>
      </c>
      <c r="K400" s="2" t="n"/>
    </row>
    <row r="401">
      <c r="A401" s="2" t="inlineStr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>
        <f>IF(COUNTA($A401:$F401)=0,"",IF($C401="","MissingDate",IF(OR($A401="",$D401="",$E401="",$D401=$E401),"InvalidSchedule",IF(COUNTIF(ActiveActivityCodes,$F401)=0,"InvalidCode",IF(COUNTIFS(tblScheduleData[EmployeeID],$A401,tblScheduleData[OperationalDate],$C401,tblScheduleData[ShiftStart],$D401,tblScheduleData[ShiftEnd],$E401,tblScheduleData[ActivityCode],$F401)&gt;1,"Duplicate","Valid")))))</f>
        <v/>
      </c>
      <c r="K401" s="2" t="n"/>
    </row>
    <row r="402">
      <c r="A402" s="2" t="inlineStr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>
        <f>IF(COUNTA($A402:$F402)=0,"",IF($C402="","MissingDate",IF(OR($A402="",$D402="",$E402="",$D402=$E402),"InvalidSchedule",IF(COUNTIF(ActiveActivityCodes,$F402)=0,"InvalidCode",IF(COUNTIFS(tblScheduleData[EmployeeID],$A402,tblScheduleData[OperationalDate],$C402,tblScheduleData[ShiftStart],$D402,tblScheduleData[ShiftEnd],$E402,tblScheduleData[ActivityCode],$F402)&gt;1,"Duplicate","Valid")))))</f>
        <v/>
      </c>
      <c r="K402" s="2" t="n"/>
    </row>
    <row r="403">
      <c r="A403" s="2" t="inlineStr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>
        <f>IF(COUNTA($A403:$F403)=0,"",IF($C403="","MissingDate",IF(OR($A403="",$D403="",$E403="",$D403=$E403),"InvalidSchedule",IF(COUNTIF(ActiveActivityCodes,$F403)=0,"InvalidCode",IF(COUNTIFS(tblScheduleData[EmployeeID],$A403,tblScheduleData[OperationalDate],$C403,tblScheduleData[ShiftStart],$D403,tblScheduleData[ShiftEnd],$E403,tblScheduleData[ActivityCode],$F403)&gt;1,"Duplicate","Valid")))))</f>
        <v/>
      </c>
      <c r="K403" s="2" t="n"/>
    </row>
    <row r="404">
      <c r="A404" s="2" t="inlineStr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>
        <f>IF(COUNTA($A404:$F404)=0,"",IF($C404="","MissingDate",IF(OR($A404="",$D404="",$E404="",$D404=$E404),"InvalidSchedule",IF(COUNTIF(ActiveActivityCodes,$F404)=0,"InvalidCode",IF(COUNTIFS(tblScheduleData[EmployeeID],$A404,tblScheduleData[OperationalDate],$C404,tblScheduleData[ShiftStart],$D404,tblScheduleData[ShiftEnd],$E404,tblScheduleData[ActivityCode],$F404)&gt;1,"Duplicate","Valid")))))</f>
        <v/>
      </c>
      <c r="K404" s="2" t="n"/>
    </row>
    <row r="405">
      <c r="A405" s="2" t="inlineStr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>
        <f>IF(COUNTA($A405:$F405)=0,"",IF($C405="","MissingDate",IF(OR($A405="",$D405="",$E405="",$D405=$E405),"InvalidSchedule",IF(COUNTIF(ActiveActivityCodes,$F405)=0,"InvalidCode",IF(COUNTIFS(tblScheduleData[EmployeeID],$A405,tblScheduleData[OperationalDate],$C405,tblScheduleData[ShiftStart],$D405,tblScheduleData[ShiftEnd],$E405,tblScheduleData[ActivityCode],$F405)&gt;1,"Duplicate","Valid")))))</f>
        <v/>
      </c>
      <c r="K405" s="2" t="n"/>
    </row>
    <row r="406">
      <c r="A406" s="2" t="inlineStr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>
        <f>IF(COUNTA($A406:$F406)=0,"",IF($C406="","MissingDate",IF(OR($A406="",$D406="",$E406="",$D406=$E406),"InvalidSchedule",IF(COUNTIF(ActiveActivityCodes,$F406)=0,"InvalidCode",IF(COUNTIFS(tblScheduleData[EmployeeID],$A406,tblScheduleData[OperationalDate],$C406,tblScheduleData[ShiftStart],$D406,tblScheduleData[ShiftEnd],$E406,tblScheduleData[ActivityCode],$F406)&gt;1,"Duplicate","Valid")))))</f>
        <v/>
      </c>
      <c r="K406" s="2" t="n"/>
    </row>
    <row r="407">
      <c r="A407" s="2" t="inlineStr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>
        <f>IF(COUNTA($A407:$F407)=0,"",IF($C407="","MissingDate",IF(OR($A407="",$D407="",$E407="",$D407=$E407),"InvalidSchedule",IF(COUNTIF(ActiveActivityCodes,$F407)=0,"InvalidCode",IF(COUNTIFS(tblScheduleData[EmployeeID],$A407,tblScheduleData[OperationalDate],$C407,tblScheduleData[ShiftStart],$D407,tblScheduleData[ShiftEnd],$E407,tblScheduleData[ActivityCode],$F407)&gt;1,"Duplicate","Valid")))))</f>
        <v/>
      </c>
      <c r="K407" s="2" t="n"/>
    </row>
    <row r="408">
      <c r="A408" s="2" t="inlineStr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>
        <f>IF(COUNTA($A408:$F408)=0,"",IF($C408="","MissingDate",IF(OR($A408="",$D408="",$E408="",$D408=$E408),"InvalidSchedule",IF(COUNTIF(ActiveActivityCodes,$F408)=0,"InvalidCode",IF(COUNTIFS(tblScheduleData[EmployeeID],$A408,tblScheduleData[OperationalDate],$C408,tblScheduleData[ShiftStart],$D408,tblScheduleData[ShiftEnd],$E408,tblScheduleData[ActivityCode],$F408)&gt;1,"Duplicate","Valid")))))</f>
        <v/>
      </c>
      <c r="K408" s="2" t="n"/>
    </row>
    <row r="409">
      <c r="A409" s="2" t="inlineStr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>
        <f>IF(COUNTA($A409:$F409)=0,"",IF($C409="","MissingDate",IF(OR($A409="",$D409="",$E409="",$D409=$E409),"InvalidSchedule",IF(COUNTIF(ActiveActivityCodes,$F409)=0,"InvalidCode",IF(COUNTIFS(tblScheduleData[EmployeeID],$A409,tblScheduleData[OperationalDate],$C409,tblScheduleData[ShiftStart],$D409,tblScheduleData[ShiftEnd],$E409,tblScheduleData[ActivityCode],$F409)&gt;1,"Duplicate","Valid")))))</f>
        <v/>
      </c>
      <c r="K409" s="2" t="n"/>
    </row>
    <row r="410">
      <c r="A410" s="2" t="inlineStr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>
        <f>IF(COUNTA($A410:$F410)=0,"",IF($C410="","MissingDate",IF(OR($A410="",$D410="",$E410="",$D410=$E410),"InvalidSchedule",IF(COUNTIF(ActiveActivityCodes,$F410)=0,"InvalidCode",IF(COUNTIFS(tblScheduleData[EmployeeID],$A410,tblScheduleData[OperationalDate],$C410,tblScheduleData[ShiftStart],$D410,tblScheduleData[ShiftEnd],$E410,tblScheduleData[ActivityCode],$F410)&gt;1,"Duplicate","Valid")))))</f>
        <v/>
      </c>
      <c r="K410" s="2" t="n"/>
    </row>
    <row r="411">
      <c r="A411" s="2" t="inlineStr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>
        <f>IF(COUNTA($A411:$F411)=0,"",IF($C411="","MissingDate",IF(OR($A411="",$D411="",$E411="",$D411=$E411),"InvalidSchedule",IF(COUNTIF(ActiveActivityCodes,$F411)=0,"InvalidCode",IF(COUNTIFS(tblScheduleData[EmployeeID],$A411,tblScheduleData[OperationalDate],$C411,tblScheduleData[ShiftStart],$D411,tblScheduleData[ShiftEnd],$E411,tblScheduleData[ActivityCode],$F411)&gt;1,"Duplicate","Valid")))))</f>
        <v/>
      </c>
      <c r="K411" s="2" t="n"/>
    </row>
    <row r="412">
      <c r="A412" s="2" t="inlineStr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>
        <f>IF(COUNTA($A412:$F412)=0,"",IF($C412="","MissingDate",IF(OR($A412="",$D412="",$E412="",$D412=$E412),"InvalidSchedule",IF(COUNTIF(ActiveActivityCodes,$F412)=0,"InvalidCode",IF(COUNTIFS(tblScheduleData[EmployeeID],$A412,tblScheduleData[OperationalDate],$C412,tblScheduleData[ShiftStart],$D412,tblScheduleData[ShiftEnd],$E412,tblScheduleData[ActivityCode],$F412)&gt;1,"Duplicate","Valid")))))</f>
        <v/>
      </c>
      <c r="K412" s="2" t="n"/>
    </row>
    <row r="413">
      <c r="A413" s="2" t="inlineStr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>
        <f>IF(COUNTA($A413:$F413)=0,"",IF($C413="","MissingDate",IF(OR($A413="",$D413="",$E413="",$D413=$E413),"InvalidSchedule",IF(COUNTIF(ActiveActivityCodes,$F413)=0,"InvalidCode",IF(COUNTIFS(tblScheduleData[EmployeeID],$A413,tblScheduleData[OperationalDate],$C413,tblScheduleData[ShiftStart],$D413,tblScheduleData[ShiftEnd],$E413,tblScheduleData[ActivityCode],$F413)&gt;1,"Duplicate","Valid")))))</f>
        <v/>
      </c>
      <c r="K413" s="2" t="n"/>
    </row>
    <row r="414">
      <c r="A414" s="2" t="inlineStr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>
        <f>IF(COUNTA($A414:$F414)=0,"",IF($C414="","MissingDate",IF(OR($A414="",$D414="",$E414="",$D414=$E414),"InvalidSchedule",IF(COUNTIF(ActiveActivityCodes,$F414)=0,"InvalidCode",IF(COUNTIFS(tblScheduleData[EmployeeID],$A414,tblScheduleData[OperationalDate],$C414,tblScheduleData[ShiftStart],$D414,tblScheduleData[ShiftEnd],$E414,tblScheduleData[ActivityCode],$F414)&gt;1,"Duplicate","Valid")))))</f>
        <v/>
      </c>
      <c r="K414" s="2" t="n"/>
    </row>
    <row r="415">
      <c r="A415" s="2" t="inlineStr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>
        <f>IF(COUNTA($A415:$F415)=0,"",IF($C415="","MissingDate",IF(OR($A415="",$D415="",$E415="",$D415=$E415),"InvalidSchedule",IF(COUNTIF(ActiveActivityCodes,$F415)=0,"InvalidCode",IF(COUNTIFS(tblScheduleData[EmployeeID],$A415,tblScheduleData[OperationalDate],$C415,tblScheduleData[ShiftStart],$D415,tblScheduleData[ShiftEnd],$E415,tblScheduleData[ActivityCode],$F415)&gt;1,"Duplicate","Valid")))))</f>
        <v/>
      </c>
      <c r="K415" s="2" t="n"/>
    </row>
    <row r="416">
      <c r="A416" s="2" t="inlineStr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>
        <f>IF(COUNTA($A416:$F416)=0,"",IF($C416="","MissingDate",IF(OR($A416="",$D416="",$E416="",$D416=$E416),"InvalidSchedule",IF(COUNTIF(ActiveActivityCodes,$F416)=0,"InvalidCode",IF(COUNTIFS(tblScheduleData[EmployeeID],$A416,tblScheduleData[OperationalDate],$C416,tblScheduleData[ShiftStart],$D416,tblScheduleData[ShiftEnd],$E416,tblScheduleData[ActivityCode],$F416)&gt;1,"Duplicate","Valid")))))</f>
        <v/>
      </c>
      <c r="K416" s="2" t="n"/>
    </row>
    <row r="417">
      <c r="A417" s="2" t="inlineStr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>
        <f>IF(COUNTA($A417:$F417)=0,"",IF($C417="","MissingDate",IF(OR($A417="",$D417="",$E417="",$D417=$E417),"InvalidSchedule",IF(COUNTIF(ActiveActivityCodes,$F417)=0,"InvalidCode",IF(COUNTIFS(tblScheduleData[EmployeeID],$A417,tblScheduleData[OperationalDate],$C417,tblScheduleData[ShiftStart],$D417,tblScheduleData[ShiftEnd],$E417,tblScheduleData[ActivityCode],$F417)&gt;1,"Duplicate","Valid")))))</f>
        <v/>
      </c>
      <c r="K417" s="2" t="n"/>
    </row>
    <row r="418">
      <c r="A418" s="2" t="inlineStr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>
        <f>IF(COUNTA($A418:$F418)=0,"",IF($C418="","MissingDate",IF(OR($A418="",$D418="",$E418="",$D418=$E418),"InvalidSchedule",IF(COUNTIF(ActiveActivityCodes,$F418)=0,"InvalidCode",IF(COUNTIFS(tblScheduleData[EmployeeID],$A418,tblScheduleData[OperationalDate],$C418,tblScheduleData[ShiftStart],$D418,tblScheduleData[ShiftEnd],$E418,tblScheduleData[ActivityCode],$F418)&gt;1,"Duplicate","Valid")))))</f>
        <v/>
      </c>
      <c r="K418" s="2" t="n"/>
    </row>
    <row r="419">
      <c r="A419" s="2" t="inlineStr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>
        <f>IF(COUNTA($A419:$F419)=0,"",IF($C419="","MissingDate",IF(OR($A419="",$D419="",$E419="",$D419=$E419),"InvalidSchedule",IF(COUNTIF(ActiveActivityCodes,$F419)=0,"InvalidCode",IF(COUNTIFS(tblScheduleData[EmployeeID],$A419,tblScheduleData[OperationalDate],$C419,tblScheduleData[ShiftStart],$D419,tblScheduleData[ShiftEnd],$E419,tblScheduleData[ActivityCode],$F419)&gt;1,"Duplicate","Valid")))))</f>
        <v/>
      </c>
      <c r="K419" s="2" t="n"/>
    </row>
    <row r="420">
      <c r="A420" s="2" t="inlineStr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>
        <f>IF(COUNTA($A420:$F420)=0,"",IF($C420="","MissingDate",IF(OR($A420="",$D420="",$E420="",$D420=$E420),"InvalidSchedule",IF(COUNTIF(ActiveActivityCodes,$F420)=0,"InvalidCode",IF(COUNTIFS(tblScheduleData[EmployeeID],$A420,tblScheduleData[OperationalDate],$C420,tblScheduleData[ShiftStart],$D420,tblScheduleData[ShiftEnd],$E420,tblScheduleData[ActivityCode],$F420)&gt;1,"Duplicate","Valid")))))</f>
        <v/>
      </c>
      <c r="K420" s="2" t="n"/>
    </row>
    <row r="421">
      <c r="A421" s="2" t="inlineStr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>
        <f>IF(COUNTA($A421:$F421)=0,"",IF($C421="","MissingDate",IF(OR($A421="",$D421="",$E421="",$D421=$E421),"InvalidSchedule",IF(COUNTIF(ActiveActivityCodes,$F421)=0,"InvalidCode",IF(COUNTIFS(tblScheduleData[EmployeeID],$A421,tblScheduleData[OperationalDate],$C421,tblScheduleData[ShiftStart],$D421,tblScheduleData[ShiftEnd],$E421,tblScheduleData[ActivityCode],$F421)&gt;1,"Duplicate","Valid")))))</f>
        <v/>
      </c>
      <c r="K421" s="2" t="n"/>
    </row>
    <row r="422">
      <c r="A422" s="2" t="inlineStr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>
        <f>IF(COUNTA($A422:$F422)=0,"",IF($C422="","MissingDate",IF(OR($A422="",$D422="",$E422="",$D422=$E422),"InvalidSchedule",IF(COUNTIF(ActiveActivityCodes,$F422)=0,"InvalidCode",IF(COUNTIFS(tblScheduleData[EmployeeID],$A422,tblScheduleData[OperationalDate],$C422,tblScheduleData[ShiftStart],$D422,tblScheduleData[ShiftEnd],$E422,tblScheduleData[ActivityCode],$F422)&gt;1,"Duplicate","Valid")))))</f>
        <v/>
      </c>
      <c r="K422" s="2" t="n"/>
    </row>
    <row r="423">
      <c r="A423" s="2" t="inlineStr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>
        <f>IF(COUNTA($A423:$F423)=0,"",IF($C423="","MissingDate",IF(OR($A423="",$D423="",$E423="",$D423=$E423),"InvalidSchedule",IF(COUNTIF(ActiveActivityCodes,$F423)=0,"InvalidCode",IF(COUNTIFS(tblScheduleData[EmployeeID],$A423,tblScheduleData[OperationalDate],$C423,tblScheduleData[ShiftStart],$D423,tblScheduleData[ShiftEnd],$E423,tblScheduleData[ActivityCode],$F423)&gt;1,"Duplicate","Valid")))))</f>
        <v/>
      </c>
      <c r="K423" s="2" t="n"/>
    </row>
    <row r="424">
      <c r="A424" s="2" t="inlineStr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>
        <f>IF(COUNTA($A424:$F424)=0,"",IF($C424="","MissingDate",IF(OR($A424="",$D424="",$E424="",$D424=$E424),"InvalidSchedule",IF(COUNTIF(ActiveActivityCodes,$F424)=0,"InvalidCode",IF(COUNTIFS(tblScheduleData[EmployeeID],$A424,tblScheduleData[OperationalDate],$C424,tblScheduleData[ShiftStart],$D424,tblScheduleData[ShiftEnd],$E424,tblScheduleData[ActivityCode],$F424)&gt;1,"Duplicate","Valid")))))</f>
        <v/>
      </c>
      <c r="K424" s="2" t="n"/>
    </row>
    <row r="425">
      <c r="A425" s="2" t="inlineStr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>
        <f>IF(COUNTA($A425:$F425)=0,"",IF($C425="","MissingDate",IF(OR($A425="",$D425="",$E425="",$D425=$E425),"InvalidSchedule",IF(COUNTIF(ActiveActivityCodes,$F425)=0,"InvalidCode",IF(COUNTIFS(tblScheduleData[EmployeeID],$A425,tblScheduleData[OperationalDate],$C425,tblScheduleData[ShiftStart],$D425,tblScheduleData[ShiftEnd],$E425,tblScheduleData[ActivityCode],$F425)&gt;1,"Duplicate","Valid")))))</f>
        <v/>
      </c>
      <c r="K425" s="2" t="n"/>
    </row>
    <row r="426">
      <c r="A426" s="2" t="inlineStr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>
        <f>IF(COUNTA($A426:$F426)=0,"",IF($C426="","MissingDate",IF(OR($A426="",$D426="",$E426="",$D426=$E426),"InvalidSchedule",IF(COUNTIF(ActiveActivityCodes,$F426)=0,"InvalidCode",IF(COUNTIFS(tblScheduleData[EmployeeID],$A426,tblScheduleData[OperationalDate],$C426,tblScheduleData[ShiftStart],$D426,tblScheduleData[ShiftEnd],$E426,tblScheduleData[ActivityCode],$F426)&gt;1,"Duplicate","Valid")))))</f>
        <v/>
      </c>
      <c r="K426" s="2" t="n"/>
    </row>
    <row r="427">
      <c r="A427" s="2" t="inlineStr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>
        <f>IF(COUNTA($A427:$F427)=0,"",IF($C427="","MissingDate",IF(OR($A427="",$D427="",$E427="",$D427=$E427),"InvalidSchedule",IF(COUNTIF(ActiveActivityCodes,$F427)=0,"InvalidCode",IF(COUNTIFS(tblScheduleData[EmployeeID],$A427,tblScheduleData[OperationalDate],$C427,tblScheduleData[ShiftStart],$D427,tblScheduleData[ShiftEnd],$E427,tblScheduleData[ActivityCode],$F427)&gt;1,"Duplicate","Valid")))))</f>
        <v/>
      </c>
      <c r="K427" s="2" t="n"/>
    </row>
    <row r="428">
      <c r="A428" s="2" t="inlineStr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>
        <f>IF(COUNTA($A428:$F428)=0,"",IF($C428="","MissingDate",IF(OR($A428="",$D428="",$E428="",$D428=$E428),"InvalidSchedule",IF(COUNTIF(ActiveActivityCodes,$F428)=0,"InvalidCode",IF(COUNTIFS(tblScheduleData[EmployeeID],$A428,tblScheduleData[OperationalDate],$C428,tblScheduleData[ShiftStart],$D428,tblScheduleData[ShiftEnd],$E428,tblScheduleData[ActivityCode],$F428)&gt;1,"Duplicate","Valid")))))</f>
        <v/>
      </c>
      <c r="K428" s="2" t="n"/>
    </row>
    <row r="429">
      <c r="A429" s="2" t="inlineStr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>
        <f>IF(COUNTA($A429:$F429)=0,"",IF($C429="","MissingDate",IF(OR($A429="",$D429="",$E429="",$D429=$E429),"InvalidSchedule",IF(COUNTIF(ActiveActivityCodes,$F429)=0,"InvalidCode",IF(COUNTIFS(tblScheduleData[EmployeeID],$A429,tblScheduleData[OperationalDate],$C429,tblScheduleData[ShiftStart],$D429,tblScheduleData[ShiftEnd],$E429,tblScheduleData[ActivityCode],$F429)&gt;1,"Duplicate","Valid")))))</f>
        <v/>
      </c>
      <c r="K429" s="2" t="n"/>
    </row>
    <row r="430">
      <c r="A430" s="2" t="inlineStr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>
        <f>IF(COUNTA($A430:$F430)=0,"",IF($C430="","MissingDate",IF(OR($A430="",$D430="",$E430="",$D430=$E430),"InvalidSchedule",IF(COUNTIF(ActiveActivityCodes,$F430)=0,"InvalidCode",IF(COUNTIFS(tblScheduleData[EmployeeID],$A430,tblScheduleData[OperationalDate],$C430,tblScheduleData[ShiftStart],$D430,tblScheduleData[ShiftEnd],$E430,tblScheduleData[ActivityCode],$F430)&gt;1,"Duplicate","Valid")))))</f>
        <v/>
      </c>
      <c r="K430" s="2" t="n"/>
    </row>
    <row r="431">
      <c r="A431" s="2" t="inlineStr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>
        <f>IF(COUNTA($A431:$F431)=0,"",IF($C431="","MissingDate",IF(OR($A431="",$D431="",$E431="",$D431=$E431),"InvalidSchedule",IF(COUNTIF(ActiveActivityCodes,$F431)=0,"InvalidCode",IF(COUNTIFS(tblScheduleData[EmployeeID],$A431,tblScheduleData[OperationalDate],$C431,tblScheduleData[ShiftStart],$D431,tblScheduleData[ShiftEnd],$E431,tblScheduleData[ActivityCode],$F431)&gt;1,"Duplicate","Valid")))))</f>
        <v/>
      </c>
      <c r="K431" s="2" t="n"/>
    </row>
    <row r="432">
      <c r="A432" s="2" t="inlineStr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>
        <f>IF(COUNTA($A432:$F432)=0,"",IF($C432="","MissingDate",IF(OR($A432="",$D432="",$E432="",$D432=$E432),"InvalidSchedule",IF(COUNTIF(ActiveActivityCodes,$F432)=0,"InvalidCode",IF(COUNTIFS(tblScheduleData[EmployeeID],$A432,tblScheduleData[OperationalDate],$C432,tblScheduleData[ShiftStart],$D432,tblScheduleData[ShiftEnd],$E432,tblScheduleData[ActivityCode],$F432)&gt;1,"Duplicate","Valid")))))</f>
        <v/>
      </c>
      <c r="K432" s="2" t="n"/>
    </row>
    <row r="433">
      <c r="A433" s="2" t="inlineStr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>
        <f>IF(COUNTA($A433:$F433)=0,"",IF($C433="","MissingDate",IF(OR($A433="",$D433="",$E433="",$D433=$E433),"InvalidSchedule",IF(COUNTIF(ActiveActivityCodes,$F433)=0,"InvalidCode",IF(COUNTIFS(tblScheduleData[EmployeeID],$A433,tblScheduleData[OperationalDate],$C433,tblScheduleData[ShiftStart],$D433,tblScheduleData[ShiftEnd],$E433,tblScheduleData[ActivityCode],$F433)&gt;1,"Duplicate","Valid")))))</f>
        <v/>
      </c>
      <c r="K433" s="2" t="n"/>
    </row>
    <row r="434">
      <c r="A434" s="2" t="inlineStr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>
        <f>IF(COUNTA($A434:$F434)=0,"",IF($C434="","MissingDate",IF(OR($A434="",$D434="",$E434="",$D434=$E434),"InvalidSchedule",IF(COUNTIF(ActiveActivityCodes,$F434)=0,"InvalidCode",IF(COUNTIFS(tblScheduleData[EmployeeID],$A434,tblScheduleData[OperationalDate],$C434,tblScheduleData[ShiftStart],$D434,tblScheduleData[ShiftEnd],$E434,tblScheduleData[ActivityCode],$F434)&gt;1,"Duplicate","Valid")))))</f>
        <v/>
      </c>
      <c r="K434" s="2" t="n"/>
    </row>
    <row r="435">
      <c r="A435" s="2" t="inlineStr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>
        <f>IF(COUNTA($A435:$F435)=0,"",IF($C435="","MissingDate",IF(OR($A435="",$D435="",$E435="",$D435=$E435),"InvalidSchedule",IF(COUNTIF(ActiveActivityCodes,$F435)=0,"InvalidCode",IF(COUNTIFS(tblScheduleData[EmployeeID],$A435,tblScheduleData[OperationalDate],$C435,tblScheduleData[ShiftStart],$D435,tblScheduleData[ShiftEnd],$E435,tblScheduleData[ActivityCode],$F435)&gt;1,"Duplicate","Valid")))))</f>
        <v/>
      </c>
      <c r="K435" s="2" t="n"/>
    </row>
    <row r="436">
      <c r="A436" s="2" t="inlineStr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>
        <f>IF(COUNTA($A436:$F436)=0,"",IF($C436="","MissingDate",IF(OR($A436="",$D436="",$E436="",$D436=$E436),"InvalidSchedule",IF(COUNTIF(ActiveActivityCodes,$F436)=0,"InvalidCode",IF(COUNTIFS(tblScheduleData[EmployeeID],$A436,tblScheduleData[OperationalDate],$C436,tblScheduleData[ShiftStart],$D436,tblScheduleData[ShiftEnd],$E436,tblScheduleData[ActivityCode],$F436)&gt;1,"Duplicate","Valid")))))</f>
        <v/>
      </c>
      <c r="K436" s="2" t="n"/>
    </row>
    <row r="437">
      <c r="A437" s="2" t="inlineStr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>
        <f>IF(COUNTA($A437:$F437)=0,"",IF($C437="","MissingDate",IF(OR($A437="",$D437="",$E437="",$D437=$E437),"InvalidSchedule",IF(COUNTIF(ActiveActivityCodes,$F437)=0,"InvalidCode",IF(COUNTIFS(tblScheduleData[EmployeeID],$A437,tblScheduleData[OperationalDate],$C437,tblScheduleData[ShiftStart],$D437,tblScheduleData[ShiftEnd],$E437,tblScheduleData[ActivityCode],$F437)&gt;1,"Duplicate","Valid")))))</f>
        <v/>
      </c>
      <c r="K437" s="2" t="n"/>
    </row>
    <row r="438">
      <c r="A438" s="2" t="inlineStr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>
        <f>IF(COUNTA($A438:$F438)=0,"",IF($C438="","MissingDate",IF(OR($A438="",$D438="",$E438="",$D438=$E438),"InvalidSchedule",IF(COUNTIF(ActiveActivityCodes,$F438)=0,"InvalidCode",IF(COUNTIFS(tblScheduleData[EmployeeID],$A438,tblScheduleData[OperationalDate],$C438,tblScheduleData[ShiftStart],$D438,tblScheduleData[ShiftEnd],$E438,tblScheduleData[ActivityCode],$F438)&gt;1,"Duplicate","Valid")))))</f>
        <v/>
      </c>
      <c r="K438" s="2" t="n"/>
    </row>
    <row r="439">
      <c r="A439" s="2" t="inlineStr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>
        <f>IF(COUNTA($A439:$F439)=0,"",IF($C439="","MissingDate",IF(OR($A439="",$D439="",$E439="",$D439=$E439),"InvalidSchedule",IF(COUNTIF(ActiveActivityCodes,$F439)=0,"InvalidCode",IF(COUNTIFS(tblScheduleData[EmployeeID],$A439,tblScheduleData[OperationalDate],$C439,tblScheduleData[ShiftStart],$D439,tblScheduleData[ShiftEnd],$E439,tblScheduleData[ActivityCode],$F439)&gt;1,"Duplicate","Valid")))))</f>
        <v/>
      </c>
      <c r="K439" s="2" t="n"/>
    </row>
    <row r="440">
      <c r="A440" s="2" t="inlineStr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>
        <f>IF(COUNTA($A440:$F440)=0,"",IF($C440="","MissingDate",IF(OR($A440="",$D440="",$E440="",$D440=$E440),"InvalidSchedule",IF(COUNTIF(ActiveActivityCodes,$F440)=0,"InvalidCode",IF(COUNTIFS(tblScheduleData[EmployeeID],$A440,tblScheduleData[OperationalDate],$C440,tblScheduleData[ShiftStart],$D440,tblScheduleData[ShiftEnd],$E440,tblScheduleData[ActivityCode],$F440)&gt;1,"Duplicate","Valid")))))</f>
        <v/>
      </c>
      <c r="K440" s="2" t="n"/>
    </row>
    <row r="441">
      <c r="A441" s="2" t="inlineStr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>
        <f>IF(COUNTA($A441:$F441)=0,"",IF($C441="","MissingDate",IF(OR($A441="",$D441="",$E441="",$D441=$E441),"InvalidSchedule",IF(COUNTIF(ActiveActivityCodes,$F441)=0,"InvalidCode",IF(COUNTIFS(tblScheduleData[EmployeeID],$A441,tblScheduleData[OperationalDate],$C441,tblScheduleData[ShiftStart],$D441,tblScheduleData[ShiftEnd],$E441,tblScheduleData[ActivityCode],$F441)&gt;1,"Duplicate","Valid")))))</f>
        <v/>
      </c>
      <c r="K441" s="2" t="n"/>
    </row>
    <row r="442">
      <c r="A442" s="2" t="inlineStr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>
        <f>IF(COUNTA($A442:$F442)=0,"",IF($C442="","MissingDate",IF(OR($A442="",$D442="",$E442="",$D442=$E442),"InvalidSchedule",IF(COUNTIF(ActiveActivityCodes,$F442)=0,"InvalidCode",IF(COUNTIFS(tblScheduleData[EmployeeID],$A442,tblScheduleData[OperationalDate],$C442,tblScheduleData[ShiftStart],$D442,tblScheduleData[ShiftEnd],$E442,tblScheduleData[ActivityCode],$F442)&gt;1,"Duplicate","Valid")))))</f>
        <v/>
      </c>
      <c r="K442" s="2" t="n"/>
    </row>
    <row r="443">
      <c r="A443" s="2" t="inlineStr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>
        <f>IF(COUNTA($A443:$F443)=0,"",IF($C443="","MissingDate",IF(OR($A443="",$D443="",$E443="",$D443=$E443),"InvalidSchedule",IF(COUNTIF(ActiveActivityCodes,$F443)=0,"InvalidCode",IF(COUNTIFS(tblScheduleData[EmployeeID],$A443,tblScheduleData[OperationalDate],$C443,tblScheduleData[ShiftStart],$D443,tblScheduleData[ShiftEnd],$E443,tblScheduleData[ActivityCode],$F443)&gt;1,"Duplicate","Valid")))))</f>
        <v/>
      </c>
      <c r="K443" s="2" t="n"/>
    </row>
    <row r="444">
      <c r="A444" s="2" t="inlineStr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>
        <f>IF(COUNTA($A444:$F444)=0,"",IF($C444="","MissingDate",IF(OR($A444="",$D444="",$E444="",$D444=$E444),"InvalidSchedule",IF(COUNTIF(ActiveActivityCodes,$F444)=0,"InvalidCode",IF(COUNTIFS(tblScheduleData[EmployeeID],$A444,tblScheduleData[OperationalDate],$C444,tblScheduleData[ShiftStart],$D444,tblScheduleData[ShiftEnd],$E444,tblScheduleData[ActivityCode],$F444)&gt;1,"Duplicate","Valid")))))</f>
        <v/>
      </c>
      <c r="K444" s="2" t="n"/>
    </row>
    <row r="445">
      <c r="A445" s="2" t="inlineStr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>
        <f>IF(COUNTA($A445:$F445)=0,"",IF($C445="","MissingDate",IF(OR($A445="",$D445="",$E445="",$D445=$E445),"InvalidSchedule",IF(COUNTIF(ActiveActivityCodes,$F445)=0,"InvalidCode",IF(COUNTIFS(tblScheduleData[EmployeeID],$A445,tblScheduleData[OperationalDate],$C445,tblScheduleData[ShiftStart],$D445,tblScheduleData[ShiftEnd],$E445,tblScheduleData[ActivityCode],$F445)&gt;1,"Duplicate","Valid")))))</f>
        <v/>
      </c>
      <c r="K445" s="2" t="n"/>
    </row>
    <row r="446">
      <c r="A446" s="2" t="inlineStr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>
        <f>IF(COUNTA($A446:$F446)=0,"",IF($C446="","MissingDate",IF(OR($A446="",$D446="",$E446="",$D446=$E446),"InvalidSchedule",IF(COUNTIF(ActiveActivityCodes,$F446)=0,"InvalidCode",IF(COUNTIFS(tblScheduleData[EmployeeID],$A446,tblScheduleData[OperationalDate],$C446,tblScheduleData[ShiftStart],$D446,tblScheduleData[ShiftEnd],$E446,tblScheduleData[ActivityCode],$F446)&gt;1,"Duplicate","Valid")))))</f>
        <v/>
      </c>
      <c r="K446" s="2" t="n"/>
    </row>
    <row r="447">
      <c r="A447" s="2" t="inlineStr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>
        <f>IF(COUNTA($A447:$F447)=0,"",IF($C447="","MissingDate",IF(OR($A447="",$D447="",$E447="",$D447=$E447),"InvalidSchedule",IF(COUNTIF(ActiveActivityCodes,$F447)=0,"InvalidCode",IF(COUNTIFS(tblScheduleData[EmployeeID],$A447,tblScheduleData[OperationalDate],$C447,tblScheduleData[ShiftStart],$D447,tblScheduleData[ShiftEnd],$E447,tblScheduleData[ActivityCode],$F447)&gt;1,"Duplicate","Valid")))))</f>
        <v/>
      </c>
      <c r="K447" s="2" t="n"/>
    </row>
    <row r="448">
      <c r="A448" s="2" t="inlineStr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>
        <f>IF(COUNTA($A448:$F448)=0,"",IF($C448="","MissingDate",IF(OR($A448="",$D448="",$E448="",$D448=$E448),"InvalidSchedule",IF(COUNTIF(ActiveActivityCodes,$F448)=0,"InvalidCode",IF(COUNTIFS(tblScheduleData[EmployeeID],$A448,tblScheduleData[OperationalDate],$C448,tblScheduleData[ShiftStart],$D448,tblScheduleData[ShiftEnd],$E448,tblScheduleData[ActivityCode],$F448)&gt;1,"Duplicate","Valid")))))</f>
        <v/>
      </c>
      <c r="K448" s="2" t="n"/>
    </row>
    <row r="449">
      <c r="A449" s="2" t="inlineStr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>
        <f>IF(COUNTA($A449:$F449)=0,"",IF($C449="","MissingDate",IF(OR($A449="",$D449="",$E449="",$D449=$E449),"InvalidSchedule",IF(COUNTIF(ActiveActivityCodes,$F449)=0,"InvalidCode",IF(COUNTIFS(tblScheduleData[EmployeeID],$A449,tblScheduleData[OperationalDate],$C449,tblScheduleData[ShiftStart],$D449,tblScheduleData[ShiftEnd],$E449,tblScheduleData[ActivityCode],$F449)&gt;1,"Duplicate","Valid")))))</f>
        <v/>
      </c>
      <c r="K449" s="2" t="n"/>
    </row>
    <row r="450">
      <c r="A450" s="2" t="inlineStr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>
        <f>IF(COUNTA($A450:$F450)=0,"",IF($C450="","MissingDate",IF(OR($A450="",$D450="",$E450="",$D450=$E450),"InvalidSchedule",IF(COUNTIF(ActiveActivityCodes,$F450)=0,"InvalidCode",IF(COUNTIFS(tblScheduleData[EmployeeID],$A450,tblScheduleData[OperationalDate],$C450,tblScheduleData[ShiftStart],$D450,tblScheduleData[ShiftEnd],$E450,tblScheduleData[ActivityCode],$F450)&gt;1,"Duplicate","Valid")))))</f>
        <v/>
      </c>
      <c r="K450" s="2" t="n"/>
    </row>
    <row r="451">
      <c r="A451" s="2" t="inlineStr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>
        <f>IF(COUNTA($A451:$F451)=0,"",IF($C451="","MissingDate",IF(OR($A451="",$D451="",$E451="",$D451=$E451),"InvalidSchedule",IF(COUNTIF(ActiveActivityCodes,$F451)=0,"InvalidCode",IF(COUNTIFS(tblScheduleData[EmployeeID],$A451,tblScheduleData[OperationalDate],$C451,tblScheduleData[ShiftStart],$D451,tblScheduleData[ShiftEnd],$E451,tblScheduleData[ActivityCode],$F451)&gt;1,"Duplicate","Valid")))))</f>
        <v/>
      </c>
      <c r="K451" s="2" t="n"/>
    </row>
    <row r="452">
      <c r="A452" s="2" t="inlineStr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>
        <f>IF(COUNTA($A452:$F452)=0,"",IF($C452="","MissingDate",IF(OR($A452="",$D452="",$E452="",$D452=$E452),"InvalidSchedule",IF(COUNTIF(ActiveActivityCodes,$F452)=0,"InvalidCode",IF(COUNTIFS(tblScheduleData[EmployeeID],$A452,tblScheduleData[OperationalDate],$C452,tblScheduleData[ShiftStart],$D452,tblScheduleData[ShiftEnd],$E452,tblScheduleData[ActivityCode],$F452)&gt;1,"Duplicate","Valid")))))</f>
        <v/>
      </c>
      <c r="K452" s="2" t="n"/>
    </row>
    <row r="453">
      <c r="A453" s="2" t="inlineStr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>
        <f>IF(COUNTA($A453:$F453)=0,"",IF($C453="","MissingDate",IF(OR($A453="",$D453="",$E453="",$D453=$E453),"InvalidSchedule",IF(COUNTIF(ActiveActivityCodes,$F453)=0,"InvalidCode",IF(COUNTIFS(tblScheduleData[EmployeeID],$A453,tblScheduleData[OperationalDate],$C453,tblScheduleData[ShiftStart],$D453,tblScheduleData[ShiftEnd],$E453,tblScheduleData[ActivityCode],$F453)&gt;1,"Duplicate","Valid")))))</f>
        <v/>
      </c>
      <c r="K453" s="2" t="n"/>
    </row>
    <row r="454">
      <c r="A454" s="2" t="inlineStr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>
        <f>IF(COUNTA($A454:$F454)=0,"",IF($C454="","MissingDate",IF(OR($A454="",$D454="",$E454="",$D454=$E454),"InvalidSchedule",IF(COUNTIF(ActiveActivityCodes,$F454)=0,"InvalidCode",IF(COUNTIFS(tblScheduleData[EmployeeID],$A454,tblScheduleData[OperationalDate],$C454,tblScheduleData[ShiftStart],$D454,tblScheduleData[ShiftEnd],$E454,tblScheduleData[ActivityCode],$F454)&gt;1,"Duplicate","Valid")))))</f>
        <v/>
      </c>
      <c r="K454" s="2" t="n"/>
    </row>
    <row r="455">
      <c r="A455" s="2" t="inlineStr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>
        <f>IF(COUNTA($A455:$F455)=0,"",IF($C455="","MissingDate",IF(OR($A455="",$D455="",$E455="",$D455=$E455),"InvalidSchedule",IF(COUNTIF(ActiveActivityCodes,$F455)=0,"InvalidCode",IF(COUNTIFS(tblScheduleData[EmployeeID],$A455,tblScheduleData[OperationalDate],$C455,tblScheduleData[ShiftStart],$D455,tblScheduleData[ShiftEnd],$E455,tblScheduleData[ActivityCode],$F455)&gt;1,"Duplicate","Valid")))))</f>
        <v/>
      </c>
      <c r="K455" s="2" t="n"/>
    </row>
    <row r="456">
      <c r="A456" s="2" t="inlineStr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>
        <f>IF(COUNTA($A456:$F456)=0,"",IF($C456="","MissingDate",IF(OR($A456="",$D456="",$E456="",$D456=$E456),"InvalidSchedule",IF(COUNTIF(ActiveActivityCodes,$F456)=0,"InvalidCode",IF(COUNTIFS(tblScheduleData[EmployeeID],$A456,tblScheduleData[OperationalDate],$C456,tblScheduleData[ShiftStart],$D456,tblScheduleData[ShiftEnd],$E456,tblScheduleData[ActivityCode],$F456)&gt;1,"Duplicate","Valid")))))</f>
        <v/>
      </c>
      <c r="K456" s="2" t="n"/>
    </row>
    <row r="457">
      <c r="A457" s="2" t="inlineStr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>
        <f>IF(COUNTA($A457:$F457)=0,"",IF($C457="","MissingDate",IF(OR($A457="",$D457="",$E457="",$D457=$E457),"InvalidSchedule",IF(COUNTIF(ActiveActivityCodes,$F457)=0,"InvalidCode",IF(COUNTIFS(tblScheduleData[EmployeeID],$A457,tblScheduleData[OperationalDate],$C457,tblScheduleData[ShiftStart],$D457,tblScheduleData[ShiftEnd],$E457,tblScheduleData[ActivityCode],$F457)&gt;1,"Duplicate","Valid")))))</f>
        <v/>
      </c>
      <c r="K457" s="2" t="n"/>
    </row>
    <row r="458">
      <c r="A458" s="2" t="inlineStr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>
        <f>IF(COUNTA($A458:$F458)=0,"",IF($C458="","MissingDate",IF(OR($A458="",$D458="",$E458="",$D458=$E458),"InvalidSchedule",IF(COUNTIF(ActiveActivityCodes,$F458)=0,"InvalidCode",IF(COUNTIFS(tblScheduleData[EmployeeID],$A458,tblScheduleData[OperationalDate],$C458,tblScheduleData[ShiftStart],$D458,tblScheduleData[ShiftEnd],$E458,tblScheduleData[ActivityCode],$F458)&gt;1,"Duplicate","Valid")))))</f>
        <v/>
      </c>
      <c r="K458" s="2" t="n"/>
    </row>
    <row r="459">
      <c r="A459" s="2" t="inlineStr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>
        <f>IF(COUNTA($A459:$F459)=0,"",IF($C459="","MissingDate",IF(OR($A459="",$D459="",$E459="",$D459=$E459),"InvalidSchedule",IF(COUNTIF(ActiveActivityCodes,$F459)=0,"InvalidCode",IF(COUNTIFS(tblScheduleData[EmployeeID],$A459,tblScheduleData[OperationalDate],$C459,tblScheduleData[ShiftStart],$D459,tblScheduleData[ShiftEnd],$E459,tblScheduleData[ActivityCode],$F459)&gt;1,"Duplicate","Valid")))))</f>
        <v/>
      </c>
      <c r="K459" s="2" t="n"/>
    </row>
    <row r="460">
      <c r="A460" s="2" t="inlineStr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>
        <f>IF(COUNTA($A460:$F460)=0,"",IF($C460="","MissingDate",IF(OR($A460="",$D460="",$E460="",$D460=$E460),"InvalidSchedule",IF(COUNTIF(ActiveActivityCodes,$F460)=0,"InvalidCode",IF(COUNTIFS(tblScheduleData[EmployeeID],$A460,tblScheduleData[OperationalDate],$C460,tblScheduleData[ShiftStart],$D460,tblScheduleData[ShiftEnd],$E460,tblScheduleData[ActivityCode],$F460)&gt;1,"Duplicate","Valid")))))</f>
        <v/>
      </c>
      <c r="K460" s="2" t="n"/>
    </row>
    <row r="461">
      <c r="A461" s="2" t="inlineStr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>
        <f>IF(COUNTA($A461:$F461)=0,"",IF($C461="","MissingDate",IF(OR($A461="",$D461="",$E461="",$D461=$E461),"InvalidSchedule",IF(COUNTIF(ActiveActivityCodes,$F461)=0,"InvalidCode",IF(COUNTIFS(tblScheduleData[EmployeeID],$A461,tblScheduleData[OperationalDate],$C461,tblScheduleData[ShiftStart],$D461,tblScheduleData[ShiftEnd],$E461,tblScheduleData[ActivityCode],$F461)&gt;1,"Duplicate","Valid")))))</f>
        <v/>
      </c>
      <c r="K461" s="2" t="n"/>
    </row>
    <row r="462">
      <c r="A462" s="2" t="inlineStr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>
        <f>IF(COUNTA($A462:$F462)=0,"",IF($C462="","MissingDate",IF(OR($A462="",$D462="",$E462="",$D462=$E462),"InvalidSchedule",IF(COUNTIF(ActiveActivityCodes,$F462)=0,"InvalidCode",IF(COUNTIFS(tblScheduleData[EmployeeID],$A462,tblScheduleData[OperationalDate],$C462,tblScheduleData[ShiftStart],$D462,tblScheduleData[ShiftEnd],$E462,tblScheduleData[ActivityCode],$F462)&gt;1,"Duplicate","Valid")))))</f>
        <v/>
      </c>
      <c r="K462" s="2" t="n"/>
    </row>
    <row r="463">
      <c r="A463" s="2" t="inlineStr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>
        <f>IF(COUNTA($A463:$F463)=0,"",IF($C463="","MissingDate",IF(OR($A463="",$D463="",$E463="",$D463=$E463),"InvalidSchedule",IF(COUNTIF(ActiveActivityCodes,$F463)=0,"InvalidCode",IF(COUNTIFS(tblScheduleData[EmployeeID],$A463,tblScheduleData[OperationalDate],$C463,tblScheduleData[ShiftStart],$D463,tblScheduleData[ShiftEnd],$E463,tblScheduleData[ActivityCode],$F463)&gt;1,"Duplicate","Valid")))))</f>
        <v/>
      </c>
      <c r="K463" s="2" t="n"/>
    </row>
    <row r="464">
      <c r="A464" s="2" t="inlineStr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>
        <f>IF(COUNTA($A464:$F464)=0,"",IF($C464="","MissingDate",IF(OR($A464="",$D464="",$E464="",$D464=$E464),"InvalidSchedule",IF(COUNTIF(ActiveActivityCodes,$F464)=0,"InvalidCode",IF(COUNTIFS(tblScheduleData[EmployeeID],$A464,tblScheduleData[OperationalDate],$C464,tblScheduleData[ShiftStart],$D464,tblScheduleData[ShiftEnd],$E464,tblScheduleData[ActivityCode],$F464)&gt;1,"Duplicate","Valid")))))</f>
        <v/>
      </c>
      <c r="K464" s="2" t="n"/>
    </row>
    <row r="465">
      <c r="A465" s="2" t="inlineStr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>
        <f>IF(COUNTA($A465:$F465)=0,"",IF($C465="","MissingDate",IF(OR($A465="",$D465="",$E465="",$D465=$E465),"InvalidSchedule",IF(COUNTIF(ActiveActivityCodes,$F465)=0,"InvalidCode",IF(COUNTIFS(tblScheduleData[EmployeeID],$A465,tblScheduleData[OperationalDate],$C465,tblScheduleData[ShiftStart],$D465,tblScheduleData[ShiftEnd],$E465,tblScheduleData[ActivityCode],$F465)&gt;1,"Duplicate","Valid")))))</f>
        <v/>
      </c>
      <c r="K465" s="2" t="n"/>
    </row>
    <row r="466">
      <c r="A466" s="2" t="inlineStr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>
        <f>IF(COUNTA($A466:$F466)=0,"",IF($C466="","MissingDate",IF(OR($A466="",$D466="",$E466="",$D466=$E466),"InvalidSchedule",IF(COUNTIF(ActiveActivityCodes,$F466)=0,"InvalidCode",IF(COUNTIFS(tblScheduleData[EmployeeID],$A466,tblScheduleData[OperationalDate],$C466,tblScheduleData[ShiftStart],$D466,tblScheduleData[ShiftEnd],$E466,tblScheduleData[ActivityCode],$F466)&gt;1,"Duplicate","Valid")))))</f>
        <v/>
      </c>
      <c r="K466" s="2" t="n"/>
    </row>
    <row r="467">
      <c r="A467" s="2" t="inlineStr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>
        <f>IF(COUNTA($A467:$F467)=0,"",IF($C467="","MissingDate",IF(OR($A467="",$D467="",$E467="",$D467=$E467),"InvalidSchedule",IF(COUNTIF(ActiveActivityCodes,$F467)=0,"InvalidCode",IF(COUNTIFS(tblScheduleData[EmployeeID],$A467,tblScheduleData[OperationalDate],$C467,tblScheduleData[ShiftStart],$D467,tblScheduleData[ShiftEnd],$E467,tblScheduleData[ActivityCode],$F467)&gt;1,"Duplicate","Valid")))))</f>
        <v/>
      </c>
      <c r="K467" s="2" t="n"/>
    </row>
    <row r="468">
      <c r="A468" s="2" t="inlineStr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>
        <f>IF(COUNTA($A468:$F468)=0,"",IF($C468="","MissingDate",IF(OR($A468="",$D468="",$E468="",$D468=$E468),"InvalidSchedule",IF(COUNTIF(ActiveActivityCodes,$F468)=0,"InvalidCode",IF(COUNTIFS(tblScheduleData[EmployeeID],$A468,tblScheduleData[OperationalDate],$C468,tblScheduleData[ShiftStart],$D468,tblScheduleData[ShiftEnd],$E468,tblScheduleData[ActivityCode],$F468)&gt;1,"Duplicate","Valid")))))</f>
        <v/>
      </c>
      <c r="K468" s="2" t="n"/>
    </row>
    <row r="469">
      <c r="A469" s="2" t="inlineStr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>
        <f>IF(COUNTA($A469:$F469)=0,"",IF($C469="","MissingDate",IF(OR($A469="",$D469="",$E469="",$D469=$E469),"InvalidSchedule",IF(COUNTIF(ActiveActivityCodes,$F469)=0,"InvalidCode",IF(COUNTIFS(tblScheduleData[EmployeeID],$A469,tblScheduleData[OperationalDate],$C469,tblScheduleData[ShiftStart],$D469,tblScheduleData[ShiftEnd],$E469,tblScheduleData[ActivityCode],$F469)&gt;1,"Duplicate","Valid")))))</f>
        <v/>
      </c>
      <c r="K469" s="2" t="n"/>
    </row>
    <row r="470">
      <c r="A470" s="2" t="inlineStr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>
        <f>IF(COUNTA($A470:$F470)=0,"",IF($C470="","MissingDate",IF(OR($A470="",$D470="",$E470="",$D470=$E470),"InvalidSchedule",IF(COUNTIF(ActiveActivityCodes,$F470)=0,"InvalidCode",IF(COUNTIFS(tblScheduleData[EmployeeID],$A470,tblScheduleData[OperationalDate],$C470,tblScheduleData[ShiftStart],$D470,tblScheduleData[ShiftEnd],$E470,tblScheduleData[ActivityCode],$F470)&gt;1,"Duplicate","Valid")))))</f>
        <v/>
      </c>
      <c r="K470" s="2" t="n"/>
    </row>
    <row r="471">
      <c r="A471" s="2" t="inlineStr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>
        <f>IF(COUNTA($A471:$F471)=0,"",IF($C471="","MissingDate",IF(OR($A471="",$D471="",$E471="",$D471=$E471),"InvalidSchedule",IF(COUNTIF(ActiveActivityCodes,$F471)=0,"InvalidCode",IF(COUNTIFS(tblScheduleData[EmployeeID],$A471,tblScheduleData[OperationalDate],$C471,tblScheduleData[ShiftStart],$D471,tblScheduleData[ShiftEnd],$E471,tblScheduleData[ActivityCode],$F471)&gt;1,"Duplicate","Valid")))))</f>
        <v/>
      </c>
      <c r="K471" s="2" t="n"/>
    </row>
    <row r="472">
      <c r="A472" s="2" t="inlineStr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>
        <f>IF(COUNTA($A472:$F472)=0,"",IF($C472="","MissingDate",IF(OR($A472="",$D472="",$E472="",$D472=$E472),"InvalidSchedule",IF(COUNTIF(ActiveActivityCodes,$F472)=0,"InvalidCode",IF(COUNTIFS(tblScheduleData[EmployeeID],$A472,tblScheduleData[OperationalDate],$C472,tblScheduleData[ShiftStart],$D472,tblScheduleData[ShiftEnd],$E472,tblScheduleData[ActivityCode],$F472)&gt;1,"Duplicate","Valid")))))</f>
        <v/>
      </c>
      <c r="K472" s="2" t="n"/>
    </row>
    <row r="473">
      <c r="A473" s="2" t="inlineStr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>
        <f>IF(COUNTA($A473:$F473)=0,"",IF($C473="","MissingDate",IF(OR($A473="",$D473="",$E473="",$D473=$E473),"InvalidSchedule",IF(COUNTIF(ActiveActivityCodes,$F473)=0,"InvalidCode",IF(COUNTIFS(tblScheduleData[EmployeeID],$A473,tblScheduleData[OperationalDate],$C473,tblScheduleData[ShiftStart],$D473,tblScheduleData[ShiftEnd],$E473,tblScheduleData[ActivityCode],$F473)&gt;1,"Duplicate","Valid")))))</f>
        <v/>
      </c>
      <c r="K473" s="2" t="n"/>
    </row>
    <row r="474">
      <c r="A474" s="2" t="inlineStr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>
        <f>IF(COUNTA($A474:$F474)=0,"",IF($C474="","MissingDate",IF(OR($A474="",$D474="",$E474="",$D474=$E474),"InvalidSchedule",IF(COUNTIF(ActiveActivityCodes,$F474)=0,"InvalidCode",IF(COUNTIFS(tblScheduleData[EmployeeID],$A474,tblScheduleData[OperationalDate],$C474,tblScheduleData[ShiftStart],$D474,tblScheduleData[ShiftEnd],$E474,tblScheduleData[ActivityCode],$F474)&gt;1,"Duplicate","Valid")))))</f>
        <v/>
      </c>
      <c r="K474" s="2" t="n"/>
    </row>
    <row r="475">
      <c r="A475" s="2" t="inlineStr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>
        <f>IF(COUNTA($A475:$F475)=0,"",IF($C475="","MissingDate",IF(OR($A475="",$D475="",$E475="",$D475=$E475),"InvalidSchedule",IF(COUNTIF(ActiveActivityCodes,$F475)=0,"InvalidCode",IF(COUNTIFS(tblScheduleData[EmployeeID],$A475,tblScheduleData[OperationalDate],$C475,tblScheduleData[ShiftStart],$D475,tblScheduleData[ShiftEnd],$E475,tblScheduleData[ActivityCode],$F475)&gt;1,"Duplicate","Valid")))))</f>
        <v/>
      </c>
      <c r="K475" s="2" t="n"/>
    </row>
    <row r="476">
      <c r="A476" s="2" t="inlineStr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>
        <f>IF(COUNTA($A476:$F476)=0,"",IF($C476="","MissingDate",IF(OR($A476="",$D476="",$E476="",$D476=$E476),"InvalidSchedule",IF(COUNTIF(ActiveActivityCodes,$F476)=0,"InvalidCode",IF(COUNTIFS(tblScheduleData[EmployeeID],$A476,tblScheduleData[OperationalDate],$C476,tblScheduleData[ShiftStart],$D476,tblScheduleData[ShiftEnd],$E476,tblScheduleData[ActivityCode],$F476)&gt;1,"Duplicate","Valid")))))</f>
        <v/>
      </c>
      <c r="K476" s="2" t="n"/>
    </row>
    <row r="477">
      <c r="A477" s="2" t="inlineStr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>
        <f>IF(COUNTA($A477:$F477)=0,"",IF($C477="","MissingDate",IF(OR($A477="",$D477="",$E477="",$D477=$E477),"InvalidSchedule",IF(COUNTIF(ActiveActivityCodes,$F477)=0,"InvalidCode",IF(COUNTIFS(tblScheduleData[EmployeeID],$A477,tblScheduleData[OperationalDate],$C477,tblScheduleData[ShiftStart],$D477,tblScheduleData[ShiftEnd],$E477,tblScheduleData[ActivityCode],$F477)&gt;1,"Duplicate","Valid")))))</f>
        <v/>
      </c>
      <c r="K477" s="2" t="n"/>
    </row>
    <row r="478">
      <c r="A478" s="2" t="inlineStr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>
        <f>IF(COUNTA($A478:$F478)=0,"",IF($C478="","MissingDate",IF(OR($A478="",$D478="",$E478="",$D478=$E478),"InvalidSchedule",IF(COUNTIF(ActiveActivityCodes,$F478)=0,"InvalidCode",IF(COUNTIFS(tblScheduleData[EmployeeID],$A478,tblScheduleData[OperationalDate],$C478,tblScheduleData[ShiftStart],$D478,tblScheduleData[ShiftEnd],$E478,tblScheduleData[ActivityCode],$F478)&gt;1,"Duplicate","Valid")))))</f>
        <v/>
      </c>
      <c r="K478" s="2" t="n"/>
    </row>
    <row r="479">
      <c r="A479" s="2" t="inlineStr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>
        <f>IF(COUNTA($A479:$F479)=0,"",IF($C479="","MissingDate",IF(OR($A479="",$D479="",$E479="",$D479=$E479),"InvalidSchedule",IF(COUNTIF(ActiveActivityCodes,$F479)=0,"InvalidCode",IF(COUNTIFS(tblScheduleData[EmployeeID],$A479,tblScheduleData[OperationalDate],$C479,tblScheduleData[ShiftStart],$D479,tblScheduleData[ShiftEnd],$E479,tblScheduleData[ActivityCode],$F479)&gt;1,"Duplicate","Valid")))))</f>
        <v/>
      </c>
      <c r="K479" s="2" t="n"/>
    </row>
    <row r="480">
      <c r="A480" s="2" t="inlineStr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>
        <f>IF(COUNTA($A480:$F480)=0,"",IF($C480="","MissingDate",IF(OR($A480="",$D480="",$E480="",$D480=$E480),"InvalidSchedule",IF(COUNTIF(ActiveActivityCodes,$F480)=0,"InvalidCode",IF(COUNTIFS(tblScheduleData[EmployeeID],$A480,tblScheduleData[OperationalDate],$C480,tblScheduleData[ShiftStart],$D480,tblScheduleData[ShiftEnd],$E480,tblScheduleData[ActivityCode],$F480)&gt;1,"Duplicate","Valid")))))</f>
        <v/>
      </c>
      <c r="K480" s="2" t="n"/>
    </row>
    <row r="481">
      <c r="A481" s="2" t="inlineStr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>
        <f>IF(COUNTA($A481:$F481)=0,"",IF($C481="","MissingDate",IF(OR($A481="",$D481="",$E481="",$D481=$E481),"InvalidSchedule",IF(COUNTIF(ActiveActivityCodes,$F481)=0,"InvalidCode",IF(COUNTIFS(tblScheduleData[EmployeeID],$A481,tblScheduleData[OperationalDate],$C481,tblScheduleData[ShiftStart],$D481,tblScheduleData[ShiftEnd],$E481,tblScheduleData[ActivityCode],$F481)&gt;1,"Duplicate","Valid")))))</f>
        <v/>
      </c>
      <c r="K481" s="2" t="n"/>
    </row>
    <row r="482">
      <c r="A482" s="2" t="inlineStr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>
        <f>IF(COUNTA($A482:$F482)=0,"",IF($C482="","MissingDate",IF(OR($A482="",$D482="",$E482="",$D482=$E482),"InvalidSchedule",IF(COUNTIF(ActiveActivityCodes,$F482)=0,"InvalidCode",IF(COUNTIFS(tblScheduleData[EmployeeID],$A482,tblScheduleData[OperationalDate],$C482,tblScheduleData[ShiftStart],$D482,tblScheduleData[ShiftEnd],$E482,tblScheduleData[ActivityCode],$F482)&gt;1,"Duplicate","Valid")))))</f>
        <v/>
      </c>
      <c r="K482" s="2" t="n"/>
    </row>
    <row r="483">
      <c r="A483" s="2" t="inlineStr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>
        <f>IF(COUNTA($A483:$F483)=0,"",IF($C483="","MissingDate",IF(OR($A483="",$D483="",$E483="",$D483=$E483),"InvalidSchedule",IF(COUNTIF(ActiveActivityCodes,$F483)=0,"InvalidCode",IF(COUNTIFS(tblScheduleData[EmployeeID],$A483,tblScheduleData[OperationalDate],$C483,tblScheduleData[ShiftStart],$D483,tblScheduleData[ShiftEnd],$E483,tblScheduleData[ActivityCode],$F483)&gt;1,"Duplicate","Valid")))))</f>
        <v/>
      </c>
      <c r="K483" s="2" t="n"/>
    </row>
    <row r="484">
      <c r="A484" s="2" t="inlineStr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>
        <f>IF(COUNTA($A484:$F484)=0,"",IF($C484="","MissingDate",IF(OR($A484="",$D484="",$E484="",$D484=$E484),"InvalidSchedule",IF(COUNTIF(ActiveActivityCodes,$F484)=0,"InvalidCode",IF(COUNTIFS(tblScheduleData[EmployeeID],$A484,tblScheduleData[OperationalDate],$C484,tblScheduleData[ShiftStart],$D484,tblScheduleData[ShiftEnd],$E484,tblScheduleData[ActivityCode],$F484)&gt;1,"Duplicate","Valid")))))</f>
        <v/>
      </c>
      <c r="K484" s="2" t="n"/>
    </row>
    <row r="485">
      <c r="A485" s="2" t="inlineStr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>
        <f>IF(COUNTA($A485:$F485)=0,"",IF($C485="","MissingDate",IF(OR($A485="",$D485="",$E485="",$D485=$E485),"InvalidSchedule",IF(COUNTIF(ActiveActivityCodes,$F485)=0,"InvalidCode",IF(COUNTIFS(tblScheduleData[EmployeeID],$A485,tblScheduleData[OperationalDate],$C485,tblScheduleData[ShiftStart],$D485,tblScheduleData[ShiftEnd],$E485,tblScheduleData[ActivityCode],$F485)&gt;1,"Duplicate","Valid")))))</f>
        <v/>
      </c>
      <c r="K485" s="2" t="n"/>
    </row>
    <row r="486">
      <c r="A486" s="2" t="inlineStr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>
        <f>IF(COUNTA($A486:$F486)=0,"",IF($C486="","MissingDate",IF(OR($A486="",$D486="",$E486="",$D486=$E486),"InvalidSchedule",IF(COUNTIF(ActiveActivityCodes,$F486)=0,"InvalidCode",IF(COUNTIFS(tblScheduleData[EmployeeID],$A486,tblScheduleData[OperationalDate],$C486,tblScheduleData[ShiftStart],$D486,tblScheduleData[ShiftEnd],$E486,tblScheduleData[ActivityCode],$F486)&gt;1,"Duplicate","Valid")))))</f>
        <v/>
      </c>
      <c r="K486" s="2" t="n"/>
    </row>
    <row r="487">
      <c r="A487" s="2" t="inlineStr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>
        <f>IF(COUNTA($A487:$F487)=0,"",IF($C487="","MissingDate",IF(OR($A487="",$D487="",$E487="",$D487=$E487),"InvalidSchedule",IF(COUNTIF(ActiveActivityCodes,$F487)=0,"InvalidCode",IF(COUNTIFS(tblScheduleData[EmployeeID],$A487,tblScheduleData[OperationalDate],$C487,tblScheduleData[ShiftStart],$D487,tblScheduleData[ShiftEnd],$E487,tblScheduleData[ActivityCode],$F487)&gt;1,"Duplicate","Valid")))))</f>
        <v/>
      </c>
      <c r="K487" s="2" t="n"/>
    </row>
    <row r="488">
      <c r="A488" s="2" t="inlineStr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>
        <f>IF(COUNTA($A488:$F488)=0,"",IF($C488="","MissingDate",IF(OR($A488="",$D488="",$E488="",$D488=$E488),"InvalidSchedule",IF(COUNTIF(ActiveActivityCodes,$F488)=0,"InvalidCode",IF(COUNTIFS(tblScheduleData[EmployeeID],$A488,tblScheduleData[OperationalDate],$C488,tblScheduleData[ShiftStart],$D488,tblScheduleData[ShiftEnd],$E488,tblScheduleData[ActivityCode],$F488)&gt;1,"Duplicate","Valid")))))</f>
        <v/>
      </c>
      <c r="K488" s="2" t="n"/>
    </row>
    <row r="489">
      <c r="A489" s="2" t="inlineStr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>
        <f>IF(COUNTA($A489:$F489)=0,"",IF($C489="","MissingDate",IF(OR($A489="",$D489="",$E489="",$D489=$E489),"InvalidSchedule",IF(COUNTIF(ActiveActivityCodes,$F489)=0,"InvalidCode",IF(COUNTIFS(tblScheduleData[EmployeeID],$A489,tblScheduleData[OperationalDate],$C489,tblScheduleData[ShiftStart],$D489,tblScheduleData[ShiftEnd],$E489,tblScheduleData[ActivityCode],$F489)&gt;1,"Duplicate","Valid")))))</f>
        <v/>
      </c>
      <c r="K489" s="2" t="n"/>
    </row>
    <row r="490">
      <c r="A490" s="2" t="inlineStr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>
        <f>IF(COUNTA($A490:$F490)=0,"",IF($C490="","MissingDate",IF(OR($A490="",$D490="",$E490="",$D490=$E490),"InvalidSchedule",IF(COUNTIF(ActiveActivityCodes,$F490)=0,"InvalidCode",IF(COUNTIFS(tblScheduleData[EmployeeID],$A490,tblScheduleData[OperationalDate],$C490,tblScheduleData[ShiftStart],$D490,tblScheduleData[ShiftEnd],$E490,tblScheduleData[ActivityCode],$F490)&gt;1,"Duplicate","Valid")))))</f>
        <v/>
      </c>
      <c r="K490" s="2" t="n"/>
    </row>
    <row r="491">
      <c r="A491" s="2" t="inlineStr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>
        <f>IF(COUNTA($A491:$F491)=0,"",IF($C491="","MissingDate",IF(OR($A491="",$D491="",$E491="",$D491=$E491),"InvalidSchedule",IF(COUNTIF(ActiveActivityCodes,$F491)=0,"InvalidCode",IF(COUNTIFS(tblScheduleData[EmployeeID],$A491,tblScheduleData[OperationalDate],$C491,tblScheduleData[ShiftStart],$D491,tblScheduleData[ShiftEnd],$E491,tblScheduleData[ActivityCode],$F491)&gt;1,"Duplicate","Valid")))))</f>
        <v/>
      </c>
      <c r="K491" s="2" t="n"/>
    </row>
    <row r="492">
      <c r="A492" s="2" t="inlineStr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>
        <f>IF(COUNTA($A492:$F492)=0,"",IF($C492="","MissingDate",IF(OR($A492="",$D492="",$E492="",$D492=$E492),"InvalidSchedule",IF(COUNTIF(ActiveActivityCodes,$F492)=0,"InvalidCode",IF(COUNTIFS(tblScheduleData[EmployeeID],$A492,tblScheduleData[OperationalDate],$C492,tblScheduleData[ShiftStart],$D492,tblScheduleData[ShiftEnd],$E492,tblScheduleData[ActivityCode],$F492)&gt;1,"Duplicate","Valid")))))</f>
        <v/>
      </c>
      <c r="K492" s="2" t="n"/>
    </row>
    <row r="493">
      <c r="A493" s="2" t="inlineStr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>
        <f>IF(COUNTA($A493:$F493)=0,"",IF($C493="","MissingDate",IF(OR($A493="",$D493="",$E493="",$D493=$E493),"InvalidSchedule",IF(COUNTIF(ActiveActivityCodes,$F493)=0,"InvalidCode",IF(COUNTIFS(tblScheduleData[EmployeeID],$A493,tblScheduleData[OperationalDate],$C493,tblScheduleData[ShiftStart],$D493,tblScheduleData[ShiftEnd],$E493,tblScheduleData[ActivityCode],$F493)&gt;1,"Duplicate","Valid")))))</f>
        <v/>
      </c>
      <c r="K493" s="2" t="n"/>
    </row>
    <row r="494">
      <c r="A494" s="2" t="inlineStr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>
        <f>IF(COUNTA($A494:$F494)=0,"",IF($C494="","MissingDate",IF(OR($A494="",$D494="",$E494="",$D494=$E494),"InvalidSchedule",IF(COUNTIF(ActiveActivityCodes,$F494)=0,"InvalidCode",IF(COUNTIFS(tblScheduleData[EmployeeID],$A494,tblScheduleData[OperationalDate],$C494,tblScheduleData[ShiftStart],$D494,tblScheduleData[ShiftEnd],$E494,tblScheduleData[ActivityCode],$F494)&gt;1,"Duplicate","Valid")))))</f>
        <v/>
      </c>
      <c r="K494" s="2" t="n"/>
    </row>
    <row r="495">
      <c r="A495" s="2" t="inlineStr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>
        <f>IF(COUNTA($A495:$F495)=0,"",IF($C495="","MissingDate",IF(OR($A495="",$D495="",$E495="",$D495=$E495),"InvalidSchedule",IF(COUNTIF(ActiveActivityCodes,$F495)=0,"InvalidCode",IF(COUNTIFS(tblScheduleData[EmployeeID],$A495,tblScheduleData[OperationalDate],$C495,tblScheduleData[ShiftStart],$D495,tblScheduleData[ShiftEnd],$E495,tblScheduleData[ActivityCode],$F495)&gt;1,"Duplicate","Valid")))))</f>
        <v/>
      </c>
      <c r="K495" s="2" t="n"/>
    </row>
    <row r="496">
      <c r="A496" s="2" t="inlineStr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>
        <f>IF(COUNTA($A496:$F496)=0,"",IF($C496="","MissingDate",IF(OR($A496="",$D496="",$E496="",$D496=$E496),"InvalidSchedule",IF(COUNTIF(ActiveActivityCodes,$F496)=0,"InvalidCode",IF(COUNTIFS(tblScheduleData[EmployeeID],$A496,tblScheduleData[OperationalDate],$C496,tblScheduleData[ShiftStart],$D496,tblScheduleData[ShiftEnd],$E496,tblScheduleData[ActivityCode],$F496)&gt;1,"Duplicate","Valid")))))</f>
        <v/>
      </c>
      <c r="K496" s="2" t="n"/>
    </row>
    <row r="497">
      <c r="A497" s="2" t="inlineStr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>
        <f>IF(COUNTA($A497:$F497)=0,"",IF($C497="","MissingDate",IF(OR($A497="",$D497="",$E497="",$D497=$E497),"InvalidSchedule",IF(COUNTIF(ActiveActivityCodes,$F497)=0,"InvalidCode",IF(COUNTIFS(tblScheduleData[EmployeeID],$A497,tblScheduleData[OperationalDate],$C497,tblScheduleData[ShiftStart],$D497,tblScheduleData[ShiftEnd],$E497,tblScheduleData[ActivityCode],$F497)&gt;1,"Duplicate","Valid")))))</f>
        <v/>
      </c>
      <c r="K497" s="2" t="n"/>
    </row>
    <row r="498">
      <c r="A498" s="2" t="inlineStr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>
        <f>IF(COUNTA($A498:$F498)=0,"",IF($C498="","MissingDate",IF(OR($A498="",$D498="",$E498="",$D498=$E498),"InvalidSchedule",IF(COUNTIF(ActiveActivityCodes,$F498)=0,"InvalidCode",IF(COUNTIFS(tblScheduleData[EmployeeID],$A498,tblScheduleData[OperationalDate],$C498,tblScheduleData[ShiftStart],$D498,tblScheduleData[ShiftEnd],$E498,tblScheduleData[ActivityCode],$F498)&gt;1,"Duplicate","Valid")))))</f>
        <v/>
      </c>
      <c r="K498" s="2" t="n"/>
    </row>
    <row r="499">
      <c r="A499" s="2" t="inlineStr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>
        <f>IF(COUNTA($A499:$F499)=0,"",IF($C499="","MissingDate",IF(OR($A499="",$D499="",$E499="",$D499=$E499),"InvalidSchedule",IF(COUNTIF(ActiveActivityCodes,$F499)=0,"InvalidCode",IF(COUNTIFS(tblScheduleData[EmployeeID],$A499,tblScheduleData[OperationalDate],$C499,tblScheduleData[ShiftStart],$D499,tblScheduleData[ShiftEnd],$E499,tblScheduleData[ActivityCode],$F499)&gt;1,"Duplicate","Valid")))))</f>
        <v/>
      </c>
      <c r="K499" s="2" t="n"/>
    </row>
    <row r="500">
      <c r="A500" s="2" t="inlineStr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>
        <f>IF(COUNTA($A500:$F500)=0,"",IF($C500="","MissingDate",IF(OR($A500="",$D500="",$E500="",$D500=$E500),"InvalidSchedule",IF(COUNTIF(ActiveActivityCodes,$F500)=0,"InvalidCode",IF(COUNTIFS(tblScheduleData[EmployeeID],$A500,tblScheduleData[OperationalDate],$C500,tblScheduleData[ShiftStart],$D500,tblScheduleData[ShiftEnd],$E500,tblScheduleData[ActivityCode],$F500)&gt;1,"Duplicate","Valid")))))</f>
        <v/>
      </c>
      <c r="K500" s="2" t="n"/>
    </row>
    <row r="501">
      <c r="A501" s="2" t="inlineStr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>
        <f>IF(COUNTA($A501:$F501)=0,"",IF($C501="","MissingDate",IF(OR($A501="",$D501="",$E501="",$D501=$E501),"InvalidSchedule",IF(COUNTIF(ActiveActivityCodes,$F501)=0,"InvalidCode",IF(COUNTIFS(tblScheduleData[EmployeeID],$A501,tblScheduleData[OperationalDate],$C501,tblScheduleData[ShiftStart],$D501,tblScheduleData[ShiftEnd],$E501,tblScheduleData[ActivityCode],$F501)&gt;1,"Duplicate","Valid")))))</f>
        <v/>
      </c>
      <c r="K501" s="2" t="n"/>
    </row>
    <row r="502">
      <c r="A502" s="2" t="inlineStr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>
        <f>IF(COUNTA($A502:$F502)=0,"",IF($C502="","MissingDate",IF(OR($A502="",$D502="",$E502="",$D502=$E502),"InvalidSchedule",IF(COUNTIF(ActiveActivityCodes,$F502)=0,"InvalidCode",IF(COUNTIFS(tblScheduleData[EmployeeID],$A502,tblScheduleData[OperationalDate],$C502,tblScheduleData[ShiftStart],$D502,tblScheduleData[ShiftEnd],$E502,tblScheduleData[ActivityCode],$F502)&gt;1,"Duplicate","Valid")))))</f>
        <v/>
      </c>
      <c r="K502" s="2" t="n"/>
    </row>
    <row r="503">
      <c r="A503" s="2" t="inlineStr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>
        <f>IF(COUNTA($A503:$F503)=0,"",IF($C503="","MissingDate",IF(OR($A503="",$D503="",$E503="",$D503=$E503),"InvalidSchedule",IF(COUNTIF(ActiveActivityCodes,$F503)=0,"InvalidCode",IF(COUNTIFS(tblScheduleData[EmployeeID],$A503,tblScheduleData[OperationalDate],$C503,tblScheduleData[ShiftStart],$D503,tblScheduleData[ShiftEnd],$E503,tblScheduleData[ActivityCode],$F503)&gt;1,"Duplicate","Valid")))))</f>
        <v/>
      </c>
      <c r="K503" s="2" t="n"/>
    </row>
    <row r="504">
      <c r="A504" s="2" t="inlineStr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>
        <f>IF(COUNTA($A504:$F504)=0,"",IF($C504="","MissingDate",IF(OR($A504="",$D504="",$E504="",$D504=$E504),"InvalidSchedule",IF(COUNTIF(ActiveActivityCodes,$F504)=0,"InvalidCode",IF(COUNTIFS(tblScheduleData[EmployeeID],$A504,tblScheduleData[OperationalDate],$C504,tblScheduleData[ShiftStart],$D504,tblScheduleData[ShiftEnd],$E504,tblScheduleData[ActivityCode],$F504)&gt;1,"Duplicate","Valid")))))</f>
        <v/>
      </c>
      <c r="K504" s="2" t="n"/>
    </row>
    <row r="505">
      <c r="A505" s="2" t="inlineStr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>
        <f>IF(COUNTA($A505:$F505)=0,"",IF($C505="","MissingDate",IF(OR($A505="",$D505="",$E505="",$D505=$E505),"InvalidSchedule",IF(COUNTIF(ActiveActivityCodes,$F505)=0,"InvalidCode",IF(COUNTIFS(tblScheduleData[EmployeeID],$A505,tblScheduleData[OperationalDate],$C505,tblScheduleData[ShiftStart],$D505,tblScheduleData[ShiftEnd],$E505,tblScheduleData[ActivityCode],$F505)&gt;1,"Duplicate","Valid")))))</f>
        <v/>
      </c>
      <c r="K505" s="2" t="n"/>
    </row>
    <row r="506">
      <c r="A506" s="2" t="inlineStr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>
        <f>IF(COUNTA($A506:$F506)=0,"",IF($C506="","MissingDate",IF(OR($A506="",$D506="",$E506="",$D506=$E506),"InvalidSchedule",IF(COUNTIF(ActiveActivityCodes,$F506)=0,"InvalidCode",IF(COUNTIFS(tblScheduleData[EmployeeID],$A506,tblScheduleData[OperationalDate],$C506,tblScheduleData[ShiftStart],$D506,tblScheduleData[ShiftEnd],$E506,tblScheduleData[ActivityCode],$F506)&gt;1,"Duplicate","Valid")))))</f>
        <v/>
      </c>
      <c r="K506" s="2" t="n"/>
    </row>
    <row r="507">
      <c r="A507" s="2" t="inlineStr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>
        <f>IF(COUNTA($A507:$F507)=0,"",IF($C507="","MissingDate",IF(OR($A507="",$D507="",$E507="",$D507=$E507),"InvalidSchedule",IF(COUNTIF(ActiveActivityCodes,$F507)=0,"InvalidCode",IF(COUNTIFS(tblScheduleData[EmployeeID],$A507,tblScheduleData[OperationalDate],$C507,tblScheduleData[ShiftStart],$D507,tblScheduleData[ShiftEnd],$E507,tblScheduleData[ActivityCode],$F507)&gt;1,"Duplicate","Valid")))))</f>
        <v/>
      </c>
      <c r="K507" s="2" t="n"/>
    </row>
    <row r="508">
      <c r="A508" s="2" t="inlineStr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>
        <f>IF(COUNTA($A508:$F508)=0,"",IF($C508="","MissingDate",IF(OR($A508="",$D508="",$E508="",$D508=$E508),"InvalidSchedule",IF(COUNTIF(ActiveActivityCodes,$F508)=0,"InvalidCode",IF(COUNTIFS(tblScheduleData[EmployeeID],$A508,tblScheduleData[OperationalDate],$C508,tblScheduleData[ShiftStart],$D508,tblScheduleData[ShiftEnd],$E508,tblScheduleData[ActivityCode],$F508)&gt;1,"Duplicate","Valid")))))</f>
        <v/>
      </c>
      <c r="K508" s="2" t="n"/>
    </row>
    <row r="509">
      <c r="A509" s="2" t="inlineStr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>
        <f>IF(COUNTA($A509:$F509)=0,"",IF($C509="","MissingDate",IF(OR($A509="",$D509="",$E509="",$D509=$E509),"InvalidSchedule",IF(COUNTIF(ActiveActivityCodes,$F509)=0,"InvalidCode",IF(COUNTIFS(tblScheduleData[EmployeeID],$A509,tblScheduleData[OperationalDate],$C509,tblScheduleData[ShiftStart],$D509,tblScheduleData[ShiftEnd],$E509,tblScheduleData[ActivityCode],$F509)&gt;1,"Duplicate","Valid")))))</f>
        <v/>
      </c>
      <c r="K509" s="2" t="n"/>
    </row>
    <row r="510">
      <c r="A510" s="2" t="inlineStr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>
        <f>IF(COUNTA($A510:$F510)=0,"",IF($C510="","MissingDate",IF(OR($A510="",$D510="",$E510="",$D510=$E510),"InvalidSchedule",IF(COUNTIF(ActiveActivityCodes,$F510)=0,"InvalidCode",IF(COUNTIFS(tblScheduleData[EmployeeID],$A510,tblScheduleData[OperationalDate],$C510,tblScheduleData[ShiftStart],$D510,tblScheduleData[ShiftEnd],$E510,tblScheduleData[ActivityCode],$F510)&gt;1,"Duplicate","Valid")))))</f>
        <v/>
      </c>
      <c r="K510" s="2" t="n"/>
    </row>
    <row r="511">
      <c r="A511" s="2" t="inlineStr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>
        <f>IF(COUNTA($A511:$F511)=0,"",IF($C511="","MissingDate",IF(OR($A511="",$D511="",$E511="",$D511=$E511),"InvalidSchedule",IF(COUNTIF(ActiveActivityCodes,$F511)=0,"InvalidCode",IF(COUNTIFS(tblScheduleData[EmployeeID],$A511,tblScheduleData[OperationalDate],$C511,tblScheduleData[ShiftStart],$D511,tblScheduleData[ShiftEnd],$E511,tblScheduleData[ActivityCode],$F511)&gt;1,"Duplicate","Valid")))))</f>
        <v/>
      </c>
      <c r="K511" s="2" t="n"/>
    </row>
    <row r="512">
      <c r="A512" s="2" t="inlineStr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>
        <f>IF(COUNTA($A512:$F512)=0,"",IF($C512="","MissingDate",IF(OR($A512="",$D512="",$E512="",$D512=$E512),"InvalidSchedule",IF(COUNTIF(ActiveActivityCodes,$F512)=0,"InvalidCode",IF(COUNTIFS(tblScheduleData[EmployeeID],$A512,tblScheduleData[OperationalDate],$C512,tblScheduleData[ShiftStart],$D512,tblScheduleData[ShiftEnd],$E512,tblScheduleData[ActivityCode],$F512)&gt;1,"Duplicate","Valid")))))</f>
        <v/>
      </c>
      <c r="K512" s="2" t="n"/>
    </row>
    <row r="513">
      <c r="A513" s="2" t="inlineStr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>
        <f>IF(COUNTA($A513:$F513)=0,"",IF($C513="","MissingDate",IF(OR($A513="",$D513="",$E513="",$D513=$E513),"InvalidSchedule",IF(COUNTIF(ActiveActivityCodes,$F513)=0,"InvalidCode",IF(COUNTIFS(tblScheduleData[EmployeeID],$A513,tblScheduleData[OperationalDate],$C513,tblScheduleData[ShiftStart],$D513,tblScheduleData[ShiftEnd],$E513,tblScheduleData[ActivityCode],$F513)&gt;1,"Duplicate","Valid")))))</f>
        <v/>
      </c>
      <c r="K513" s="2" t="n"/>
    </row>
    <row r="514">
      <c r="A514" s="2" t="inlineStr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>
        <f>IF(COUNTA($A514:$F514)=0,"",IF($C514="","MissingDate",IF(OR($A514="",$D514="",$E514="",$D514=$E514),"InvalidSchedule",IF(COUNTIF(ActiveActivityCodes,$F514)=0,"InvalidCode",IF(COUNTIFS(tblScheduleData[EmployeeID],$A514,tblScheduleData[OperationalDate],$C514,tblScheduleData[ShiftStart],$D514,tblScheduleData[ShiftEnd],$E514,tblScheduleData[ActivityCode],$F514)&gt;1,"Duplicate","Valid")))))</f>
        <v/>
      </c>
      <c r="K514" s="2" t="n"/>
    </row>
    <row r="515">
      <c r="A515" s="2" t="inlineStr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>
        <f>IF(COUNTA($A515:$F515)=0,"",IF($C515="","MissingDate",IF(OR($A515="",$D515="",$E515="",$D515=$E515),"InvalidSchedule",IF(COUNTIF(ActiveActivityCodes,$F515)=0,"InvalidCode",IF(COUNTIFS(tblScheduleData[EmployeeID],$A515,tblScheduleData[OperationalDate],$C515,tblScheduleData[ShiftStart],$D515,tblScheduleData[ShiftEnd],$E515,tblScheduleData[ActivityCode],$F515)&gt;1,"Duplicate","Valid")))))</f>
        <v/>
      </c>
      <c r="K515" s="2" t="n"/>
    </row>
    <row r="516">
      <c r="A516" s="2" t="inlineStr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>
        <f>IF(COUNTA($A516:$F516)=0,"",IF($C516="","MissingDate",IF(OR($A516="",$D516="",$E516="",$D516=$E516),"InvalidSchedule",IF(COUNTIF(ActiveActivityCodes,$F516)=0,"InvalidCode",IF(COUNTIFS(tblScheduleData[EmployeeID],$A516,tblScheduleData[OperationalDate],$C516,tblScheduleData[ShiftStart],$D516,tblScheduleData[ShiftEnd],$E516,tblScheduleData[ActivityCode],$F516)&gt;1,"Duplicate","Valid")))))</f>
        <v/>
      </c>
      <c r="K516" s="2" t="n"/>
    </row>
    <row r="517">
      <c r="A517" s="2" t="inlineStr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>
        <f>IF(COUNTA($A517:$F517)=0,"",IF($C517="","MissingDate",IF(OR($A517="",$D517="",$E517="",$D517=$E517),"InvalidSchedule",IF(COUNTIF(ActiveActivityCodes,$F517)=0,"InvalidCode",IF(COUNTIFS(tblScheduleData[EmployeeID],$A517,tblScheduleData[OperationalDate],$C517,tblScheduleData[ShiftStart],$D517,tblScheduleData[ShiftEnd],$E517,tblScheduleData[ActivityCode],$F517)&gt;1,"Duplicate","Valid")))))</f>
        <v/>
      </c>
      <c r="K517" s="2" t="n"/>
    </row>
    <row r="518">
      <c r="A518" s="2" t="inlineStr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>
        <f>IF(COUNTA($A518:$F518)=0,"",IF($C518="","MissingDate",IF(OR($A518="",$D518="",$E518="",$D518=$E518),"InvalidSchedule",IF(COUNTIF(ActiveActivityCodes,$F518)=0,"InvalidCode",IF(COUNTIFS(tblScheduleData[EmployeeID],$A518,tblScheduleData[OperationalDate],$C518,tblScheduleData[ShiftStart],$D518,tblScheduleData[ShiftEnd],$E518,tblScheduleData[ActivityCode],$F518)&gt;1,"Duplicate","Valid")))))</f>
        <v/>
      </c>
      <c r="K518" s="2" t="n"/>
    </row>
    <row r="519">
      <c r="A519" s="2" t="inlineStr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>
        <f>IF(COUNTA($A519:$F519)=0,"",IF($C519="","MissingDate",IF(OR($A519="",$D519="",$E519="",$D519=$E519),"InvalidSchedule",IF(COUNTIF(ActiveActivityCodes,$F519)=0,"InvalidCode",IF(COUNTIFS(tblScheduleData[EmployeeID],$A519,tblScheduleData[OperationalDate],$C519,tblScheduleData[ShiftStart],$D519,tblScheduleData[ShiftEnd],$E519,tblScheduleData[ActivityCode],$F519)&gt;1,"Duplicate","Valid")))))</f>
        <v/>
      </c>
      <c r="K519" s="2" t="n"/>
    </row>
    <row r="520">
      <c r="A520" s="2" t="inlineStr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>
        <f>IF(COUNTA($A520:$F520)=0,"",IF($C520="","MissingDate",IF(OR($A520="",$D520="",$E520="",$D520=$E520),"InvalidSchedule",IF(COUNTIF(ActiveActivityCodes,$F520)=0,"InvalidCode",IF(COUNTIFS(tblScheduleData[EmployeeID],$A520,tblScheduleData[OperationalDate],$C520,tblScheduleData[ShiftStart],$D520,tblScheduleData[ShiftEnd],$E520,tblScheduleData[ActivityCode],$F520)&gt;1,"Duplicate","Valid")))))</f>
        <v/>
      </c>
      <c r="K520" s="2" t="n"/>
    </row>
    <row r="521">
      <c r="A521" s="2" t="inlineStr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>
        <f>IF(COUNTA($A521:$F521)=0,"",IF($C521="","MissingDate",IF(OR($A521="",$D521="",$E521="",$D521=$E521),"InvalidSchedule",IF(COUNTIF(ActiveActivityCodes,$F521)=0,"InvalidCode",IF(COUNTIFS(tblScheduleData[EmployeeID],$A521,tblScheduleData[OperationalDate],$C521,tblScheduleData[ShiftStart],$D521,tblScheduleData[ShiftEnd],$E521,tblScheduleData[ActivityCode],$F521)&gt;1,"Duplicate","Valid")))))</f>
        <v/>
      </c>
      <c r="K521" s="2" t="n"/>
    </row>
    <row r="522">
      <c r="A522" s="2" t="inlineStr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>
        <f>IF(COUNTA($A522:$F522)=0,"",IF($C522="","MissingDate",IF(OR($A522="",$D522="",$E522="",$D522=$E522),"InvalidSchedule",IF(COUNTIF(ActiveActivityCodes,$F522)=0,"InvalidCode",IF(COUNTIFS(tblScheduleData[EmployeeID],$A522,tblScheduleData[OperationalDate],$C522,tblScheduleData[ShiftStart],$D522,tblScheduleData[ShiftEnd],$E522,tblScheduleData[ActivityCode],$F522)&gt;1,"Duplicate","Valid")))))</f>
        <v/>
      </c>
      <c r="K522" s="2" t="n"/>
    </row>
    <row r="523">
      <c r="A523" s="2" t="inlineStr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>
        <f>IF(COUNTA($A523:$F523)=0,"",IF($C523="","MissingDate",IF(OR($A523="",$D523="",$E523="",$D523=$E523),"InvalidSchedule",IF(COUNTIF(ActiveActivityCodes,$F523)=0,"InvalidCode",IF(COUNTIFS(tblScheduleData[EmployeeID],$A523,tblScheduleData[OperationalDate],$C523,tblScheduleData[ShiftStart],$D523,tblScheduleData[ShiftEnd],$E523,tblScheduleData[ActivityCode],$F523)&gt;1,"Duplicate","Valid")))))</f>
        <v/>
      </c>
      <c r="K523" s="2" t="n"/>
    </row>
    <row r="524">
      <c r="A524" s="2" t="inlineStr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>
        <f>IF(COUNTA($A524:$F524)=0,"",IF($C524="","MissingDate",IF(OR($A524="",$D524="",$E524="",$D524=$E524),"InvalidSchedule",IF(COUNTIF(ActiveActivityCodes,$F524)=0,"InvalidCode",IF(COUNTIFS(tblScheduleData[EmployeeID],$A524,tblScheduleData[OperationalDate],$C524,tblScheduleData[ShiftStart],$D524,tblScheduleData[ShiftEnd],$E524,tblScheduleData[ActivityCode],$F524)&gt;1,"Duplicate","Valid")))))</f>
        <v/>
      </c>
      <c r="K524" s="2" t="n"/>
    </row>
    <row r="525">
      <c r="A525" s="2" t="inlineStr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>
        <f>IF(COUNTA($A525:$F525)=0,"",IF($C525="","MissingDate",IF(OR($A525="",$D525="",$E525="",$D525=$E525),"InvalidSchedule",IF(COUNTIF(ActiveActivityCodes,$F525)=0,"InvalidCode",IF(COUNTIFS(tblScheduleData[EmployeeID],$A525,tblScheduleData[OperationalDate],$C525,tblScheduleData[ShiftStart],$D525,tblScheduleData[ShiftEnd],$E525,tblScheduleData[ActivityCode],$F525)&gt;1,"Duplicate","Valid")))))</f>
        <v/>
      </c>
      <c r="K525" s="2" t="n"/>
    </row>
    <row r="526">
      <c r="A526" s="2" t="inlineStr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>
        <f>IF(COUNTA($A526:$F526)=0,"",IF($C526="","MissingDate",IF(OR($A526="",$D526="",$E526="",$D526=$E526),"InvalidSchedule",IF(COUNTIF(ActiveActivityCodes,$F526)=0,"InvalidCode",IF(COUNTIFS(tblScheduleData[EmployeeID],$A526,tblScheduleData[OperationalDate],$C526,tblScheduleData[ShiftStart],$D526,tblScheduleData[ShiftEnd],$E526,tblScheduleData[ActivityCode],$F526)&gt;1,"Duplicate","Valid")))))</f>
        <v/>
      </c>
      <c r="K526" s="2" t="n"/>
    </row>
    <row r="527">
      <c r="A527" s="2" t="inlineStr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>
        <f>IF(COUNTA($A527:$F527)=0,"",IF($C527="","MissingDate",IF(OR($A527="",$D527="",$E527="",$D527=$E527),"InvalidSchedule",IF(COUNTIF(ActiveActivityCodes,$F527)=0,"InvalidCode",IF(COUNTIFS(tblScheduleData[EmployeeID],$A527,tblScheduleData[OperationalDate],$C527,tblScheduleData[ShiftStart],$D527,tblScheduleData[ShiftEnd],$E527,tblScheduleData[ActivityCode],$F527)&gt;1,"Duplicate","Valid")))))</f>
        <v/>
      </c>
      <c r="K527" s="2" t="n"/>
    </row>
    <row r="528">
      <c r="A528" s="2" t="inlineStr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>
        <f>IF(COUNTA($A528:$F528)=0,"",IF($C528="","MissingDate",IF(OR($A528="",$D528="",$E528="",$D528=$E528),"InvalidSchedule",IF(COUNTIF(ActiveActivityCodes,$F528)=0,"InvalidCode",IF(COUNTIFS(tblScheduleData[EmployeeID],$A528,tblScheduleData[OperationalDate],$C528,tblScheduleData[ShiftStart],$D528,tblScheduleData[ShiftEnd],$E528,tblScheduleData[ActivityCode],$F528)&gt;1,"Duplicate","Valid")))))</f>
        <v/>
      </c>
      <c r="K528" s="2" t="n"/>
    </row>
    <row r="529">
      <c r="A529" s="2" t="inlineStr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>
        <f>IF(COUNTA($A529:$F529)=0,"",IF($C529="","MissingDate",IF(OR($A529="",$D529="",$E529="",$D529=$E529),"InvalidSchedule",IF(COUNTIF(ActiveActivityCodes,$F529)=0,"InvalidCode",IF(COUNTIFS(tblScheduleData[EmployeeID],$A529,tblScheduleData[OperationalDate],$C529,tblScheduleData[ShiftStart],$D529,tblScheduleData[ShiftEnd],$E529,tblScheduleData[ActivityCode],$F529)&gt;1,"Duplicate","Valid")))))</f>
        <v/>
      </c>
      <c r="K529" s="2" t="n"/>
    </row>
    <row r="530">
      <c r="A530" s="2" t="inlineStr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>
        <f>IF(COUNTA($A530:$F530)=0,"",IF($C530="","MissingDate",IF(OR($A530="",$D530="",$E530="",$D530=$E530),"InvalidSchedule",IF(COUNTIF(ActiveActivityCodes,$F530)=0,"InvalidCode",IF(COUNTIFS(tblScheduleData[EmployeeID],$A530,tblScheduleData[OperationalDate],$C530,tblScheduleData[ShiftStart],$D530,tblScheduleData[ShiftEnd],$E530,tblScheduleData[ActivityCode],$F530)&gt;1,"Duplicate","Valid")))))</f>
        <v/>
      </c>
      <c r="K530" s="2" t="n"/>
    </row>
    <row r="531">
      <c r="A531" s="2" t="inlineStr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>
        <f>IF(COUNTA($A531:$F531)=0,"",IF($C531="","MissingDate",IF(OR($A531="",$D531="",$E531="",$D531=$E531),"InvalidSchedule",IF(COUNTIF(ActiveActivityCodes,$F531)=0,"InvalidCode",IF(COUNTIFS(tblScheduleData[EmployeeID],$A531,tblScheduleData[OperationalDate],$C531,tblScheduleData[ShiftStart],$D531,tblScheduleData[ShiftEnd],$E531,tblScheduleData[ActivityCode],$F531)&gt;1,"Duplicate","Valid")))))</f>
        <v/>
      </c>
      <c r="K531" s="2" t="n"/>
    </row>
    <row r="532">
      <c r="A532" s="2" t="inlineStr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>
        <f>IF(COUNTA($A532:$F532)=0,"",IF($C532="","MissingDate",IF(OR($A532="",$D532="",$E532="",$D532=$E532),"InvalidSchedule",IF(COUNTIF(ActiveActivityCodes,$F532)=0,"InvalidCode",IF(COUNTIFS(tblScheduleData[EmployeeID],$A532,tblScheduleData[OperationalDate],$C532,tblScheduleData[ShiftStart],$D532,tblScheduleData[ShiftEnd],$E532,tblScheduleData[ActivityCode],$F532)&gt;1,"Duplicate","Valid")))))</f>
        <v/>
      </c>
      <c r="K532" s="2" t="n"/>
    </row>
    <row r="533">
      <c r="A533" s="2" t="inlineStr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>
        <f>IF(COUNTA($A533:$F533)=0,"",IF($C533="","MissingDate",IF(OR($A533="",$D533="",$E533="",$D533=$E533),"InvalidSchedule",IF(COUNTIF(ActiveActivityCodes,$F533)=0,"InvalidCode",IF(COUNTIFS(tblScheduleData[EmployeeID],$A533,tblScheduleData[OperationalDate],$C533,tblScheduleData[ShiftStart],$D533,tblScheduleData[ShiftEnd],$E533,tblScheduleData[ActivityCode],$F533)&gt;1,"Duplicate","Valid")))))</f>
        <v/>
      </c>
      <c r="K533" s="2" t="n"/>
    </row>
    <row r="534">
      <c r="A534" s="2" t="inlineStr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>
        <f>IF(COUNTA($A534:$F534)=0,"",IF($C534="","MissingDate",IF(OR($A534="",$D534="",$E534="",$D534=$E534),"InvalidSchedule",IF(COUNTIF(ActiveActivityCodes,$F534)=0,"InvalidCode",IF(COUNTIFS(tblScheduleData[EmployeeID],$A534,tblScheduleData[OperationalDate],$C534,tblScheduleData[ShiftStart],$D534,tblScheduleData[ShiftEnd],$E534,tblScheduleData[ActivityCode],$F534)&gt;1,"Duplicate","Valid")))))</f>
        <v/>
      </c>
      <c r="K534" s="2" t="n"/>
    </row>
    <row r="535">
      <c r="A535" s="2" t="inlineStr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>
        <f>IF(COUNTA($A535:$F535)=0,"",IF($C535="","MissingDate",IF(OR($A535="",$D535="",$E535="",$D535=$E535),"InvalidSchedule",IF(COUNTIF(ActiveActivityCodes,$F535)=0,"InvalidCode",IF(COUNTIFS(tblScheduleData[EmployeeID],$A535,tblScheduleData[OperationalDate],$C535,tblScheduleData[ShiftStart],$D535,tblScheduleData[ShiftEnd],$E535,tblScheduleData[ActivityCode],$F535)&gt;1,"Duplicate","Valid")))))</f>
        <v/>
      </c>
      <c r="K535" s="2" t="n"/>
    </row>
    <row r="536">
      <c r="A536" s="2" t="inlineStr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>
        <f>IF(COUNTA($A536:$F536)=0,"",IF($C536="","MissingDate",IF(OR($A536="",$D536="",$E536="",$D536=$E536),"InvalidSchedule",IF(COUNTIF(ActiveActivityCodes,$F536)=0,"InvalidCode",IF(COUNTIFS(tblScheduleData[EmployeeID],$A536,tblScheduleData[OperationalDate],$C536,tblScheduleData[ShiftStart],$D536,tblScheduleData[ShiftEnd],$E536,tblScheduleData[ActivityCode],$F536)&gt;1,"Duplicate","Valid")))))</f>
        <v/>
      </c>
      <c r="K536" s="2" t="n"/>
    </row>
    <row r="537">
      <c r="A537" s="2" t="inlineStr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>
        <f>IF(COUNTA($A537:$F537)=0,"",IF($C537="","MissingDate",IF(OR($A537="",$D537="",$E537="",$D537=$E537),"InvalidSchedule",IF(COUNTIF(ActiveActivityCodes,$F537)=0,"InvalidCode",IF(COUNTIFS(tblScheduleData[EmployeeID],$A537,tblScheduleData[OperationalDate],$C537,tblScheduleData[ShiftStart],$D537,tblScheduleData[ShiftEnd],$E537,tblScheduleData[ActivityCode],$F537)&gt;1,"Duplicate","Valid")))))</f>
        <v/>
      </c>
      <c r="K537" s="2" t="n"/>
    </row>
    <row r="538">
      <c r="A538" s="2" t="inlineStr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>
        <f>IF(COUNTA($A538:$F538)=0,"",IF($C538="","MissingDate",IF(OR($A538="",$D538="",$E538="",$D538=$E538),"InvalidSchedule",IF(COUNTIF(ActiveActivityCodes,$F538)=0,"InvalidCode",IF(COUNTIFS(tblScheduleData[EmployeeID],$A538,tblScheduleData[OperationalDate],$C538,tblScheduleData[ShiftStart],$D538,tblScheduleData[ShiftEnd],$E538,tblScheduleData[ActivityCode],$F538)&gt;1,"Duplicate","Valid")))))</f>
        <v/>
      </c>
      <c r="K538" s="2" t="n"/>
    </row>
    <row r="539">
      <c r="A539" s="2" t="inlineStr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>
        <f>IF(COUNTA($A539:$F539)=0,"",IF($C539="","MissingDate",IF(OR($A539="",$D539="",$E539="",$D539=$E539),"InvalidSchedule",IF(COUNTIF(ActiveActivityCodes,$F539)=0,"InvalidCode",IF(COUNTIFS(tblScheduleData[EmployeeID],$A539,tblScheduleData[OperationalDate],$C539,tblScheduleData[ShiftStart],$D539,tblScheduleData[ShiftEnd],$E539,tblScheduleData[ActivityCode],$F539)&gt;1,"Duplicate","Valid")))))</f>
        <v/>
      </c>
      <c r="K539" s="2" t="n"/>
    </row>
    <row r="540">
      <c r="A540" s="2" t="inlineStr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>
        <f>IF(COUNTA($A540:$F540)=0,"",IF($C540="","MissingDate",IF(OR($A540="",$D540="",$E540="",$D540=$E540),"InvalidSchedule",IF(COUNTIF(ActiveActivityCodes,$F540)=0,"InvalidCode",IF(COUNTIFS(tblScheduleData[EmployeeID],$A540,tblScheduleData[OperationalDate],$C540,tblScheduleData[ShiftStart],$D540,tblScheduleData[ShiftEnd],$E540,tblScheduleData[ActivityCode],$F540)&gt;1,"Duplicate","Valid")))))</f>
        <v/>
      </c>
      <c r="K540" s="2" t="n"/>
    </row>
    <row r="541">
      <c r="A541" s="2" t="inlineStr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>
        <f>IF(COUNTA($A541:$F541)=0,"",IF($C541="","MissingDate",IF(OR($A541="",$D541="",$E541="",$D541=$E541),"InvalidSchedule",IF(COUNTIF(ActiveActivityCodes,$F541)=0,"InvalidCode",IF(COUNTIFS(tblScheduleData[EmployeeID],$A541,tblScheduleData[OperationalDate],$C541,tblScheduleData[ShiftStart],$D541,tblScheduleData[ShiftEnd],$E541,tblScheduleData[ActivityCode],$F541)&gt;1,"Duplicate","Valid")))))</f>
        <v/>
      </c>
      <c r="K541" s="2" t="n"/>
    </row>
    <row r="542">
      <c r="A542" s="2" t="inlineStr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>
        <f>IF(COUNTA($A542:$F542)=0,"",IF($C542="","MissingDate",IF(OR($A542="",$D542="",$E542="",$D542=$E542),"InvalidSchedule",IF(COUNTIF(ActiveActivityCodes,$F542)=0,"InvalidCode",IF(COUNTIFS(tblScheduleData[EmployeeID],$A542,tblScheduleData[OperationalDate],$C542,tblScheduleData[ShiftStart],$D542,tblScheduleData[ShiftEnd],$E542,tblScheduleData[ActivityCode],$F542)&gt;1,"Duplicate","Valid")))))</f>
        <v/>
      </c>
      <c r="K542" s="2" t="n"/>
    </row>
    <row r="543">
      <c r="A543" s="2" t="inlineStr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>
        <f>IF(COUNTA($A543:$F543)=0,"",IF($C543="","MissingDate",IF(OR($A543="",$D543="",$E543="",$D543=$E543),"InvalidSchedule",IF(COUNTIF(ActiveActivityCodes,$F543)=0,"InvalidCode",IF(COUNTIFS(tblScheduleData[EmployeeID],$A543,tblScheduleData[OperationalDate],$C543,tblScheduleData[ShiftStart],$D543,tblScheduleData[ShiftEnd],$E543,tblScheduleData[ActivityCode],$F543)&gt;1,"Duplicate","Valid")))))</f>
        <v/>
      </c>
      <c r="K543" s="2" t="n"/>
    </row>
    <row r="544">
      <c r="A544" s="2" t="inlineStr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>
        <f>IF(COUNTA($A544:$F544)=0,"",IF($C544="","MissingDate",IF(OR($A544="",$D544="",$E544="",$D544=$E544),"InvalidSchedule",IF(COUNTIF(ActiveActivityCodes,$F544)=0,"InvalidCode",IF(COUNTIFS(tblScheduleData[EmployeeID],$A544,tblScheduleData[OperationalDate],$C544,tblScheduleData[ShiftStart],$D544,tblScheduleData[ShiftEnd],$E544,tblScheduleData[ActivityCode],$F544)&gt;1,"Duplicate","Valid")))))</f>
        <v/>
      </c>
      <c r="K544" s="2" t="n"/>
    </row>
    <row r="545">
      <c r="A545" s="2" t="inlineStr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>
        <f>IF(COUNTA($A545:$F545)=0,"",IF($C545="","MissingDate",IF(OR($A545="",$D545="",$E545="",$D545=$E545),"InvalidSchedule",IF(COUNTIF(ActiveActivityCodes,$F545)=0,"InvalidCode",IF(COUNTIFS(tblScheduleData[EmployeeID],$A545,tblScheduleData[OperationalDate],$C545,tblScheduleData[ShiftStart],$D545,tblScheduleData[ShiftEnd],$E545,tblScheduleData[ActivityCode],$F545)&gt;1,"Duplicate","Valid")))))</f>
        <v/>
      </c>
      <c r="K545" s="2" t="n"/>
    </row>
    <row r="546">
      <c r="A546" s="2" t="inlineStr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>
        <f>IF(COUNTA($A546:$F546)=0,"",IF($C546="","MissingDate",IF(OR($A546="",$D546="",$E546="",$D546=$E546),"InvalidSchedule",IF(COUNTIF(ActiveActivityCodes,$F546)=0,"InvalidCode",IF(COUNTIFS(tblScheduleData[EmployeeID],$A546,tblScheduleData[OperationalDate],$C546,tblScheduleData[ShiftStart],$D546,tblScheduleData[ShiftEnd],$E546,tblScheduleData[ActivityCode],$F546)&gt;1,"Duplicate","Valid")))))</f>
        <v/>
      </c>
      <c r="K546" s="2" t="n"/>
    </row>
    <row r="547">
      <c r="A547" s="2" t="inlineStr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>
        <f>IF(COUNTA($A547:$F547)=0,"",IF($C547="","MissingDate",IF(OR($A547="",$D547="",$E547="",$D547=$E547),"InvalidSchedule",IF(COUNTIF(ActiveActivityCodes,$F547)=0,"InvalidCode",IF(COUNTIFS(tblScheduleData[EmployeeID],$A547,tblScheduleData[OperationalDate],$C547,tblScheduleData[ShiftStart],$D547,tblScheduleData[ShiftEnd],$E547,tblScheduleData[ActivityCode],$F547)&gt;1,"Duplicate","Valid")))))</f>
        <v/>
      </c>
      <c r="K547" s="2" t="n"/>
    </row>
    <row r="548">
      <c r="A548" s="2" t="inlineStr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>
        <f>IF(COUNTA($A548:$F548)=0,"",IF($C548="","MissingDate",IF(OR($A548="",$D548="",$E548="",$D548=$E548),"InvalidSchedule",IF(COUNTIF(ActiveActivityCodes,$F548)=0,"InvalidCode",IF(COUNTIFS(tblScheduleData[EmployeeID],$A548,tblScheduleData[OperationalDate],$C548,tblScheduleData[ShiftStart],$D548,tblScheduleData[ShiftEnd],$E548,tblScheduleData[ActivityCode],$F548)&gt;1,"Duplicate","Valid")))))</f>
        <v/>
      </c>
      <c r="K548" s="2" t="n"/>
    </row>
    <row r="549">
      <c r="A549" s="2" t="inlineStr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>
        <f>IF(COUNTA($A549:$F549)=0,"",IF($C549="","MissingDate",IF(OR($A549="",$D549="",$E549="",$D549=$E549),"InvalidSchedule",IF(COUNTIF(ActiveActivityCodes,$F549)=0,"InvalidCode",IF(COUNTIFS(tblScheduleData[EmployeeID],$A549,tblScheduleData[OperationalDate],$C549,tblScheduleData[ShiftStart],$D549,tblScheduleData[ShiftEnd],$E549,tblScheduleData[ActivityCode],$F549)&gt;1,"Duplicate","Valid")))))</f>
        <v/>
      </c>
      <c r="K549" s="2" t="n"/>
    </row>
    <row r="550">
      <c r="A550" s="2" t="inlineStr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>
        <f>IF(COUNTA($A550:$F550)=0,"",IF($C550="","MissingDate",IF(OR($A550="",$D550="",$E550="",$D550=$E550),"InvalidSchedule",IF(COUNTIF(ActiveActivityCodes,$F550)=0,"InvalidCode",IF(COUNTIFS(tblScheduleData[EmployeeID],$A550,tblScheduleData[OperationalDate],$C550,tblScheduleData[ShiftStart],$D550,tblScheduleData[ShiftEnd],$E550,tblScheduleData[ActivityCode],$F550)&gt;1,"Duplicate","Valid")))))</f>
        <v/>
      </c>
      <c r="K550" s="2" t="n"/>
    </row>
    <row r="551">
      <c r="A551" s="2" t="inlineStr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>
        <f>IF(COUNTA($A551:$F551)=0,"",IF($C551="","MissingDate",IF(OR($A551="",$D551="",$E551="",$D551=$E551),"InvalidSchedule",IF(COUNTIF(ActiveActivityCodes,$F551)=0,"InvalidCode",IF(COUNTIFS(tblScheduleData[EmployeeID],$A551,tblScheduleData[OperationalDate],$C551,tblScheduleData[ShiftStart],$D551,tblScheduleData[ShiftEnd],$E551,tblScheduleData[ActivityCode],$F551)&gt;1,"Duplicate","Valid")))))</f>
        <v/>
      </c>
      <c r="K551" s="2" t="n"/>
    </row>
    <row r="552">
      <c r="A552" s="2" t="inlineStr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>
        <f>IF(COUNTA($A552:$F552)=0,"",IF($C552="","MissingDate",IF(OR($A552="",$D552="",$E552="",$D552=$E552),"InvalidSchedule",IF(COUNTIF(ActiveActivityCodes,$F552)=0,"InvalidCode",IF(COUNTIFS(tblScheduleData[EmployeeID],$A552,tblScheduleData[OperationalDate],$C552,tblScheduleData[ShiftStart],$D552,tblScheduleData[ShiftEnd],$E552,tblScheduleData[ActivityCode],$F552)&gt;1,"Duplicate","Valid")))))</f>
        <v/>
      </c>
      <c r="K552" s="2" t="n"/>
    </row>
    <row r="553">
      <c r="A553" s="2" t="inlineStr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>
        <f>IF(COUNTA($A553:$F553)=0,"",IF($C553="","MissingDate",IF(OR($A553="",$D553="",$E553="",$D553=$E553),"InvalidSchedule",IF(COUNTIF(ActiveActivityCodes,$F553)=0,"InvalidCode",IF(COUNTIFS(tblScheduleData[EmployeeID],$A553,tblScheduleData[OperationalDate],$C553,tblScheduleData[ShiftStart],$D553,tblScheduleData[ShiftEnd],$E553,tblScheduleData[ActivityCode],$F553)&gt;1,"Duplicate","Valid")))))</f>
        <v/>
      </c>
      <c r="K553" s="2" t="n"/>
    </row>
    <row r="554">
      <c r="A554" s="2" t="inlineStr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>
        <f>IF(COUNTA($A554:$F554)=0,"",IF($C554="","MissingDate",IF(OR($A554="",$D554="",$E554="",$D554=$E554),"InvalidSchedule",IF(COUNTIF(ActiveActivityCodes,$F554)=0,"InvalidCode",IF(COUNTIFS(tblScheduleData[EmployeeID],$A554,tblScheduleData[OperationalDate],$C554,tblScheduleData[ShiftStart],$D554,tblScheduleData[ShiftEnd],$E554,tblScheduleData[ActivityCode],$F554)&gt;1,"Duplicate","Valid")))))</f>
        <v/>
      </c>
      <c r="K554" s="2" t="n"/>
    </row>
    <row r="555">
      <c r="A555" s="2" t="inlineStr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>
        <f>IF(COUNTA($A555:$F555)=0,"",IF($C555="","MissingDate",IF(OR($A555="",$D555="",$E555="",$D555=$E555),"InvalidSchedule",IF(COUNTIF(ActiveActivityCodes,$F555)=0,"InvalidCode",IF(COUNTIFS(tblScheduleData[EmployeeID],$A555,tblScheduleData[OperationalDate],$C555,tblScheduleData[ShiftStart],$D555,tblScheduleData[ShiftEnd],$E555,tblScheduleData[ActivityCode],$F555)&gt;1,"Duplicate","Valid")))))</f>
        <v/>
      </c>
      <c r="K555" s="2" t="n"/>
    </row>
    <row r="556">
      <c r="A556" s="2" t="inlineStr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>
        <f>IF(COUNTA($A556:$F556)=0,"",IF($C556="","MissingDate",IF(OR($A556="",$D556="",$E556="",$D556=$E556),"InvalidSchedule",IF(COUNTIF(ActiveActivityCodes,$F556)=0,"InvalidCode",IF(COUNTIFS(tblScheduleData[EmployeeID],$A556,tblScheduleData[OperationalDate],$C556,tblScheduleData[ShiftStart],$D556,tblScheduleData[ShiftEnd],$E556,tblScheduleData[ActivityCode],$F556)&gt;1,"Duplicate","Valid")))))</f>
        <v/>
      </c>
      <c r="K556" s="2" t="n"/>
    </row>
    <row r="557">
      <c r="A557" s="2" t="inlineStr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>
        <f>IF(COUNTA($A557:$F557)=0,"",IF($C557="","MissingDate",IF(OR($A557="",$D557="",$E557="",$D557=$E557),"InvalidSchedule",IF(COUNTIF(ActiveActivityCodes,$F557)=0,"InvalidCode",IF(COUNTIFS(tblScheduleData[EmployeeID],$A557,tblScheduleData[OperationalDate],$C557,tblScheduleData[ShiftStart],$D557,tblScheduleData[ShiftEnd],$E557,tblScheduleData[ActivityCode],$F557)&gt;1,"Duplicate","Valid")))))</f>
        <v/>
      </c>
      <c r="K557" s="2" t="n"/>
    </row>
    <row r="558">
      <c r="A558" s="2" t="inlineStr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>
        <f>IF(COUNTA($A558:$F558)=0,"",IF($C558="","MissingDate",IF(OR($A558="",$D558="",$E558="",$D558=$E558),"InvalidSchedule",IF(COUNTIF(ActiveActivityCodes,$F558)=0,"InvalidCode",IF(COUNTIFS(tblScheduleData[EmployeeID],$A558,tblScheduleData[OperationalDate],$C558,tblScheduleData[ShiftStart],$D558,tblScheduleData[ShiftEnd],$E558,tblScheduleData[ActivityCode],$F558)&gt;1,"Duplicate","Valid")))))</f>
        <v/>
      </c>
      <c r="K558" s="2" t="n"/>
    </row>
    <row r="559">
      <c r="A559" s="2" t="inlineStr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>
        <f>IF(COUNTA($A559:$F559)=0,"",IF($C559="","MissingDate",IF(OR($A559="",$D559="",$E559="",$D559=$E559),"InvalidSchedule",IF(COUNTIF(ActiveActivityCodes,$F559)=0,"InvalidCode",IF(COUNTIFS(tblScheduleData[EmployeeID],$A559,tblScheduleData[OperationalDate],$C559,tblScheduleData[ShiftStart],$D559,tblScheduleData[ShiftEnd],$E559,tblScheduleData[ActivityCode],$F559)&gt;1,"Duplicate","Valid")))))</f>
        <v/>
      </c>
      <c r="K559" s="2" t="n"/>
    </row>
    <row r="560">
      <c r="A560" s="2" t="inlineStr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>
        <f>IF(COUNTA($A560:$F560)=0,"",IF($C560="","MissingDate",IF(OR($A560="",$D560="",$E560="",$D560=$E560),"InvalidSchedule",IF(COUNTIF(ActiveActivityCodes,$F560)=0,"InvalidCode",IF(COUNTIFS(tblScheduleData[EmployeeID],$A560,tblScheduleData[OperationalDate],$C560,tblScheduleData[ShiftStart],$D560,tblScheduleData[ShiftEnd],$E560,tblScheduleData[ActivityCode],$F560)&gt;1,"Duplicate","Valid")))))</f>
        <v/>
      </c>
      <c r="K560" s="2" t="n"/>
    </row>
    <row r="561">
      <c r="A561" s="2" t="inlineStr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>
        <f>IF(COUNTA($A561:$F561)=0,"",IF($C561="","MissingDate",IF(OR($A561="",$D561="",$E561="",$D561=$E561),"InvalidSchedule",IF(COUNTIF(ActiveActivityCodes,$F561)=0,"InvalidCode",IF(COUNTIFS(tblScheduleData[EmployeeID],$A561,tblScheduleData[OperationalDate],$C561,tblScheduleData[ShiftStart],$D561,tblScheduleData[ShiftEnd],$E561,tblScheduleData[ActivityCode],$F561)&gt;1,"Duplicate","Valid")))))</f>
        <v/>
      </c>
      <c r="K561" s="2" t="n"/>
    </row>
    <row r="562">
      <c r="A562" s="2" t="inlineStr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>
        <f>IF(COUNTA($A562:$F562)=0,"",IF($C562="","MissingDate",IF(OR($A562="",$D562="",$E562="",$D562=$E562),"InvalidSchedule",IF(COUNTIF(ActiveActivityCodes,$F562)=0,"InvalidCode",IF(COUNTIFS(tblScheduleData[EmployeeID],$A562,tblScheduleData[OperationalDate],$C562,tblScheduleData[ShiftStart],$D562,tblScheduleData[ShiftEnd],$E562,tblScheduleData[ActivityCode],$F562)&gt;1,"Duplicate","Valid")))))</f>
        <v/>
      </c>
      <c r="K562" s="2" t="n"/>
    </row>
    <row r="563">
      <c r="A563" s="2" t="inlineStr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>
        <f>IF(COUNTA($A563:$F563)=0,"",IF($C563="","MissingDate",IF(OR($A563="",$D563="",$E563="",$D563=$E563),"InvalidSchedule",IF(COUNTIF(ActiveActivityCodes,$F563)=0,"InvalidCode",IF(COUNTIFS(tblScheduleData[EmployeeID],$A563,tblScheduleData[OperationalDate],$C563,tblScheduleData[ShiftStart],$D563,tblScheduleData[ShiftEnd],$E563,tblScheduleData[ActivityCode],$F563)&gt;1,"Duplicate","Valid")))))</f>
        <v/>
      </c>
      <c r="K563" s="2" t="n"/>
    </row>
    <row r="564">
      <c r="A564" s="2" t="inlineStr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>
        <f>IF(COUNTA($A564:$F564)=0,"",IF($C564="","MissingDate",IF(OR($A564="",$D564="",$E564="",$D564=$E564),"InvalidSchedule",IF(COUNTIF(ActiveActivityCodes,$F564)=0,"InvalidCode",IF(COUNTIFS(tblScheduleData[EmployeeID],$A564,tblScheduleData[OperationalDate],$C564,tblScheduleData[ShiftStart],$D564,tblScheduleData[ShiftEnd],$E564,tblScheduleData[ActivityCode],$F564)&gt;1,"Duplicate","Valid")))))</f>
        <v/>
      </c>
      <c r="K564" s="2" t="n"/>
    </row>
    <row r="565">
      <c r="A565" s="2" t="inlineStr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>
        <f>IF(COUNTA($A565:$F565)=0,"",IF($C565="","MissingDate",IF(OR($A565="",$D565="",$E565="",$D565=$E565),"InvalidSchedule",IF(COUNTIF(ActiveActivityCodes,$F565)=0,"InvalidCode",IF(COUNTIFS(tblScheduleData[EmployeeID],$A565,tblScheduleData[OperationalDate],$C565,tblScheduleData[ShiftStart],$D565,tblScheduleData[ShiftEnd],$E565,tblScheduleData[ActivityCode],$F565)&gt;1,"Duplicate","Valid")))))</f>
        <v/>
      </c>
      <c r="K565" s="2" t="n"/>
    </row>
    <row r="566">
      <c r="A566" s="2" t="inlineStr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>
        <f>IF(COUNTA($A566:$F566)=0,"",IF($C566="","MissingDate",IF(OR($A566="",$D566="",$E566="",$D566=$E566),"InvalidSchedule",IF(COUNTIF(ActiveActivityCodes,$F566)=0,"InvalidCode",IF(COUNTIFS(tblScheduleData[EmployeeID],$A566,tblScheduleData[OperationalDate],$C566,tblScheduleData[ShiftStart],$D566,tblScheduleData[ShiftEnd],$E566,tblScheduleData[ActivityCode],$F566)&gt;1,"Duplicate","Valid")))))</f>
        <v/>
      </c>
      <c r="K566" s="2" t="n"/>
    </row>
    <row r="567">
      <c r="A567" s="2" t="inlineStr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>
        <f>IF(COUNTA($A567:$F567)=0,"",IF($C567="","MissingDate",IF(OR($A567="",$D567="",$E567="",$D567=$E567),"InvalidSchedule",IF(COUNTIF(ActiveActivityCodes,$F567)=0,"InvalidCode",IF(COUNTIFS(tblScheduleData[EmployeeID],$A567,tblScheduleData[OperationalDate],$C567,tblScheduleData[ShiftStart],$D567,tblScheduleData[ShiftEnd],$E567,tblScheduleData[ActivityCode],$F567)&gt;1,"Duplicate","Valid")))))</f>
        <v/>
      </c>
      <c r="K567" s="2" t="n"/>
    </row>
    <row r="568">
      <c r="A568" s="2" t="inlineStr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>
        <f>IF(COUNTA($A568:$F568)=0,"",IF($C568="","MissingDate",IF(OR($A568="",$D568="",$E568="",$D568=$E568),"InvalidSchedule",IF(COUNTIF(ActiveActivityCodes,$F568)=0,"InvalidCode",IF(COUNTIFS(tblScheduleData[EmployeeID],$A568,tblScheduleData[OperationalDate],$C568,tblScheduleData[ShiftStart],$D568,tblScheduleData[ShiftEnd],$E568,tblScheduleData[ActivityCode],$F568)&gt;1,"Duplicate","Valid")))))</f>
        <v/>
      </c>
      <c r="K568" s="2" t="n"/>
    </row>
    <row r="569">
      <c r="A569" s="2" t="inlineStr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>
        <f>IF(COUNTA($A569:$F569)=0,"",IF($C569="","MissingDate",IF(OR($A569="",$D569="",$E569="",$D569=$E569),"InvalidSchedule",IF(COUNTIF(ActiveActivityCodes,$F569)=0,"InvalidCode",IF(COUNTIFS(tblScheduleData[EmployeeID],$A569,tblScheduleData[OperationalDate],$C569,tblScheduleData[ShiftStart],$D569,tblScheduleData[ShiftEnd],$E569,tblScheduleData[ActivityCode],$F569)&gt;1,"Duplicate","Valid")))))</f>
        <v/>
      </c>
      <c r="K569" s="2" t="n"/>
    </row>
    <row r="570">
      <c r="A570" s="2" t="inlineStr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>
        <f>IF(COUNTA($A570:$F570)=0,"",IF($C570="","MissingDate",IF(OR($A570="",$D570="",$E570="",$D570=$E570),"InvalidSchedule",IF(COUNTIF(ActiveActivityCodes,$F570)=0,"InvalidCode",IF(COUNTIFS(tblScheduleData[EmployeeID],$A570,tblScheduleData[OperationalDate],$C570,tblScheduleData[ShiftStart],$D570,tblScheduleData[ShiftEnd],$E570,tblScheduleData[ActivityCode],$F570)&gt;1,"Duplicate","Valid")))))</f>
        <v/>
      </c>
      <c r="K570" s="2" t="n"/>
    </row>
    <row r="571">
      <c r="A571" s="2" t="inlineStr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>
        <f>IF(COUNTA($A571:$F571)=0,"",IF($C571="","MissingDate",IF(OR($A571="",$D571="",$E571="",$D571=$E571),"InvalidSchedule",IF(COUNTIF(ActiveActivityCodes,$F571)=0,"InvalidCode",IF(COUNTIFS(tblScheduleData[EmployeeID],$A571,tblScheduleData[OperationalDate],$C571,tblScheduleData[ShiftStart],$D571,tblScheduleData[ShiftEnd],$E571,tblScheduleData[ActivityCode],$F571)&gt;1,"Duplicate","Valid")))))</f>
        <v/>
      </c>
      <c r="K571" s="2" t="n"/>
    </row>
    <row r="572">
      <c r="A572" s="2" t="inlineStr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>
        <f>IF(COUNTA($A572:$F572)=0,"",IF($C572="","MissingDate",IF(OR($A572="",$D572="",$E572="",$D572=$E572),"InvalidSchedule",IF(COUNTIF(ActiveActivityCodes,$F572)=0,"InvalidCode",IF(COUNTIFS(tblScheduleData[EmployeeID],$A572,tblScheduleData[OperationalDate],$C572,tblScheduleData[ShiftStart],$D572,tblScheduleData[ShiftEnd],$E572,tblScheduleData[ActivityCode],$F572)&gt;1,"Duplicate","Valid")))))</f>
        <v/>
      </c>
      <c r="K572" s="2" t="n"/>
    </row>
    <row r="573">
      <c r="A573" s="2" t="inlineStr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>
        <f>IF(COUNTA($A573:$F573)=0,"",IF($C573="","MissingDate",IF(OR($A573="",$D573="",$E573="",$D573=$E573),"InvalidSchedule",IF(COUNTIF(ActiveActivityCodes,$F573)=0,"InvalidCode",IF(COUNTIFS(tblScheduleData[EmployeeID],$A573,tblScheduleData[OperationalDate],$C573,tblScheduleData[ShiftStart],$D573,tblScheduleData[ShiftEnd],$E573,tblScheduleData[ActivityCode],$F573)&gt;1,"Duplicate","Valid")))))</f>
        <v/>
      </c>
      <c r="K573" s="2" t="n"/>
    </row>
    <row r="574">
      <c r="A574" s="2" t="inlineStr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>
        <f>IF(COUNTA($A574:$F574)=0,"",IF($C574="","MissingDate",IF(OR($A574="",$D574="",$E574="",$D574=$E574),"InvalidSchedule",IF(COUNTIF(ActiveActivityCodes,$F574)=0,"InvalidCode",IF(COUNTIFS(tblScheduleData[EmployeeID],$A574,tblScheduleData[OperationalDate],$C574,tblScheduleData[ShiftStart],$D574,tblScheduleData[ShiftEnd],$E574,tblScheduleData[ActivityCode],$F574)&gt;1,"Duplicate","Valid")))))</f>
        <v/>
      </c>
      <c r="K574" s="2" t="n"/>
    </row>
    <row r="575">
      <c r="A575" s="2" t="inlineStr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>
        <f>IF(COUNTA($A575:$F575)=0,"",IF($C575="","MissingDate",IF(OR($A575="",$D575="",$E575="",$D575=$E575),"InvalidSchedule",IF(COUNTIF(ActiveActivityCodes,$F575)=0,"InvalidCode",IF(COUNTIFS(tblScheduleData[EmployeeID],$A575,tblScheduleData[OperationalDate],$C575,tblScheduleData[ShiftStart],$D575,tblScheduleData[ShiftEnd],$E575,tblScheduleData[ActivityCode],$F575)&gt;1,"Duplicate","Valid")))))</f>
        <v/>
      </c>
      <c r="K575" s="2" t="n"/>
    </row>
    <row r="576">
      <c r="A576" s="2" t="inlineStr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>
        <f>IF(COUNTA($A576:$F576)=0,"",IF($C576="","MissingDate",IF(OR($A576="",$D576="",$E576="",$D576=$E576),"InvalidSchedule",IF(COUNTIF(ActiveActivityCodes,$F576)=0,"InvalidCode",IF(COUNTIFS(tblScheduleData[EmployeeID],$A576,tblScheduleData[OperationalDate],$C576,tblScheduleData[ShiftStart],$D576,tblScheduleData[ShiftEnd],$E576,tblScheduleData[ActivityCode],$F576)&gt;1,"Duplicate","Valid")))))</f>
        <v/>
      </c>
      <c r="K576" s="2" t="n"/>
    </row>
    <row r="577">
      <c r="A577" s="2" t="inlineStr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>
        <f>IF(COUNTA($A577:$F577)=0,"",IF($C577="","MissingDate",IF(OR($A577="",$D577="",$E577="",$D577=$E577),"InvalidSchedule",IF(COUNTIF(ActiveActivityCodes,$F577)=0,"InvalidCode",IF(COUNTIFS(tblScheduleData[EmployeeID],$A577,tblScheduleData[OperationalDate],$C577,tblScheduleData[ShiftStart],$D577,tblScheduleData[ShiftEnd],$E577,tblScheduleData[ActivityCode],$F577)&gt;1,"Duplicate","Valid")))))</f>
        <v/>
      </c>
      <c r="K577" s="2" t="n"/>
    </row>
    <row r="578">
      <c r="A578" s="2" t="inlineStr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>
        <f>IF(COUNTA($A578:$F578)=0,"",IF($C578="","MissingDate",IF(OR($A578="",$D578="",$E578="",$D578=$E578),"InvalidSchedule",IF(COUNTIF(ActiveActivityCodes,$F578)=0,"InvalidCode",IF(COUNTIFS(tblScheduleData[EmployeeID],$A578,tblScheduleData[OperationalDate],$C578,tblScheduleData[ShiftStart],$D578,tblScheduleData[ShiftEnd],$E578,tblScheduleData[ActivityCode],$F578)&gt;1,"Duplicate","Valid")))))</f>
        <v/>
      </c>
      <c r="K578" s="2" t="n"/>
    </row>
    <row r="579">
      <c r="A579" s="2" t="inlineStr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>
        <f>IF(COUNTA($A579:$F579)=0,"",IF($C579="","MissingDate",IF(OR($A579="",$D579="",$E579="",$D579=$E579),"InvalidSchedule",IF(COUNTIF(ActiveActivityCodes,$F579)=0,"InvalidCode",IF(COUNTIFS(tblScheduleData[EmployeeID],$A579,tblScheduleData[OperationalDate],$C579,tblScheduleData[ShiftStart],$D579,tblScheduleData[ShiftEnd],$E579,tblScheduleData[ActivityCode],$F579)&gt;1,"Duplicate","Valid")))))</f>
        <v/>
      </c>
      <c r="K579" s="2" t="n"/>
    </row>
    <row r="580">
      <c r="A580" s="2" t="inlineStr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>
        <f>IF(COUNTA($A580:$F580)=0,"",IF($C580="","MissingDate",IF(OR($A580="",$D580="",$E580="",$D580=$E580),"InvalidSchedule",IF(COUNTIF(ActiveActivityCodes,$F580)=0,"InvalidCode",IF(COUNTIFS(tblScheduleData[EmployeeID],$A580,tblScheduleData[OperationalDate],$C580,tblScheduleData[ShiftStart],$D580,tblScheduleData[ShiftEnd],$E580,tblScheduleData[ActivityCode],$F580)&gt;1,"Duplicate","Valid")))))</f>
        <v/>
      </c>
      <c r="K580" s="2" t="n"/>
    </row>
    <row r="581">
      <c r="A581" s="2" t="inlineStr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>
        <f>IF(COUNTA($A581:$F581)=0,"",IF($C581="","MissingDate",IF(OR($A581="",$D581="",$E581="",$D581=$E581),"InvalidSchedule",IF(COUNTIF(ActiveActivityCodes,$F581)=0,"InvalidCode",IF(COUNTIFS(tblScheduleData[EmployeeID],$A581,tblScheduleData[OperationalDate],$C581,tblScheduleData[ShiftStart],$D581,tblScheduleData[ShiftEnd],$E581,tblScheduleData[ActivityCode],$F581)&gt;1,"Duplicate","Valid")))))</f>
        <v/>
      </c>
      <c r="K581" s="2" t="n"/>
    </row>
    <row r="582">
      <c r="A582" s="2" t="inlineStr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>
        <f>IF(COUNTA($A582:$F582)=0,"",IF($C582="","MissingDate",IF(OR($A582="",$D582="",$E582="",$D582=$E582),"InvalidSchedule",IF(COUNTIF(ActiveActivityCodes,$F582)=0,"InvalidCode",IF(COUNTIFS(tblScheduleData[EmployeeID],$A582,tblScheduleData[OperationalDate],$C582,tblScheduleData[ShiftStart],$D582,tblScheduleData[ShiftEnd],$E582,tblScheduleData[ActivityCode],$F582)&gt;1,"Duplicate","Valid")))))</f>
        <v/>
      </c>
      <c r="K582" s="2" t="n"/>
    </row>
    <row r="583">
      <c r="A583" s="2" t="inlineStr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>
        <f>IF(COUNTA($A583:$F583)=0,"",IF($C583="","MissingDate",IF(OR($A583="",$D583="",$E583="",$D583=$E583),"InvalidSchedule",IF(COUNTIF(ActiveActivityCodes,$F583)=0,"InvalidCode",IF(COUNTIFS(tblScheduleData[EmployeeID],$A583,tblScheduleData[OperationalDate],$C583,tblScheduleData[ShiftStart],$D583,tblScheduleData[ShiftEnd],$E583,tblScheduleData[ActivityCode],$F583)&gt;1,"Duplicate","Valid")))))</f>
        <v/>
      </c>
      <c r="K583" s="2" t="n"/>
    </row>
    <row r="584">
      <c r="A584" s="2" t="inlineStr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>
        <f>IF(COUNTA($A584:$F584)=0,"",IF($C584="","MissingDate",IF(OR($A584="",$D584="",$E584="",$D584=$E584),"InvalidSchedule",IF(COUNTIF(ActiveActivityCodes,$F584)=0,"InvalidCode",IF(COUNTIFS(tblScheduleData[EmployeeID],$A584,tblScheduleData[OperationalDate],$C584,tblScheduleData[ShiftStart],$D584,tblScheduleData[ShiftEnd],$E584,tblScheduleData[ActivityCode],$F584)&gt;1,"Duplicate","Valid")))))</f>
        <v/>
      </c>
      <c r="K584" s="2" t="n"/>
    </row>
    <row r="585">
      <c r="A585" s="2" t="inlineStr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>
        <f>IF(COUNTA($A585:$F585)=0,"",IF($C585="","MissingDate",IF(OR($A585="",$D585="",$E585="",$D585=$E585),"InvalidSchedule",IF(COUNTIF(ActiveActivityCodes,$F585)=0,"InvalidCode",IF(COUNTIFS(tblScheduleData[EmployeeID],$A585,tblScheduleData[OperationalDate],$C585,tblScheduleData[ShiftStart],$D585,tblScheduleData[ShiftEnd],$E585,tblScheduleData[ActivityCode],$F585)&gt;1,"Duplicate","Valid")))))</f>
        <v/>
      </c>
      <c r="K585" s="2" t="n"/>
    </row>
    <row r="586">
      <c r="A586" s="2" t="inlineStr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>
        <f>IF(COUNTA($A586:$F586)=0,"",IF($C586="","MissingDate",IF(OR($A586="",$D586="",$E586="",$D586=$E586),"InvalidSchedule",IF(COUNTIF(ActiveActivityCodes,$F586)=0,"InvalidCode",IF(COUNTIFS(tblScheduleData[EmployeeID],$A586,tblScheduleData[OperationalDate],$C586,tblScheduleData[ShiftStart],$D586,tblScheduleData[ShiftEnd],$E586,tblScheduleData[ActivityCode],$F586)&gt;1,"Duplicate","Valid")))))</f>
        <v/>
      </c>
      <c r="K586" s="2" t="n"/>
    </row>
    <row r="587">
      <c r="A587" s="2" t="inlineStr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>
        <f>IF(COUNTA($A587:$F587)=0,"",IF($C587="","MissingDate",IF(OR($A587="",$D587="",$E587="",$D587=$E587),"InvalidSchedule",IF(COUNTIF(ActiveActivityCodes,$F587)=0,"InvalidCode",IF(COUNTIFS(tblScheduleData[EmployeeID],$A587,tblScheduleData[OperationalDate],$C587,tblScheduleData[ShiftStart],$D587,tblScheduleData[ShiftEnd],$E587,tblScheduleData[ActivityCode],$F587)&gt;1,"Duplicate","Valid")))))</f>
        <v/>
      </c>
      <c r="K587" s="2" t="n"/>
    </row>
    <row r="588">
      <c r="A588" s="2" t="inlineStr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>
        <f>IF(COUNTA($A588:$F588)=0,"",IF($C588="","MissingDate",IF(OR($A588="",$D588="",$E588="",$D588=$E588),"InvalidSchedule",IF(COUNTIF(ActiveActivityCodes,$F588)=0,"InvalidCode",IF(COUNTIFS(tblScheduleData[EmployeeID],$A588,tblScheduleData[OperationalDate],$C588,tblScheduleData[ShiftStart],$D588,tblScheduleData[ShiftEnd],$E588,tblScheduleData[ActivityCode],$F588)&gt;1,"Duplicate","Valid")))))</f>
        <v/>
      </c>
      <c r="K588" s="2" t="n"/>
    </row>
    <row r="589">
      <c r="A589" s="2" t="inlineStr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>
        <f>IF(COUNTA($A589:$F589)=0,"",IF($C589="","MissingDate",IF(OR($A589="",$D589="",$E589="",$D589=$E589),"InvalidSchedule",IF(COUNTIF(ActiveActivityCodes,$F589)=0,"InvalidCode",IF(COUNTIFS(tblScheduleData[EmployeeID],$A589,tblScheduleData[OperationalDate],$C589,tblScheduleData[ShiftStart],$D589,tblScheduleData[ShiftEnd],$E589,tblScheduleData[ActivityCode],$F589)&gt;1,"Duplicate","Valid")))))</f>
        <v/>
      </c>
      <c r="K589" s="2" t="n"/>
    </row>
    <row r="590">
      <c r="A590" s="2" t="inlineStr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>
        <f>IF(COUNTA($A590:$F590)=0,"",IF($C590="","MissingDate",IF(OR($A590="",$D590="",$E590="",$D590=$E590),"InvalidSchedule",IF(COUNTIF(ActiveActivityCodes,$F590)=0,"InvalidCode",IF(COUNTIFS(tblScheduleData[EmployeeID],$A590,tblScheduleData[OperationalDate],$C590,tblScheduleData[ShiftStart],$D590,tblScheduleData[ShiftEnd],$E590,tblScheduleData[ActivityCode],$F590)&gt;1,"Duplicate","Valid")))))</f>
        <v/>
      </c>
      <c r="K590" s="2" t="n"/>
    </row>
    <row r="591">
      <c r="A591" s="2" t="inlineStr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>
        <f>IF(COUNTA($A591:$F591)=0,"",IF($C591="","MissingDate",IF(OR($A591="",$D591="",$E591="",$D591=$E591),"InvalidSchedule",IF(COUNTIF(ActiveActivityCodes,$F591)=0,"InvalidCode",IF(COUNTIFS(tblScheduleData[EmployeeID],$A591,tblScheduleData[OperationalDate],$C591,tblScheduleData[ShiftStart],$D591,tblScheduleData[ShiftEnd],$E591,tblScheduleData[ActivityCode],$F591)&gt;1,"Duplicate","Valid")))))</f>
        <v/>
      </c>
      <c r="K591" s="2" t="n"/>
    </row>
    <row r="592">
      <c r="A592" s="2" t="inlineStr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>
        <f>IF(COUNTA($A592:$F592)=0,"",IF($C592="","MissingDate",IF(OR($A592="",$D592="",$E592="",$D592=$E592),"InvalidSchedule",IF(COUNTIF(ActiveActivityCodes,$F592)=0,"InvalidCode",IF(COUNTIFS(tblScheduleData[EmployeeID],$A592,tblScheduleData[OperationalDate],$C592,tblScheduleData[ShiftStart],$D592,tblScheduleData[ShiftEnd],$E592,tblScheduleData[ActivityCode],$F592)&gt;1,"Duplicate","Valid")))))</f>
        <v/>
      </c>
      <c r="K592" s="2" t="n"/>
    </row>
    <row r="593">
      <c r="A593" s="2" t="inlineStr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>
        <f>IF(COUNTA($A593:$F593)=0,"",IF($C593="","MissingDate",IF(OR($A593="",$D593="",$E593="",$D593=$E593),"InvalidSchedule",IF(COUNTIF(ActiveActivityCodes,$F593)=0,"InvalidCode",IF(COUNTIFS(tblScheduleData[EmployeeID],$A593,tblScheduleData[OperationalDate],$C593,tblScheduleData[ShiftStart],$D593,tblScheduleData[ShiftEnd],$E593,tblScheduleData[ActivityCode],$F593)&gt;1,"Duplicate","Valid")))))</f>
        <v/>
      </c>
      <c r="K593" s="2" t="n"/>
    </row>
    <row r="594">
      <c r="A594" s="2" t="inlineStr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>
        <f>IF(COUNTA($A594:$F594)=0,"",IF($C594="","MissingDate",IF(OR($A594="",$D594="",$E594="",$D594=$E594),"InvalidSchedule",IF(COUNTIF(ActiveActivityCodes,$F594)=0,"InvalidCode",IF(COUNTIFS(tblScheduleData[EmployeeID],$A594,tblScheduleData[OperationalDate],$C594,tblScheduleData[ShiftStart],$D594,tblScheduleData[ShiftEnd],$E594,tblScheduleData[ActivityCode],$F594)&gt;1,"Duplicate","Valid")))))</f>
        <v/>
      </c>
      <c r="K594" s="2" t="n"/>
    </row>
    <row r="595">
      <c r="A595" s="2" t="inlineStr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>
        <f>IF(COUNTA($A595:$F595)=0,"",IF($C595="","MissingDate",IF(OR($A595="",$D595="",$E595="",$D595=$E595),"InvalidSchedule",IF(COUNTIF(ActiveActivityCodes,$F595)=0,"InvalidCode",IF(COUNTIFS(tblScheduleData[EmployeeID],$A595,tblScheduleData[OperationalDate],$C595,tblScheduleData[ShiftStart],$D595,tblScheduleData[ShiftEnd],$E595,tblScheduleData[ActivityCode],$F595)&gt;1,"Duplicate","Valid")))))</f>
        <v/>
      </c>
      <c r="K595" s="2" t="n"/>
    </row>
    <row r="596">
      <c r="A596" s="2" t="inlineStr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>
        <f>IF(COUNTA($A596:$F596)=0,"",IF($C596="","MissingDate",IF(OR($A596="",$D596="",$E596="",$D596=$E596),"InvalidSchedule",IF(COUNTIF(ActiveActivityCodes,$F596)=0,"InvalidCode",IF(COUNTIFS(tblScheduleData[EmployeeID],$A596,tblScheduleData[OperationalDate],$C596,tblScheduleData[ShiftStart],$D596,tblScheduleData[ShiftEnd],$E596,tblScheduleData[ActivityCode],$F596)&gt;1,"Duplicate","Valid")))))</f>
        <v/>
      </c>
      <c r="K596" s="2" t="n"/>
    </row>
    <row r="597">
      <c r="A597" s="2" t="inlineStr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>
        <f>IF(COUNTA($A597:$F597)=0,"",IF($C597="","MissingDate",IF(OR($A597="",$D597="",$E597="",$D597=$E597),"InvalidSchedule",IF(COUNTIF(ActiveActivityCodes,$F597)=0,"InvalidCode",IF(COUNTIFS(tblScheduleData[EmployeeID],$A597,tblScheduleData[OperationalDate],$C597,tblScheduleData[ShiftStart],$D597,tblScheduleData[ShiftEnd],$E597,tblScheduleData[ActivityCode],$F597)&gt;1,"Duplicate","Valid")))))</f>
        <v/>
      </c>
      <c r="K597" s="2" t="n"/>
    </row>
    <row r="598">
      <c r="A598" s="2" t="inlineStr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>
        <f>IF(COUNTA($A598:$F598)=0,"",IF($C598="","MissingDate",IF(OR($A598="",$D598="",$E598="",$D598=$E598),"InvalidSchedule",IF(COUNTIF(ActiveActivityCodes,$F598)=0,"InvalidCode",IF(COUNTIFS(tblScheduleData[EmployeeID],$A598,tblScheduleData[OperationalDate],$C598,tblScheduleData[ShiftStart],$D598,tblScheduleData[ShiftEnd],$E598,tblScheduleData[ActivityCode],$F598)&gt;1,"Duplicate","Valid")))))</f>
        <v/>
      </c>
      <c r="K598" s="2" t="n"/>
    </row>
    <row r="599">
      <c r="A599" s="2" t="inlineStr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>
        <f>IF(COUNTA($A599:$F599)=0,"",IF($C599="","MissingDate",IF(OR($A599="",$D599="",$E599="",$D599=$E599),"InvalidSchedule",IF(COUNTIF(ActiveActivityCodes,$F599)=0,"InvalidCode",IF(COUNTIFS(tblScheduleData[EmployeeID],$A599,tblScheduleData[OperationalDate],$C599,tblScheduleData[ShiftStart],$D599,tblScheduleData[ShiftEnd],$E599,tblScheduleData[ActivityCode],$F599)&gt;1,"Duplicate","Valid")))))</f>
        <v/>
      </c>
      <c r="K599" s="2" t="n"/>
    </row>
    <row r="600">
      <c r="A600" s="2" t="inlineStr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>
        <f>IF(COUNTA($A600:$F600)=0,"",IF($C600="","MissingDate",IF(OR($A600="",$D600="",$E600="",$D600=$E600),"InvalidSchedule",IF(COUNTIF(ActiveActivityCodes,$F600)=0,"InvalidCode",IF(COUNTIFS(tblScheduleData[EmployeeID],$A600,tblScheduleData[OperationalDate],$C600,tblScheduleData[ShiftStart],$D600,tblScheduleData[ShiftEnd],$E600,tblScheduleData[ActivityCode],$F600)&gt;1,"Duplicate","Valid")))))</f>
        <v/>
      </c>
      <c r="K600" s="2" t="n"/>
    </row>
    <row r="601">
      <c r="A601" s="2" t="inlineStr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>
        <f>IF(COUNTA($A601:$F601)=0,"",IF($C601="","MissingDate",IF(OR($A601="",$D601="",$E601="",$D601=$E601),"InvalidSchedule",IF(COUNTIF(ActiveActivityCodes,$F601)=0,"InvalidCode",IF(COUNTIFS(tblScheduleData[EmployeeID],$A601,tblScheduleData[OperationalDate],$C601,tblScheduleData[ShiftStart],$D601,tblScheduleData[ShiftEnd],$E601,tblScheduleData[ActivityCode],$F601)&gt;1,"Duplicate","Valid")))))</f>
        <v/>
      </c>
      <c r="K601" s="2" t="n"/>
    </row>
    <row r="602">
      <c r="A602" s="2" t="inlineStr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>
        <f>IF(COUNTA($A602:$F602)=0,"",IF($C602="","MissingDate",IF(OR($A602="",$D602="",$E602="",$D602=$E602),"InvalidSchedule",IF(COUNTIF(ActiveActivityCodes,$F602)=0,"InvalidCode",IF(COUNTIFS(tblScheduleData[EmployeeID],$A602,tblScheduleData[OperationalDate],$C602,tblScheduleData[ShiftStart],$D602,tblScheduleData[ShiftEnd],$E602,tblScheduleData[ActivityCode],$F602)&gt;1,"Duplicate","Valid")))))</f>
        <v/>
      </c>
      <c r="K602" s="2" t="n"/>
    </row>
    <row r="603">
      <c r="A603" s="2" t="inlineStr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>
        <f>IF(COUNTA($A603:$F603)=0,"",IF($C603="","MissingDate",IF(OR($A603="",$D603="",$E603="",$D603=$E603),"InvalidSchedule",IF(COUNTIF(ActiveActivityCodes,$F603)=0,"InvalidCode",IF(COUNTIFS(tblScheduleData[EmployeeID],$A603,tblScheduleData[OperationalDate],$C603,tblScheduleData[ShiftStart],$D603,tblScheduleData[ShiftEnd],$E603,tblScheduleData[ActivityCode],$F603)&gt;1,"Duplicate","Valid")))))</f>
        <v/>
      </c>
      <c r="K603" s="2" t="n"/>
    </row>
    <row r="604">
      <c r="A604" s="2" t="inlineStr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>
        <f>IF(COUNTA($A604:$F604)=0,"",IF($C604="","MissingDate",IF(OR($A604="",$D604="",$E604="",$D604=$E604),"InvalidSchedule",IF(COUNTIF(ActiveActivityCodes,$F604)=0,"InvalidCode",IF(COUNTIFS(tblScheduleData[EmployeeID],$A604,tblScheduleData[OperationalDate],$C604,tblScheduleData[ShiftStart],$D604,tblScheduleData[ShiftEnd],$E604,tblScheduleData[ActivityCode],$F604)&gt;1,"Duplicate","Valid")))))</f>
        <v/>
      </c>
      <c r="K604" s="2" t="n"/>
    </row>
    <row r="605">
      <c r="A605" s="2" t="inlineStr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>
        <f>IF(COUNTA($A605:$F605)=0,"",IF($C605="","MissingDate",IF(OR($A605="",$D605="",$E605="",$D605=$E605),"InvalidSchedule",IF(COUNTIF(ActiveActivityCodes,$F605)=0,"InvalidCode",IF(COUNTIFS(tblScheduleData[EmployeeID],$A605,tblScheduleData[OperationalDate],$C605,tblScheduleData[ShiftStart],$D605,tblScheduleData[ShiftEnd],$E605,tblScheduleData[ActivityCode],$F605)&gt;1,"Duplicate","Valid")))))</f>
        <v/>
      </c>
      <c r="K605" s="2" t="n"/>
    </row>
    <row r="606">
      <c r="A606" s="2" t="inlineStr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>
        <f>IF(COUNTA($A606:$F606)=0,"",IF($C606="","MissingDate",IF(OR($A606="",$D606="",$E606="",$D606=$E606),"InvalidSchedule",IF(COUNTIF(ActiveActivityCodes,$F606)=0,"InvalidCode",IF(COUNTIFS(tblScheduleData[EmployeeID],$A606,tblScheduleData[OperationalDate],$C606,tblScheduleData[ShiftStart],$D606,tblScheduleData[ShiftEnd],$E606,tblScheduleData[ActivityCode],$F606)&gt;1,"Duplicate","Valid")))))</f>
        <v/>
      </c>
      <c r="K606" s="2" t="n"/>
    </row>
    <row r="607">
      <c r="A607" s="2" t="inlineStr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>
        <f>IF(COUNTA($A607:$F607)=0,"",IF($C607="","MissingDate",IF(OR($A607="",$D607="",$E607="",$D607=$E607),"InvalidSchedule",IF(COUNTIF(ActiveActivityCodes,$F607)=0,"InvalidCode",IF(COUNTIFS(tblScheduleData[EmployeeID],$A607,tblScheduleData[OperationalDate],$C607,tblScheduleData[ShiftStart],$D607,tblScheduleData[ShiftEnd],$E607,tblScheduleData[ActivityCode],$F607)&gt;1,"Duplicate","Valid")))))</f>
        <v/>
      </c>
      <c r="K607" s="2" t="n"/>
    </row>
    <row r="608">
      <c r="A608" s="2" t="inlineStr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>
        <f>IF(COUNTA($A608:$F608)=0,"",IF($C608="","MissingDate",IF(OR($A608="",$D608="",$E608="",$D608=$E608),"InvalidSchedule",IF(COUNTIF(ActiveActivityCodes,$F608)=0,"InvalidCode",IF(COUNTIFS(tblScheduleData[EmployeeID],$A608,tblScheduleData[OperationalDate],$C608,tblScheduleData[ShiftStart],$D608,tblScheduleData[ShiftEnd],$E608,tblScheduleData[ActivityCode],$F608)&gt;1,"Duplicate","Valid")))))</f>
        <v/>
      </c>
      <c r="K608" s="2" t="n"/>
    </row>
    <row r="609">
      <c r="A609" s="2" t="inlineStr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>
        <f>IF(COUNTA($A609:$F609)=0,"",IF($C609="","MissingDate",IF(OR($A609="",$D609="",$E609="",$D609=$E609),"InvalidSchedule",IF(COUNTIF(ActiveActivityCodes,$F609)=0,"InvalidCode",IF(COUNTIFS(tblScheduleData[EmployeeID],$A609,tblScheduleData[OperationalDate],$C609,tblScheduleData[ShiftStart],$D609,tblScheduleData[ShiftEnd],$E609,tblScheduleData[ActivityCode],$F609)&gt;1,"Duplicate","Valid")))))</f>
        <v/>
      </c>
      <c r="K609" s="2" t="n"/>
    </row>
    <row r="610">
      <c r="A610" s="2" t="inlineStr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>
        <f>IF(COUNTA($A610:$F610)=0,"",IF($C610="","MissingDate",IF(OR($A610="",$D610="",$E610="",$D610=$E610),"InvalidSchedule",IF(COUNTIF(ActiveActivityCodes,$F610)=0,"InvalidCode",IF(COUNTIFS(tblScheduleData[EmployeeID],$A610,tblScheduleData[OperationalDate],$C610,tblScheduleData[ShiftStart],$D610,tblScheduleData[ShiftEnd],$E610,tblScheduleData[ActivityCode],$F610)&gt;1,"Duplicate","Valid")))))</f>
        <v/>
      </c>
      <c r="K610" s="2" t="n"/>
    </row>
    <row r="611">
      <c r="A611" s="2" t="inlineStr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>
        <f>IF(COUNTA($A611:$F611)=0,"",IF($C611="","MissingDate",IF(OR($A611="",$D611="",$E611="",$D611=$E611),"InvalidSchedule",IF(COUNTIF(ActiveActivityCodes,$F611)=0,"InvalidCode",IF(COUNTIFS(tblScheduleData[EmployeeID],$A611,tblScheduleData[OperationalDate],$C611,tblScheduleData[ShiftStart],$D611,tblScheduleData[ShiftEnd],$E611,tblScheduleData[ActivityCode],$F611)&gt;1,"Duplicate","Valid")))))</f>
        <v/>
      </c>
      <c r="K611" s="2" t="n"/>
    </row>
    <row r="612">
      <c r="A612" s="2" t="inlineStr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>
        <f>IF(COUNTA($A612:$F612)=0,"",IF($C612="","MissingDate",IF(OR($A612="",$D612="",$E612="",$D612=$E612),"InvalidSchedule",IF(COUNTIF(ActiveActivityCodes,$F612)=0,"InvalidCode",IF(COUNTIFS(tblScheduleData[EmployeeID],$A612,tblScheduleData[OperationalDate],$C612,tblScheduleData[ShiftStart],$D612,tblScheduleData[ShiftEnd],$E612,tblScheduleData[ActivityCode],$F612)&gt;1,"Duplicate","Valid")))))</f>
        <v/>
      </c>
      <c r="K612" s="2" t="n"/>
    </row>
    <row r="613">
      <c r="A613" s="2" t="inlineStr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>
        <f>IF(COUNTA($A613:$F613)=0,"",IF($C613="","MissingDate",IF(OR($A613="",$D613="",$E613="",$D613=$E613),"InvalidSchedule",IF(COUNTIF(ActiveActivityCodes,$F613)=0,"InvalidCode",IF(COUNTIFS(tblScheduleData[EmployeeID],$A613,tblScheduleData[OperationalDate],$C613,tblScheduleData[ShiftStart],$D613,tblScheduleData[ShiftEnd],$E613,tblScheduleData[ActivityCode],$F613)&gt;1,"Duplicate","Valid")))))</f>
        <v/>
      </c>
      <c r="K613" s="2" t="n"/>
    </row>
    <row r="614">
      <c r="A614" s="2" t="inlineStr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>
        <f>IF(COUNTA($A614:$F614)=0,"",IF($C614="","MissingDate",IF(OR($A614="",$D614="",$E614="",$D614=$E614),"InvalidSchedule",IF(COUNTIF(ActiveActivityCodes,$F614)=0,"InvalidCode",IF(COUNTIFS(tblScheduleData[EmployeeID],$A614,tblScheduleData[OperationalDate],$C614,tblScheduleData[ShiftStart],$D614,tblScheduleData[ShiftEnd],$E614,tblScheduleData[ActivityCode],$F614)&gt;1,"Duplicate","Valid")))))</f>
        <v/>
      </c>
      <c r="K614" s="2" t="n"/>
    </row>
    <row r="615">
      <c r="A615" s="2" t="inlineStr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>
        <f>IF(COUNTA($A615:$F615)=0,"",IF($C615="","MissingDate",IF(OR($A615="",$D615="",$E615="",$D615=$E615),"InvalidSchedule",IF(COUNTIF(ActiveActivityCodes,$F615)=0,"InvalidCode",IF(COUNTIFS(tblScheduleData[EmployeeID],$A615,tblScheduleData[OperationalDate],$C615,tblScheduleData[ShiftStart],$D615,tblScheduleData[ShiftEnd],$E615,tblScheduleData[ActivityCode],$F615)&gt;1,"Duplicate","Valid")))))</f>
        <v/>
      </c>
      <c r="K615" s="2" t="n"/>
    </row>
    <row r="616">
      <c r="A616" s="2" t="inlineStr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>
        <f>IF(COUNTA($A616:$F616)=0,"",IF($C616="","MissingDate",IF(OR($A616="",$D616="",$E616="",$D616=$E616),"InvalidSchedule",IF(COUNTIF(ActiveActivityCodes,$F616)=0,"InvalidCode",IF(COUNTIFS(tblScheduleData[EmployeeID],$A616,tblScheduleData[OperationalDate],$C616,tblScheduleData[ShiftStart],$D616,tblScheduleData[ShiftEnd],$E616,tblScheduleData[ActivityCode],$F616)&gt;1,"Duplicate","Valid")))))</f>
        <v/>
      </c>
      <c r="K616" s="2" t="n"/>
    </row>
    <row r="617">
      <c r="A617" s="2" t="inlineStr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>
        <f>IF(COUNTA($A617:$F617)=0,"",IF($C617="","MissingDate",IF(OR($A617="",$D617="",$E617="",$D617=$E617),"InvalidSchedule",IF(COUNTIF(ActiveActivityCodes,$F617)=0,"InvalidCode",IF(COUNTIFS(tblScheduleData[EmployeeID],$A617,tblScheduleData[OperationalDate],$C617,tblScheduleData[ShiftStart],$D617,tblScheduleData[ShiftEnd],$E617,tblScheduleData[ActivityCode],$F617)&gt;1,"Duplicate","Valid")))))</f>
        <v/>
      </c>
      <c r="K617" s="2" t="n"/>
    </row>
    <row r="618">
      <c r="A618" s="2" t="inlineStr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>
        <f>IF(COUNTA($A618:$F618)=0,"",IF($C618="","MissingDate",IF(OR($A618="",$D618="",$E618="",$D618=$E618),"InvalidSchedule",IF(COUNTIF(ActiveActivityCodes,$F618)=0,"InvalidCode",IF(COUNTIFS(tblScheduleData[EmployeeID],$A618,tblScheduleData[OperationalDate],$C618,tblScheduleData[ShiftStart],$D618,tblScheduleData[ShiftEnd],$E618,tblScheduleData[ActivityCode],$F618)&gt;1,"Duplicate","Valid")))))</f>
        <v/>
      </c>
      <c r="K618" s="2" t="n"/>
    </row>
    <row r="619">
      <c r="A619" s="2" t="inlineStr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>
        <f>IF(COUNTA($A619:$F619)=0,"",IF($C619="","MissingDate",IF(OR($A619="",$D619="",$E619="",$D619=$E619),"InvalidSchedule",IF(COUNTIF(ActiveActivityCodes,$F619)=0,"InvalidCode",IF(COUNTIFS(tblScheduleData[EmployeeID],$A619,tblScheduleData[OperationalDate],$C619,tblScheduleData[ShiftStart],$D619,tblScheduleData[ShiftEnd],$E619,tblScheduleData[ActivityCode],$F619)&gt;1,"Duplicate","Valid")))))</f>
        <v/>
      </c>
      <c r="K619" s="2" t="n"/>
    </row>
    <row r="620">
      <c r="A620" s="2" t="inlineStr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>
        <f>IF(COUNTA($A620:$F620)=0,"",IF($C620="","MissingDate",IF(OR($A620="",$D620="",$E620="",$D620=$E620),"InvalidSchedule",IF(COUNTIF(ActiveActivityCodes,$F620)=0,"InvalidCode",IF(COUNTIFS(tblScheduleData[EmployeeID],$A620,tblScheduleData[OperationalDate],$C620,tblScheduleData[ShiftStart],$D620,tblScheduleData[ShiftEnd],$E620,tblScheduleData[ActivityCode],$F620)&gt;1,"Duplicate","Valid")))))</f>
        <v/>
      </c>
      <c r="K620" s="2" t="n"/>
    </row>
    <row r="621">
      <c r="A621" s="2" t="inlineStr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>
        <f>IF(COUNTA($A621:$F621)=0,"",IF($C621="","MissingDate",IF(OR($A621="",$D621="",$E621="",$D621=$E621),"InvalidSchedule",IF(COUNTIF(ActiveActivityCodes,$F621)=0,"InvalidCode",IF(COUNTIFS(tblScheduleData[EmployeeID],$A621,tblScheduleData[OperationalDate],$C621,tblScheduleData[ShiftStart],$D621,tblScheduleData[ShiftEnd],$E621,tblScheduleData[ActivityCode],$F621)&gt;1,"Duplicate","Valid")))))</f>
        <v/>
      </c>
      <c r="K621" s="2" t="n"/>
    </row>
    <row r="622">
      <c r="A622" s="2" t="inlineStr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>
        <f>IF(COUNTA($A622:$F622)=0,"",IF($C622="","MissingDate",IF(OR($A622="",$D622="",$E622="",$D622=$E622),"InvalidSchedule",IF(COUNTIF(ActiveActivityCodes,$F622)=0,"InvalidCode",IF(COUNTIFS(tblScheduleData[EmployeeID],$A622,tblScheduleData[OperationalDate],$C622,tblScheduleData[ShiftStart],$D622,tblScheduleData[ShiftEnd],$E622,tblScheduleData[ActivityCode],$F622)&gt;1,"Duplicate","Valid")))))</f>
        <v/>
      </c>
      <c r="K622" s="2" t="n"/>
    </row>
    <row r="623">
      <c r="A623" s="2" t="inlineStr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>
        <f>IF(COUNTA($A623:$F623)=0,"",IF($C623="","MissingDate",IF(OR($A623="",$D623="",$E623="",$D623=$E623),"InvalidSchedule",IF(COUNTIF(ActiveActivityCodes,$F623)=0,"InvalidCode",IF(COUNTIFS(tblScheduleData[EmployeeID],$A623,tblScheduleData[OperationalDate],$C623,tblScheduleData[ShiftStart],$D623,tblScheduleData[ShiftEnd],$E623,tblScheduleData[ActivityCode],$F623)&gt;1,"Duplicate","Valid")))))</f>
        <v/>
      </c>
      <c r="K623" s="2" t="n"/>
    </row>
    <row r="624">
      <c r="A624" s="2" t="inlineStr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>
        <f>IF(COUNTA($A624:$F624)=0,"",IF($C624="","MissingDate",IF(OR($A624="",$D624="",$E624="",$D624=$E624),"InvalidSchedule",IF(COUNTIF(ActiveActivityCodes,$F624)=0,"InvalidCode",IF(COUNTIFS(tblScheduleData[EmployeeID],$A624,tblScheduleData[OperationalDate],$C624,tblScheduleData[ShiftStart],$D624,tblScheduleData[ShiftEnd],$E624,tblScheduleData[ActivityCode],$F624)&gt;1,"Duplicate","Valid")))))</f>
        <v/>
      </c>
      <c r="K624" s="2" t="n"/>
    </row>
    <row r="625">
      <c r="A625" s="2" t="inlineStr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>
        <f>IF(COUNTA($A625:$F625)=0,"",IF($C625="","MissingDate",IF(OR($A625="",$D625="",$E625="",$D625=$E625),"InvalidSchedule",IF(COUNTIF(ActiveActivityCodes,$F625)=0,"InvalidCode",IF(COUNTIFS(tblScheduleData[EmployeeID],$A625,tblScheduleData[OperationalDate],$C625,tblScheduleData[ShiftStart],$D625,tblScheduleData[ShiftEnd],$E625,tblScheduleData[ActivityCode],$F625)&gt;1,"Duplicate","Valid")))))</f>
        <v/>
      </c>
      <c r="K625" s="2" t="n"/>
    </row>
    <row r="626">
      <c r="A626" s="2" t="inlineStr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>
        <f>IF(COUNTA($A626:$F626)=0,"",IF($C626="","MissingDate",IF(OR($A626="",$D626="",$E626="",$D626=$E626),"InvalidSchedule",IF(COUNTIF(ActiveActivityCodes,$F626)=0,"InvalidCode",IF(COUNTIFS(tblScheduleData[EmployeeID],$A626,tblScheduleData[OperationalDate],$C626,tblScheduleData[ShiftStart],$D626,tblScheduleData[ShiftEnd],$E626,tblScheduleData[ActivityCode],$F626)&gt;1,"Duplicate","Valid")))))</f>
        <v/>
      </c>
      <c r="K626" s="2" t="n"/>
    </row>
    <row r="627">
      <c r="A627" s="2" t="inlineStr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>
        <f>IF(COUNTA($A627:$F627)=0,"",IF($C627="","MissingDate",IF(OR($A627="",$D627="",$E627="",$D627=$E627),"InvalidSchedule",IF(COUNTIF(ActiveActivityCodes,$F627)=0,"InvalidCode",IF(COUNTIFS(tblScheduleData[EmployeeID],$A627,tblScheduleData[OperationalDate],$C627,tblScheduleData[ShiftStart],$D627,tblScheduleData[ShiftEnd],$E627,tblScheduleData[ActivityCode],$F627)&gt;1,"Duplicate","Valid")))))</f>
        <v/>
      </c>
      <c r="K627" s="2" t="n"/>
    </row>
    <row r="628">
      <c r="A628" s="2" t="inlineStr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>
        <f>IF(COUNTA($A628:$F628)=0,"",IF($C628="","MissingDate",IF(OR($A628="",$D628="",$E628="",$D628=$E628),"InvalidSchedule",IF(COUNTIF(ActiveActivityCodes,$F628)=0,"InvalidCode",IF(COUNTIFS(tblScheduleData[EmployeeID],$A628,tblScheduleData[OperationalDate],$C628,tblScheduleData[ShiftStart],$D628,tblScheduleData[ShiftEnd],$E628,tblScheduleData[ActivityCode],$F628)&gt;1,"Duplicate","Valid")))))</f>
        <v/>
      </c>
      <c r="K628" s="2" t="n"/>
    </row>
    <row r="629">
      <c r="A629" s="2" t="inlineStr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>
        <f>IF(COUNTA($A629:$F629)=0,"",IF($C629="","MissingDate",IF(OR($A629="",$D629="",$E629="",$D629=$E629),"InvalidSchedule",IF(COUNTIF(ActiveActivityCodes,$F629)=0,"InvalidCode",IF(COUNTIFS(tblScheduleData[EmployeeID],$A629,tblScheduleData[OperationalDate],$C629,tblScheduleData[ShiftStart],$D629,tblScheduleData[ShiftEnd],$E629,tblScheduleData[ActivityCode],$F629)&gt;1,"Duplicate","Valid")))))</f>
        <v/>
      </c>
      <c r="K629" s="2" t="n"/>
    </row>
    <row r="630">
      <c r="A630" s="2" t="inlineStr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>
        <f>IF(COUNTA($A630:$F630)=0,"",IF($C630="","MissingDate",IF(OR($A630="",$D630="",$E630="",$D630=$E630),"InvalidSchedule",IF(COUNTIF(ActiveActivityCodes,$F630)=0,"InvalidCode",IF(COUNTIFS(tblScheduleData[EmployeeID],$A630,tblScheduleData[OperationalDate],$C630,tblScheduleData[ShiftStart],$D630,tblScheduleData[ShiftEnd],$E630,tblScheduleData[ActivityCode],$F630)&gt;1,"Duplicate","Valid")))))</f>
        <v/>
      </c>
      <c r="K630" s="2" t="n"/>
    </row>
    <row r="631">
      <c r="A631" s="2" t="inlineStr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>
        <f>IF(COUNTA($A631:$F631)=0,"",IF($C631="","MissingDate",IF(OR($A631="",$D631="",$E631="",$D631=$E631),"InvalidSchedule",IF(COUNTIF(ActiveActivityCodes,$F631)=0,"InvalidCode",IF(COUNTIFS(tblScheduleData[EmployeeID],$A631,tblScheduleData[OperationalDate],$C631,tblScheduleData[ShiftStart],$D631,tblScheduleData[ShiftEnd],$E631,tblScheduleData[ActivityCode],$F631)&gt;1,"Duplicate","Valid")))))</f>
        <v/>
      </c>
      <c r="K631" s="2" t="n"/>
    </row>
    <row r="632">
      <c r="A632" s="2" t="inlineStr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>
        <f>IF(COUNTA($A632:$F632)=0,"",IF($C632="","MissingDate",IF(OR($A632="",$D632="",$E632="",$D632=$E632),"InvalidSchedule",IF(COUNTIF(ActiveActivityCodes,$F632)=0,"InvalidCode",IF(COUNTIFS(tblScheduleData[EmployeeID],$A632,tblScheduleData[OperationalDate],$C632,tblScheduleData[ShiftStart],$D632,tblScheduleData[ShiftEnd],$E632,tblScheduleData[ActivityCode],$F632)&gt;1,"Duplicate","Valid")))))</f>
        <v/>
      </c>
      <c r="K632" s="2" t="n"/>
    </row>
    <row r="633">
      <c r="A633" s="2" t="inlineStr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>
        <f>IF(COUNTA($A633:$F633)=0,"",IF($C633="","MissingDate",IF(OR($A633="",$D633="",$E633="",$D633=$E633),"InvalidSchedule",IF(COUNTIF(ActiveActivityCodes,$F633)=0,"InvalidCode",IF(COUNTIFS(tblScheduleData[EmployeeID],$A633,tblScheduleData[OperationalDate],$C633,tblScheduleData[ShiftStart],$D633,tblScheduleData[ShiftEnd],$E633,tblScheduleData[ActivityCode],$F633)&gt;1,"Duplicate","Valid")))))</f>
        <v/>
      </c>
      <c r="K633" s="2" t="n"/>
    </row>
    <row r="634">
      <c r="A634" s="2" t="inlineStr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>
        <f>IF(COUNTA($A634:$F634)=0,"",IF($C634="","MissingDate",IF(OR($A634="",$D634="",$E634="",$D634=$E634),"InvalidSchedule",IF(COUNTIF(ActiveActivityCodes,$F634)=0,"InvalidCode",IF(COUNTIFS(tblScheduleData[EmployeeID],$A634,tblScheduleData[OperationalDate],$C634,tblScheduleData[ShiftStart],$D634,tblScheduleData[ShiftEnd],$E634,tblScheduleData[ActivityCode],$F634)&gt;1,"Duplicate","Valid")))))</f>
        <v/>
      </c>
      <c r="K634" s="2" t="n"/>
    </row>
    <row r="635">
      <c r="A635" s="2" t="inlineStr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>
        <f>IF(COUNTA($A635:$F635)=0,"",IF($C635="","MissingDate",IF(OR($A635="",$D635="",$E635="",$D635=$E635),"InvalidSchedule",IF(COUNTIF(ActiveActivityCodes,$F635)=0,"InvalidCode",IF(COUNTIFS(tblScheduleData[EmployeeID],$A635,tblScheduleData[OperationalDate],$C635,tblScheduleData[ShiftStart],$D635,tblScheduleData[ShiftEnd],$E635,tblScheduleData[ActivityCode],$F635)&gt;1,"Duplicate","Valid")))))</f>
        <v/>
      </c>
      <c r="K635" s="2" t="n"/>
    </row>
    <row r="636">
      <c r="A636" s="2" t="inlineStr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>
        <f>IF(COUNTA($A636:$F636)=0,"",IF($C636="","MissingDate",IF(OR($A636="",$D636="",$E636="",$D636=$E636),"InvalidSchedule",IF(COUNTIF(ActiveActivityCodes,$F636)=0,"InvalidCode",IF(COUNTIFS(tblScheduleData[EmployeeID],$A636,tblScheduleData[OperationalDate],$C636,tblScheduleData[ShiftStart],$D636,tblScheduleData[ShiftEnd],$E636,tblScheduleData[ActivityCode],$F636)&gt;1,"Duplicate","Valid")))))</f>
        <v/>
      </c>
      <c r="K636" s="2" t="n"/>
    </row>
    <row r="637">
      <c r="A637" s="2" t="inlineStr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>
        <f>IF(COUNTA($A637:$F637)=0,"",IF($C637="","MissingDate",IF(OR($A637="",$D637="",$E637="",$D637=$E637),"InvalidSchedule",IF(COUNTIF(ActiveActivityCodes,$F637)=0,"InvalidCode",IF(COUNTIFS(tblScheduleData[EmployeeID],$A637,tblScheduleData[OperationalDate],$C637,tblScheduleData[ShiftStart],$D637,tblScheduleData[ShiftEnd],$E637,tblScheduleData[ActivityCode],$F637)&gt;1,"Duplicate","Valid")))))</f>
        <v/>
      </c>
      <c r="K637" s="2" t="n"/>
    </row>
    <row r="638">
      <c r="A638" s="2" t="inlineStr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>
        <f>IF(COUNTA($A638:$F638)=0,"",IF($C638="","MissingDate",IF(OR($A638="",$D638="",$E638="",$D638=$E638),"InvalidSchedule",IF(COUNTIF(ActiveActivityCodes,$F638)=0,"InvalidCode",IF(COUNTIFS(tblScheduleData[EmployeeID],$A638,tblScheduleData[OperationalDate],$C638,tblScheduleData[ShiftStart],$D638,tblScheduleData[ShiftEnd],$E638,tblScheduleData[ActivityCode],$F638)&gt;1,"Duplicate","Valid")))))</f>
        <v/>
      </c>
      <c r="K638" s="2" t="n"/>
    </row>
    <row r="639">
      <c r="A639" s="2" t="inlineStr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>
        <f>IF(COUNTA($A639:$F639)=0,"",IF($C639="","MissingDate",IF(OR($A639="",$D639="",$E639="",$D639=$E639),"InvalidSchedule",IF(COUNTIF(ActiveActivityCodes,$F639)=0,"InvalidCode",IF(COUNTIFS(tblScheduleData[EmployeeID],$A639,tblScheduleData[OperationalDate],$C639,tblScheduleData[ShiftStart],$D639,tblScheduleData[ShiftEnd],$E639,tblScheduleData[ActivityCode],$F639)&gt;1,"Duplicate","Valid")))))</f>
        <v/>
      </c>
      <c r="K639" s="2" t="n"/>
    </row>
    <row r="640">
      <c r="A640" s="2" t="inlineStr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>
        <f>IF(COUNTA($A640:$F640)=0,"",IF($C640="","MissingDate",IF(OR($A640="",$D640="",$E640="",$D640=$E640),"InvalidSchedule",IF(COUNTIF(ActiveActivityCodes,$F640)=0,"InvalidCode",IF(COUNTIFS(tblScheduleData[EmployeeID],$A640,tblScheduleData[OperationalDate],$C640,tblScheduleData[ShiftStart],$D640,tblScheduleData[ShiftEnd],$E640,tblScheduleData[ActivityCode],$F640)&gt;1,"Duplicate","Valid")))))</f>
        <v/>
      </c>
      <c r="K640" s="2" t="n"/>
    </row>
    <row r="641">
      <c r="A641" s="2" t="inlineStr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>
        <f>IF(COUNTA($A641:$F641)=0,"",IF($C641="","MissingDate",IF(OR($A641="",$D641="",$E641="",$D641=$E641),"InvalidSchedule",IF(COUNTIF(ActiveActivityCodes,$F641)=0,"InvalidCode",IF(COUNTIFS(tblScheduleData[EmployeeID],$A641,tblScheduleData[OperationalDate],$C641,tblScheduleData[ShiftStart],$D641,tblScheduleData[ShiftEnd],$E641,tblScheduleData[ActivityCode],$F641)&gt;1,"Duplicate","Valid")))))</f>
        <v/>
      </c>
      <c r="K641" s="2" t="n"/>
    </row>
    <row r="642">
      <c r="A642" s="2" t="inlineStr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>
        <f>IF(COUNTA($A642:$F642)=0,"",IF($C642="","MissingDate",IF(OR($A642="",$D642="",$E642="",$D642=$E642),"InvalidSchedule",IF(COUNTIF(ActiveActivityCodes,$F642)=0,"InvalidCode",IF(COUNTIFS(tblScheduleData[EmployeeID],$A642,tblScheduleData[OperationalDate],$C642,tblScheduleData[ShiftStart],$D642,tblScheduleData[ShiftEnd],$E642,tblScheduleData[ActivityCode],$F642)&gt;1,"Duplicate","Valid")))))</f>
        <v/>
      </c>
      <c r="K642" s="2" t="n"/>
    </row>
    <row r="643">
      <c r="A643" s="2" t="inlineStr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>
        <f>IF(COUNTA($A643:$F643)=0,"",IF($C643="","MissingDate",IF(OR($A643="",$D643="",$E643="",$D643=$E643),"InvalidSchedule",IF(COUNTIF(ActiveActivityCodes,$F643)=0,"InvalidCode",IF(COUNTIFS(tblScheduleData[EmployeeID],$A643,tblScheduleData[OperationalDate],$C643,tblScheduleData[ShiftStart],$D643,tblScheduleData[ShiftEnd],$E643,tblScheduleData[ActivityCode],$F643)&gt;1,"Duplicate","Valid")))))</f>
        <v/>
      </c>
      <c r="K643" s="2" t="n"/>
    </row>
    <row r="644">
      <c r="A644" s="2" t="inlineStr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>
        <f>IF(COUNTA($A644:$F644)=0,"",IF($C644="","MissingDate",IF(OR($A644="",$D644="",$E644="",$D644=$E644),"InvalidSchedule",IF(COUNTIF(ActiveActivityCodes,$F644)=0,"InvalidCode",IF(COUNTIFS(tblScheduleData[EmployeeID],$A644,tblScheduleData[OperationalDate],$C644,tblScheduleData[ShiftStart],$D644,tblScheduleData[ShiftEnd],$E644,tblScheduleData[ActivityCode],$F644)&gt;1,"Duplicate","Valid")))))</f>
        <v/>
      </c>
      <c r="K644" s="2" t="n"/>
    </row>
    <row r="645">
      <c r="A645" s="2" t="inlineStr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>
        <f>IF(COUNTA($A645:$F645)=0,"",IF($C645="","MissingDate",IF(OR($A645="",$D645="",$E645="",$D645=$E645),"InvalidSchedule",IF(COUNTIF(ActiveActivityCodes,$F645)=0,"InvalidCode",IF(COUNTIFS(tblScheduleData[EmployeeID],$A645,tblScheduleData[OperationalDate],$C645,tblScheduleData[ShiftStart],$D645,tblScheduleData[ShiftEnd],$E645,tblScheduleData[ActivityCode],$F645)&gt;1,"Duplicate","Valid")))))</f>
        <v/>
      </c>
      <c r="K645" s="2" t="n"/>
    </row>
    <row r="646">
      <c r="A646" s="2" t="inlineStr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>
        <f>IF(COUNTA($A646:$F646)=0,"",IF($C646="","MissingDate",IF(OR($A646="",$D646="",$E646="",$D646=$E646),"InvalidSchedule",IF(COUNTIF(ActiveActivityCodes,$F646)=0,"InvalidCode",IF(COUNTIFS(tblScheduleData[EmployeeID],$A646,tblScheduleData[OperationalDate],$C646,tblScheduleData[ShiftStart],$D646,tblScheduleData[ShiftEnd],$E646,tblScheduleData[ActivityCode],$F646)&gt;1,"Duplicate","Valid")))))</f>
        <v/>
      </c>
      <c r="K646" s="2" t="n"/>
    </row>
    <row r="647">
      <c r="A647" s="2" t="inlineStr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>
        <f>IF(COUNTA($A647:$F647)=0,"",IF($C647="","MissingDate",IF(OR($A647="",$D647="",$E647="",$D647=$E647),"InvalidSchedule",IF(COUNTIF(ActiveActivityCodes,$F647)=0,"InvalidCode",IF(COUNTIFS(tblScheduleData[EmployeeID],$A647,tblScheduleData[OperationalDate],$C647,tblScheduleData[ShiftStart],$D647,tblScheduleData[ShiftEnd],$E647,tblScheduleData[ActivityCode],$F647)&gt;1,"Duplicate","Valid")))))</f>
        <v/>
      </c>
      <c r="K647" s="2" t="n"/>
    </row>
    <row r="648">
      <c r="A648" s="2" t="inlineStr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>
        <f>IF(COUNTA($A648:$F648)=0,"",IF($C648="","MissingDate",IF(OR($A648="",$D648="",$E648="",$D648=$E648),"InvalidSchedule",IF(COUNTIF(ActiveActivityCodes,$F648)=0,"InvalidCode",IF(COUNTIFS(tblScheduleData[EmployeeID],$A648,tblScheduleData[OperationalDate],$C648,tblScheduleData[ShiftStart],$D648,tblScheduleData[ShiftEnd],$E648,tblScheduleData[ActivityCode],$F648)&gt;1,"Duplicate","Valid")))))</f>
        <v/>
      </c>
      <c r="K648" s="2" t="n"/>
    </row>
    <row r="649">
      <c r="A649" s="2" t="inlineStr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>
        <f>IF(COUNTA($A649:$F649)=0,"",IF($C649="","MissingDate",IF(OR($A649="",$D649="",$E649="",$D649=$E649),"InvalidSchedule",IF(COUNTIF(ActiveActivityCodes,$F649)=0,"InvalidCode",IF(COUNTIFS(tblScheduleData[EmployeeID],$A649,tblScheduleData[OperationalDate],$C649,tblScheduleData[ShiftStart],$D649,tblScheduleData[ShiftEnd],$E649,tblScheduleData[ActivityCode],$F649)&gt;1,"Duplicate","Valid")))))</f>
        <v/>
      </c>
      <c r="K649" s="2" t="n"/>
    </row>
    <row r="650">
      <c r="A650" s="2" t="inlineStr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>
        <f>IF(COUNTA($A650:$F650)=0,"",IF($C650="","MissingDate",IF(OR($A650="",$D650="",$E650="",$D650=$E650),"InvalidSchedule",IF(COUNTIF(ActiveActivityCodes,$F650)=0,"InvalidCode",IF(COUNTIFS(tblScheduleData[EmployeeID],$A650,tblScheduleData[OperationalDate],$C650,tblScheduleData[ShiftStart],$D650,tblScheduleData[ShiftEnd],$E650,tblScheduleData[ActivityCode],$F650)&gt;1,"Duplicate","Valid")))))</f>
        <v/>
      </c>
      <c r="K650" s="2" t="n"/>
    </row>
    <row r="651">
      <c r="A651" s="2" t="inlineStr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>
        <f>IF(COUNTA($A651:$F651)=0,"",IF($C651="","MissingDate",IF(OR($A651="",$D651="",$E651="",$D651=$E651),"InvalidSchedule",IF(COUNTIF(ActiveActivityCodes,$F651)=0,"InvalidCode",IF(COUNTIFS(tblScheduleData[EmployeeID],$A651,tblScheduleData[OperationalDate],$C651,tblScheduleData[ShiftStart],$D651,tblScheduleData[ShiftEnd],$E651,tblScheduleData[ActivityCode],$F651)&gt;1,"Duplicate","Valid")))))</f>
        <v/>
      </c>
      <c r="K651" s="2" t="n"/>
    </row>
    <row r="652">
      <c r="A652" s="2" t="inlineStr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>
        <f>IF(COUNTA($A652:$F652)=0,"",IF($C652="","MissingDate",IF(OR($A652="",$D652="",$E652="",$D652=$E652),"InvalidSchedule",IF(COUNTIF(ActiveActivityCodes,$F652)=0,"InvalidCode",IF(COUNTIFS(tblScheduleData[EmployeeID],$A652,tblScheduleData[OperationalDate],$C652,tblScheduleData[ShiftStart],$D652,tblScheduleData[ShiftEnd],$E652,tblScheduleData[ActivityCode],$F652)&gt;1,"Duplicate","Valid")))))</f>
        <v/>
      </c>
      <c r="K652" s="2" t="n"/>
    </row>
    <row r="653">
      <c r="A653" s="2" t="inlineStr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>
        <f>IF(COUNTA($A653:$F653)=0,"",IF($C653="","MissingDate",IF(OR($A653="",$D653="",$E653="",$D653=$E653),"InvalidSchedule",IF(COUNTIF(ActiveActivityCodes,$F653)=0,"InvalidCode",IF(COUNTIFS(tblScheduleData[EmployeeID],$A653,tblScheduleData[OperationalDate],$C653,tblScheduleData[ShiftStart],$D653,tblScheduleData[ShiftEnd],$E653,tblScheduleData[ActivityCode],$F653)&gt;1,"Duplicate","Valid")))))</f>
        <v/>
      </c>
      <c r="K653" s="2" t="n"/>
    </row>
    <row r="654">
      <c r="A654" s="2" t="inlineStr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>
        <f>IF(COUNTA($A654:$F654)=0,"",IF($C654="","MissingDate",IF(OR($A654="",$D654="",$E654="",$D654=$E654),"InvalidSchedule",IF(COUNTIF(ActiveActivityCodes,$F654)=0,"InvalidCode",IF(COUNTIFS(tblScheduleData[EmployeeID],$A654,tblScheduleData[OperationalDate],$C654,tblScheduleData[ShiftStart],$D654,tblScheduleData[ShiftEnd],$E654,tblScheduleData[ActivityCode],$F654)&gt;1,"Duplicate","Valid")))))</f>
        <v/>
      </c>
      <c r="K654" s="2" t="n"/>
    </row>
    <row r="655">
      <c r="A655" s="2" t="inlineStr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>
        <f>IF(COUNTA($A655:$F655)=0,"",IF($C655="","MissingDate",IF(OR($A655="",$D655="",$E655="",$D655=$E655),"InvalidSchedule",IF(COUNTIF(ActiveActivityCodes,$F655)=0,"InvalidCode",IF(COUNTIFS(tblScheduleData[EmployeeID],$A655,tblScheduleData[OperationalDate],$C655,tblScheduleData[ShiftStart],$D655,tblScheduleData[ShiftEnd],$E655,tblScheduleData[ActivityCode],$F655)&gt;1,"Duplicate","Valid")))))</f>
        <v/>
      </c>
      <c r="K655" s="2" t="n"/>
    </row>
    <row r="656">
      <c r="A656" s="2" t="inlineStr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>
        <f>IF(COUNTA($A656:$F656)=0,"",IF($C656="","MissingDate",IF(OR($A656="",$D656="",$E656="",$D656=$E656),"InvalidSchedule",IF(COUNTIF(ActiveActivityCodes,$F656)=0,"InvalidCode",IF(COUNTIFS(tblScheduleData[EmployeeID],$A656,tblScheduleData[OperationalDate],$C656,tblScheduleData[ShiftStart],$D656,tblScheduleData[ShiftEnd],$E656,tblScheduleData[ActivityCode],$F656)&gt;1,"Duplicate","Valid")))))</f>
        <v/>
      </c>
      <c r="K656" s="2" t="n"/>
    </row>
    <row r="657">
      <c r="A657" s="2" t="inlineStr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>
        <f>IF(COUNTA($A657:$F657)=0,"",IF($C657="","MissingDate",IF(OR($A657="",$D657="",$E657="",$D657=$E657),"InvalidSchedule",IF(COUNTIF(ActiveActivityCodes,$F657)=0,"InvalidCode",IF(COUNTIFS(tblScheduleData[EmployeeID],$A657,tblScheduleData[OperationalDate],$C657,tblScheduleData[ShiftStart],$D657,tblScheduleData[ShiftEnd],$E657,tblScheduleData[ActivityCode],$F657)&gt;1,"Duplicate","Valid")))))</f>
        <v/>
      </c>
      <c r="K657" s="2" t="n"/>
    </row>
    <row r="658">
      <c r="A658" s="2" t="inlineStr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>
        <f>IF(COUNTA($A658:$F658)=0,"",IF($C658="","MissingDate",IF(OR($A658="",$D658="",$E658="",$D658=$E658),"InvalidSchedule",IF(COUNTIF(ActiveActivityCodes,$F658)=0,"InvalidCode",IF(COUNTIFS(tblScheduleData[EmployeeID],$A658,tblScheduleData[OperationalDate],$C658,tblScheduleData[ShiftStart],$D658,tblScheduleData[ShiftEnd],$E658,tblScheduleData[ActivityCode],$F658)&gt;1,"Duplicate","Valid")))))</f>
        <v/>
      </c>
      <c r="K658" s="2" t="n"/>
    </row>
    <row r="659">
      <c r="A659" s="2" t="inlineStr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>
        <f>IF(COUNTA($A659:$F659)=0,"",IF($C659="","MissingDate",IF(OR($A659="",$D659="",$E659="",$D659=$E659),"InvalidSchedule",IF(COUNTIF(ActiveActivityCodes,$F659)=0,"InvalidCode",IF(COUNTIFS(tblScheduleData[EmployeeID],$A659,tblScheduleData[OperationalDate],$C659,tblScheduleData[ShiftStart],$D659,tblScheduleData[ShiftEnd],$E659,tblScheduleData[ActivityCode],$F659)&gt;1,"Duplicate","Valid")))))</f>
        <v/>
      </c>
      <c r="K659" s="2" t="n"/>
    </row>
    <row r="660">
      <c r="A660" s="2" t="inlineStr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>
        <f>IF(COUNTA($A660:$F660)=0,"",IF($C660="","MissingDate",IF(OR($A660="",$D660="",$E660="",$D660=$E660),"InvalidSchedule",IF(COUNTIF(ActiveActivityCodes,$F660)=0,"InvalidCode",IF(COUNTIFS(tblScheduleData[EmployeeID],$A660,tblScheduleData[OperationalDate],$C660,tblScheduleData[ShiftStart],$D660,tblScheduleData[ShiftEnd],$E660,tblScheduleData[ActivityCode],$F660)&gt;1,"Duplicate","Valid")))))</f>
        <v/>
      </c>
      <c r="K660" s="2" t="n"/>
    </row>
    <row r="661">
      <c r="A661" s="2" t="inlineStr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>
        <f>IF(COUNTA($A661:$F661)=0,"",IF($C661="","MissingDate",IF(OR($A661="",$D661="",$E661="",$D661=$E661),"InvalidSchedule",IF(COUNTIF(ActiveActivityCodes,$F661)=0,"InvalidCode",IF(COUNTIFS(tblScheduleData[EmployeeID],$A661,tblScheduleData[OperationalDate],$C661,tblScheduleData[ShiftStart],$D661,tblScheduleData[ShiftEnd],$E661,tblScheduleData[ActivityCode],$F661)&gt;1,"Duplicate","Valid")))))</f>
        <v/>
      </c>
      <c r="K661" s="2" t="n"/>
    </row>
    <row r="662">
      <c r="A662" s="2" t="inlineStr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>
        <f>IF(COUNTA($A662:$F662)=0,"",IF($C662="","MissingDate",IF(OR($A662="",$D662="",$E662="",$D662=$E662),"InvalidSchedule",IF(COUNTIF(ActiveActivityCodes,$F662)=0,"InvalidCode",IF(COUNTIFS(tblScheduleData[EmployeeID],$A662,tblScheduleData[OperationalDate],$C662,tblScheduleData[ShiftStart],$D662,tblScheduleData[ShiftEnd],$E662,tblScheduleData[ActivityCode],$F662)&gt;1,"Duplicate","Valid")))))</f>
        <v/>
      </c>
      <c r="K662" s="2" t="n"/>
    </row>
    <row r="663">
      <c r="A663" s="2" t="inlineStr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>
        <f>IF(COUNTA($A663:$F663)=0,"",IF($C663="","MissingDate",IF(OR($A663="",$D663="",$E663="",$D663=$E663),"InvalidSchedule",IF(COUNTIF(ActiveActivityCodes,$F663)=0,"InvalidCode",IF(COUNTIFS(tblScheduleData[EmployeeID],$A663,tblScheduleData[OperationalDate],$C663,tblScheduleData[ShiftStart],$D663,tblScheduleData[ShiftEnd],$E663,tblScheduleData[ActivityCode],$F663)&gt;1,"Duplicate","Valid")))))</f>
        <v/>
      </c>
      <c r="K663" s="2" t="n"/>
    </row>
    <row r="664">
      <c r="A664" s="2" t="inlineStr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>
        <f>IF(COUNTA($A664:$F664)=0,"",IF($C664="","MissingDate",IF(OR($A664="",$D664="",$E664="",$D664=$E664),"InvalidSchedule",IF(COUNTIF(ActiveActivityCodes,$F664)=0,"InvalidCode",IF(COUNTIFS(tblScheduleData[EmployeeID],$A664,tblScheduleData[OperationalDate],$C664,tblScheduleData[ShiftStart],$D664,tblScheduleData[ShiftEnd],$E664,tblScheduleData[ActivityCode],$F664)&gt;1,"Duplicate","Valid")))))</f>
        <v/>
      </c>
      <c r="K664" s="2" t="n"/>
    </row>
    <row r="665">
      <c r="A665" s="2" t="inlineStr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>
        <f>IF(COUNTA($A665:$F665)=0,"",IF($C665="","MissingDate",IF(OR($A665="",$D665="",$E665="",$D665=$E665),"InvalidSchedule",IF(COUNTIF(ActiveActivityCodes,$F665)=0,"InvalidCode",IF(COUNTIFS(tblScheduleData[EmployeeID],$A665,tblScheduleData[OperationalDate],$C665,tblScheduleData[ShiftStart],$D665,tblScheduleData[ShiftEnd],$E665,tblScheduleData[ActivityCode],$F665)&gt;1,"Duplicate","Valid")))))</f>
        <v/>
      </c>
      <c r="K665" s="2" t="n"/>
    </row>
    <row r="666">
      <c r="A666" s="2" t="inlineStr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>
        <f>IF(COUNTA($A666:$F666)=0,"",IF($C666="","MissingDate",IF(OR($A666="",$D666="",$E666="",$D666=$E666),"InvalidSchedule",IF(COUNTIF(ActiveActivityCodes,$F666)=0,"InvalidCode",IF(COUNTIFS(tblScheduleData[EmployeeID],$A666,tblScheduleData[OperationalDate],$C666,tblScheduleData[ShiftStart],$D666,tblScheduleData[ShiftEnd],$E666,tblScheduleData[ActivityCode],$F666)&gt;1,"Duplicate","Valid")))))</f>
        <v/>
      </c>
      <c r="K666" s="2" t="n"/>
    </row>
    <row r="667">
      <c r="A667" s="2" t="inlineStr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>
        <f>IF(COUNTA($A667:$F667)=0,"",IF($C667="","MissingDate",IF(OR($A667="",$D667="",$E667="",$D667=$E667),"InvalidSchedule",IF(COUNTIF(ActiveActivityCodes,$F667)=0,"InvalidCode",IF(COUNTIFS(tblScheduleData[EmployeeID],$A667,tblScheduleData[OperationalDate],$C667,tblScheduleData[ShiftStart],$D667,tblScheduleData[ShiftEnd],$E667,tblScheduleData[ActivityCode],$F667)&gt;1,"Duplicate","Valid")))))</f>
        <v/>
      </c>
      <c r="K667" s="2" t="n"/>
    </row>
    <row r="668">
      <c r="A668" s="2" t="inlineStr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>
        <f>IF(COUNTA($A668:$F668)=0,"",IF($C668="","MissingDate",IF(OR($A668="",$D668="",$E668="",$D668=$E668),"InvalidSchedule",IF(COUNTIF(ActiveActivityCodes,$F668)=0,"InvalidCode",IF(COUNTIFS(tblScheduleData[EmployeeID],$A668,tblScheduleData[OperationalDate],$C668,tblScheduleData[ShiftStart],$D668,tblScheduleData[ShiftEnd],$E668,tblScheduleData[ActivityCode],$F668)&gt;1,"Duplicate","Valid")))))</f>
        <v/>
      </c>
      <c r="K668" s="2" t="n"/>
    </row>
    <row r="669">
      <c r="A669" s="2" t="inlineStr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>
        <f>IF(COUNTA($A669:$F669)=0,"",IF($C669="","MissingDate",IF(OR($A669="",$D669="",$E669="",$D669=$E669),"InvalidSchedule",IF(COUNTIF(ActiveActivityCodes,$F669)=0,"InvalidCode",IF(COUNTIFS(tblScheduleData[EmployeeID],$A669,tblScheduleData[OperationalDate],$C669,tblScheduleData[ShiftStart],$D669,tblScheduleData[ShiftEnd],$E669,tblScheduleData[ActivityCode],$F669)&gt;1,"Duplicate","Valid")))))</f>
        <v/>
      </c>
      <c r="K669" s="2" t="n"/>
    </row>
    <row r="670">
      <c r="A670" s="2" t="inlineStr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>
        <f>IF(COUNTA($A670:$F670)=0,"",IF($C670="","MissingDate",IF(OR($A670="",$D670="",$E670="",$D670=$E670),"InvalidSchedule",IF(COUNTIF(ActiveActivityCodes,$F670)=0,"InvalidCode",IF(COUNTIFS(tblScheduleData[EmployeeID],$A670,tblScheduleData[OperationalDate],$C670,tblScheduleData[ShiftStart],$D670,tblScheduleData[ShiftEnd],$E670,tblScheduleData[ActivityCode],$F670)&gt;1,"Duplicate","Valid")))))</f>
        <v/>
      </c>
      <c r="K670" s="2" t="n"/>
    </row>
    <row r="671">
      <c r="A671" s="2" t="inlineStr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>
        <f>IF(COUNTA($A671:$F671)=0,"",IF($C671="","MissingDate",IF(OR($A671="",$D671="",$E671="",$D671=$E671),"InvalidSchedule",IF(COUNTIF(ActiveActivityCodes,$F671)=0,"InvalidCode",IF(COUNTIFS(tblScheduleData[EmployeeID],$A671,tblScheduleData[OperationalDate],$C671,tblScheduleData[ShiftStart],$D671,tblScheduleData[ShiftEnd],$E671,tblScheduleData[ActivityCode],$F671)&gt;1,"Duplicate","Valid")))))</f>
        <v/>
      </c>
      <c r="K671" s="2" t="n"/>
    </row>
    <row r="672">
      <c r="A672" s="2" t="inlineStr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>
        <f>IF(COUNTA($A672:$F672)=0,"",IF($C672="","MissingDate",IF(OR($A672="",$D672="",$E672="",$D672=$E672),"InvalidSchedule",IF(COUNTIF(ActiveActivityCodes,$F672)=0,"InvalidCode",IF(COUNTIFS(tblScheduleData[EmployeeID],$A672,tblScheduleData[OperationalDate],$C672,tblScheduleData[ShiftStart],$D672,tblScheduleData[ShiftEnd],$E672,tblScheduleData[ActivityCode],$F672)&gt;1,"Duplicate","Valid")))))</f>
        <v/>
      </c>
      <c r="K672" s="2" t="n"/>
    </row>
    <row r="673">
      <c r="A673" s="2" t="inlineStr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>
        <f>IF(COUNTA($A673:$F673)=0,"",IF($C673="","MissingDate",IF(OR($A673="",$D673="",$E673="",$D673=$E673),"InvalidSchedule",IF(COUNTIF(ActiveActivityCodes,$F673)=0,"InvalidCode",IF(COUNTIFS(tblScheduleData[EmployeeID],$A673,tblScheduleData[OperationalDate],$C673,tblScheduleData[ShiftStart],$D673,tblScheduleData[ShiftEnd],$E673,tblScheduleData[ActivityCode],$F673)&gt;1,"Duplicate","Valid")))))</f>
        <v/>
      </c>
      <c r="K673" s="2" t="n"/>
    </row>
    <row r="674">
      <c r="A674" s="2" t="inlineStr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>
        <f>IF(COUNTA($A674:$F674)=0,"",IF($C674="","MissingDate",IF(OR($A674="",$D674="",$E674="",$D674=$E674),"InvalidSchedule",IF(COUNTIF(ActiveActivityCodes,$F674)=0,"InvalidCode",IF(COUNTIFS(tblScheduleData[EmployeeID],$A674,tblScheduleData[OperationalDate],$C674,tblScheduleData[ShiftStart],$D674,tblScheduleData[ShiftEnd],$E674,tblScheduleData[ActivityCode],$F674)&gt;1,"Duplicate","Valid")))))</f>
        <v/>
      </c>
      <c r="K674" s="2" t="n"/>
    </row>
    <row r="675">
      <c r="A675" s="2" t="inlineStr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>
        <f>IF(COUNTA($A675:$F675)=0,"",IF($C675="","MissingDate",IF(OR($A675="",$D675="",$E675="",$D675=$E675),"InvalidSchedule",IF(COUNTIF(ActiveActivityCodes,$F675)=0,"InvalidCode",IF(COUNTIFS(tblScheduleData[EmployeeID],$A675,tblScheduleData[OperationalDate],$C675,tblScheduleData[ShiftStart],$D675,tblScheduleData[ShiftEnd],$E675,tblScheduleData[ActivityCode],$F675)&gt;1,"Duplicate","Valid")))))</f>
        <v/>
      </c>
      <c r="K675" s="2" t="n"/>
    </row>
    <row r="676">
      <c r="A676" s="2" t="inlineStr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>
        <f>IF(COUNTA($A676:$F676)=0,"",IF($C676="","MissingDate",IF(OR($A676="",$D676="",$E676="",$D676=$E676),"InvalidSchedule",IF(COUNTIF(ActiveActivityCodes,$F676)=0,"InvalidCode",IF(COUNTIFS(tblScheduleData[EmployeeID],$A676,tblScheduleData[OperationalDate],$C676,tblScheduleData[ShiftStart],$D676,tblScheduleData[ShiftEnd],$E676,tblScheduleData[ActivityCode],$F676)&gt;1,"Duplicate","Valid")))))</f>
        <v/>
      </c>
      <c r="K676" s="2" t="n"/>
    </row>
    <row r="677">
      <c r="A677" s="2" t="inlineStr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>
        <f>IF(COUNTA($A677:$F677)=0,"",IF($C677="","MissingDate",IF(OR($A677="",$D677="",$E677="",$D677=$E677),"InvalidSchedule",IF(COUNTIF(ActiveActivityCodes,$F677)=0,"InvalidCode",IF(COUNTIFS(tblScheduleData[EmployeeID],$A677,tblScheduleData[OperationalDate],$C677,tblScheduleData[ShiftStart],$D677,tblScheduleData[ShiftEnd],$E677,tblScheduleData[ActivityCode],$F677)&gt;1,"Duplicate","Valid")))))</f>
        <v/>
      </c>
      <c r="K677" s="2" t="n"/>
    </row>
    <row r="678">
      <c r="A678" s="2" t="inlineStr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>
        <f>IF(COUNTA($A678:$F678)=0,"",IF($C678="","MissingDate",IF(OR($A678="",$D678="",$E678="",$D678=$E678),"InvalidSchedule",IF(COUNTIF(ActiveActivityCodes,$F678)=0,"InvalidCode",IF(COUNTIFS(tblScheduleData[EmployeeID],$A678,tblScheduleData[OperationalDate],$C678,tblScheduleData[ShiftStart],$D678,tblScheduleData[ShiftEnd],$E678,tblScheduleData[ActivityCode],$F678)&gt;1,"Duplicate","Valid")))))</f>
        <v/>
      </c>
      <c r="K678" s="2" t="n"/>
    </row>
    <row r="679">
      <c r="A679" s="2" t="inlineStr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>
        <f>IF(COUNTA($A679:$F679)=0,"",IF($C679="","MissingDate",IF(OR($A679="",$D679="",$E679="",$D679=$E679),"InvalidSchedule",IF(COUNTIF(ActiveActivityCodes,$F679)=0,"InvalidCode",IF(COUNTIFS(tblScheduleData[EmployeeID],$A679,tblScheduleData[OperationalDate],$C679,tblScheduleData[ShiftStart],$D679,tblScheduleData[ShiftEnd],$E679,tblScheduleData[ActivityCode],$F679)&gt;1,"Duplicate","Valid")))))</f>
        <v/>
      </c>
      <c r="K679" s="2" t="n"/>
    </row>
    <row r="680">
      <c r="A680" s="2" t="inlineStr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>
        <f>IF(COUNTA($A680:$F680)=0,"",IF($C680="","MissingDate",IF(OR($A680="",$D680="",$E680="",$D680=$E680),"InvalidSchedule",IF(COUNTIF(ActiveActivityCodes,$F680)=0,"InvalidCode",IF(COUNTIFS(tblScheduleData[EmployeeID],$A680,tblScheduleData[OperationalDate],$C680,tblScheduleData[ShiftStart],$D680,tblScheduleData[ShiftEnd],$E680,tblScheduleData[ActivityCode],$F680)&gt;1,"Duplicate","Valid")))))</f>
        <v/>
      </c>
      <c r="K680" s="2" t="n"/>
    </row>
    <row r="681">
      <c r="A681" s="2" t="inlineStr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>
        <f>IF(COUNTA($A681:$F681)=0,"",IF($C681="","MissingDate",IF(OR($A681="",$D681="",$E681="",$D681=$E681),"InvalidSchedule",IF(COUNTIF(ActiveActivityCodes,$F681)=0,"InvalidCode",IF(COUNTIFS(tblScheduleData[EmployeeID],$A681,tblScheduleData[OperationalDate],$C681,tblScheduleData[ShiftStart],$D681,tblScheduleData[ShiftEnd],$E681,tblScheduleData[ActivityCode],$F681)&gt;1,"Duplicate","Valid")))))</f>
        <v/>
      </c>
      <c r="K681" s="2" t="n"/>
    </row>
    <row r="682">
      <c r="A682" s="2" t="inlineStr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>
        <f>IF(COUNTA($A682:$F682)=0,"",IF($C682="","MissingDate",IF(OR($A682="",$D682="",$E682="",$D682=$E682),"InvalidSchedule",IF(COUNTIF(ActiveActivityCodes,$F682)=0,"InvalidCode",IF(COUNTIFS(tblScheduleData[EmployeeID],$A682,tblScheduleData[OperationalDate],$C682,tblScheduleData[ShiftStart],$D682,tblScheduleData[ShiftEnd],$E682,tblScheduleData[ActivityCode],$F682)&gt;1,"Duplicate","Valid")))))</f>
        <v/>
      </c>
      <c r="K682" s="2" t="n"/>
    </row>
    <row r="683">
      <c r="A683" s="2" t="inlineStr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>
        <f>IF(COUNTA($A683:$F683)=0,"",IF($C683="","MissingDate",IF(OR($A683="",$D683="",$E683="",$D683=$E683),"InvalidSchedule",IF(COUNTIF(ActiveActivityCodes,$F683)=0,"InvalidCode",IF(COUNTIFS(tblScheduleData[EmployeeID],$A683,tblScheduleData[OperationalDate],$C683,tblScheduleData[ShiftStart],$D683,tblScheduleData[ShiftEnd],$E683,tblScheduleData[ActivityCode],$F683)&gt;1,"Duplicate","Valid")))))</f>
        <v/>
      </c>
      <c r="K683" s="2" t="n"/>
    </row>
    <row r="684">
      <c r="A684" s="2" t="inlineStr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>
        <f>IF(COUNTA($A684:$F684)=0,"",IF($C684="","MissingDate",IF(OR($A684="",$D684="",$E684="",$D684=$E684),"InvalidSchedule",IF(COUNTIF(ActiveActivityCodes,$F684)=0,"InvalidCode",IF(COUNTIFS(tblScheduleData[EmployeeID],$A684,tblScheduleData[OperationalDate],$C684,tblScheduleData[ShiftStart],$D684,tblScheduleData[ShiftEnd],$E684,tblScheduleData[ActivityCode],$F684)&gt;1,"Duplicate","Valid")))))</f>
        <v/>
      </c>
      <c r="K684" s="2" t="n"/>
    </row>
    <row r="685">
      <c r="A685" s="2" t="inlineStr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>
        <f>IF(COUNTA($A685:$F685)=0,"",IF($C685="","MissingDate",IF(OR($A685="",$D685="",$E685="",$D685=$E685),"InvalidSchedule",IF(COUNTIF(ActiveActivityCodes,$F685)=0,"InvalidCode",IF(COUNTIFS(tblScheduleData[EmployeeID],$A685,tblScheduleData[OperationalDate],$C685,tblScheduleData[ShiftStart],$D685,tblScheduleData[ShiftEnd],$E685,tblScheduleData[ActivityCode],$F685)&gt;1,"Duplicate","Valid")))))</f>
        <v/>
      </c>
      <c r="K685" s="2" t="n"/>
    </row>
    <row r="686">
      <c r="A686" s="2" t="inlineStr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>
        <f>IF(COUNTA($A686:$F686)=0,"",IF($C686="","MissingDate",IF(OR($A686="",$D686="",$E686="",$D686=$E686),"InvalidSchedule",IF(COUNTIF(ActiveActivityCodes,$F686)=0,"InvalidCode",IF(COUNTIFS(tblScheduleData[EmployeeID],$A686,tblScheduleData[OperationalDate],$C686,tblScheduleData[ShiftStart],$D686,tblScheduleData[ShiftEnd],$E686,tblScheduleData[ActivityCode],$F686)&gt;1,"Duplicate","Valid")))))</f>
        <v/>
      </c>
      <c r="K686" s="2" t="n"/>
    </row>
    <row r="687">
      <c r="A687" s="2" t="inlineStr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>
        <f>IF(COUNTA($A687:$F687)=0,"",IF($C687="","MissingDate",IF(OR($A687="",$D687="",$E687="",$D687=$E687),"InvalidSchedule",IF(COUNTIF(ActiveActivityCodes,$F687)=0,"InvalidCode",IF(COUNTIFS(tblScheduleData[EmployeeID],$A687,tblScheduleData[OperationalDate],$C687,tblScheduleData[ShiftStart],$D687,tblScheduleData[ShiftEnd],$E687,tblScheduleData[ActivityCode],$F687)&gt;1,"Duplicate","Valid")))))</f>
        <v/>
      </c>
      <c r="K687" s="2" t="n"/>
    </row>
    <row r="688">
      <c r="A688" s="2" t="inlineStr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>
        <f>IF(COUNTA($A688:$F688)=0,"",IF($C688="","MissingDate",IF(OR($A688="",$D688="",$E688="",$D688=$E688),"InvalidSchedule",IF(COUNTIF(ActiveActivityCodes,$F688)=0,"InvalidCode",IF(COUNTIFS(tblScheduleData[EmployeeID],$A688,tblScheduleData[OperationalDate],$C688,tblScheduleData[ShiftStart],$D688,tblScheduleData[ShiftEnd],$E688,tblScheduleData[ActivityCode],$F688)&gt;1,"Duplicate","Valid")))))</f>
        <v/>
      </c>
      <c r="K688" s="2" t="n"/>
    </row>
    <row r="689">
      <c r="A689" s="2" t="inlineStr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>
        <f>IF(COUNTA($A689:$F689)=0,"",IF($C689="","MissingDate",IF(OR($A689="",$D689="",$E689="",$D689=$E689),"InvalidSchedule",IF(COUNTIF(ActiveActivityCodes,$F689)=0,"InvalidCode",IF(COUNTIFS(tblScheduleData[EmployeeID],$A689,tblScheduleData[OperationalDate],$C689,tblScheduleData[ShiftStart],$D689,tblScheduleData[ShiftEnd],$E689,tblScheduleData[ActivityCode],$F689)&gt;1,"Duplicate","Valid")))))</f>
        <v/>
      </c>
      <c r="K689" s="2" t="n"/>
    </row>
    <row r="690">
      <c r="A690" s="2" t="inlineStr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>
        <f>IF(COUNTA($A690:$F690)=0,"",IF($C690="","MissingDate",IF(OR($A690="",$D690="",$E690="",$D690=$E690),"InvalidSchedule",IF(COUNTIF(ActiveActivityCodes,$F690)=0,"InvalidCode",IF(COUNTIFS(tblScheduleData[EmployeeID],$A690,tblScheduleData[OperationalDate],$C690,tblScheduleData[ShiftStart],$D690,tblScheduleData[ShiftEnd],$E690,tblScheduleData[ActivityCode],$F690)&gt;1,"Duplicate","Valid")))))</f>
        <v/>
      </c>
      <c r="K690" s="2" t="n"/>
    </row>
    <row r="691">
      <c r="A691" s="2" t="inlineStr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>
        <f>IF(COUNTA($A691:$F691)=0,"",IF($C691="","MissingDate",IF(OR($A691="",$D691="",$E691="",$D691=$E691),"InvalidSchedule",IF(COUNTIF(ActiveActivityCodes,$F691)=0,"InvalidCode",IF(COUNTIFS(tblScheduleData[EmployeeID],$A691,tblScheduleData[OperationalDate],$C691,tblScheduleData[ShiftStart],$D691,tblScheduleData[ShiftEnd],$E691,tblScheduleData[ActivityCode],$F691)&gt;1,"Duplicate","Valid")))))</f>
        <v/>
      </c>
      <c r="K691" s="2" t="n"/>
    </row>
    <row r="692">
      <c r="A692" s="2" t="inlineStr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>
        <f>IF(COUNTA($A692:$F692)=0,"",IF($C692="","MissingDate",IF(OR($A692="",$D692="",$E692="",$D692=$E692),"InvalidSchedule",IF(COUNTIF(ActiveActivityCodes,$F692)=0,"InvalidCode",IF(COUNTIFS(tblScheduleData[EmployeeID],$A692,tblScheduleData[OperationalDate],$C692,tblScheduleData[ShiftStart],$D692,tblScheduleData[ShiftEnd],$E692,tblScheduleData[ActivityCode],$F692)&gt;1,"Duplicate","Valid")))))</f>
        <v/>
      </c>
      <c r="K692" s="2" t="n"/>
    </row>
    <row r="693">
      <c r="A693" s="2" t="inlineStr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>
        <f>IF(COUNTA($A693:$F693)=0,"",IF($C693="","MissingDate",IF(OR($A693="",$D693="",$E693="",$D693=$E693),"InvalidSchedule",IF(COUNTIF(ActiveActivityCodes,$F693)=0,"InvalidCode",IF(COUNTIFS(tblScheduleData[EmployeeID],$A693,tblScheduleData[OperationalDate],$C693,tblScheduleData[ShiftStart],$D693,tblScheduleData[ShiftEnd],$E693,tblScheduleData[ActivityCode],$F693)&gt;1,"Duplicate","Valid")))))</f>
        <v/>
      </c>
      <c r="K693" s="2" t="n"/>
    </row>
    <row r="694">
      <c r="A694" s="2" t="inlineStr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>
        <f>IF(COUNTA($A694:$F694)=0,"",IF($C694="","MissingDate",IF(OR($A694="",$D694="",$E694="",$D694=$E694),"InvalidSchedule",IF(COUNTIF(ActiveActivityCodes,$F694)=0,"InvalidCode",IF(COUNTIFS(tblScheduleData[EmployeeID],$A694,tblScheduleData[OperationalDate],$C694,tblScheduleData[ShiftStart],$D694,tblScheduleData[ShiftEnd],$E694,tblScheduleData[ActivityCode],$F694)&gt;1,"Duplicate","Valid")))))</f>
        <v/>
      </c>
      <c r="K694" s="2" t="n"/>
    </row>
    <row r="695">
      <c r="A695" s="2" t="inlineStr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>
        <f>IF(COUNTA($A695:$F695)=0,"",IF($C695="","MissingDate",IF(OR($A695="",$D695="",$E695="",$D695=$E695),"InvalidSchedule",IF(COUNTIF(ActiveActivityCodes,$F695)=0,"InvalidCode",IF(COUNTIFS(tblScheduleData[EmployeeID],$A695,tblScheduleData[OperationalDate],$C695,tblScheduleData[ShiftStart],$D695,tblScheduleData[ShiftEnd],$E695,tblScheduleData[ActivityCode],$F695)&gt;1,"Duplicate","Valid")))))</f>
        <v/>
      </c>
      <c r="K695" s="2" t="n"/>
    </row>
    <row r="696">
      <c r="A696" s="2" t="inlineStr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>
        <f>IF(COUNTA($A696:$F696)=0,"",IF($C696="","MissingDate",IF(OR($A696="",$D696="",$E696="",$D696=$E696),"InvalidSchedule",IF(COUNTIF(ActiveActivityCodes,$F696)=0,"InvalidCode",IF(COUNTIFS(tblScheduleData[EmployeeID],$A696,tblScheduleData[OperationalDate],$C696,tblScheduleData[ShiftStart],$D696,tblScheduleData[ShiftEnd],$E696,tblScheduleData[ActivityCode],$F696)&gt;1,"Duplicate","Valid")))))</f>
        <v/>
      </c>
      <c r="K696" s="2" t="n"/>
    </row>
    <row r="697">
      <c r="A697" s="2" t="inlineStr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>
        <f>IF(COUNTA($A697:$F697)=0,"",IF($C697="","MissingDate",IF(OR($A697="",$D697="",$E697="",$D697=$E697),"InvalidSchedule",IF(COUNTIF(ActiveActivityCodes,$F697)=0,"InvalidCode",IF(COUNTIFS(tblScheduleData[EmployeeID],$A697,tblScheduleData[OperationalDate],$C697,tblScheduleData[ShiftStart],$D697,tblScheduleData[ShiftEnd],$E697,tblScheduleData[ActivityCode],$F697)&gt;1,"Duplicate","Valid")))))</f>
        <v/>
      </c>
      <c r="K697" s="2" t="n"/>
    </row>
    <row r="698">
      <c r="A698" s="2" t="inlineStr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>
        <f>IF(COUNTA($A698:$F698)=0,"",IF($C698="","MissingDate",IF(OR($A698="",$D698="",$E698="",$D698=$E698),"InvalidSchedule",IF(COUNTIF(ActiveActivityCodes,$F698)=0,"InvalidCode",IF(COUNTIFS(tblScheduleData[EmployeeID],$A698,tblScheduleData[OperationalDate],$C698,tblScheduleData[ShiftStart],$D698,tblScheduleData[ShiftEnd],$E698,tblScheduleData[ActivityCode],$F698)&gt;1,"Duplicate","Valid")))))</f>
        <v/>
      </c>
      <c r="K698" s="2" t="n"/>
    </row>
    <row r="699">
      <c r="A699" s="2" t="inlineStr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>
        <f>IF(COUNTA($A699:$F699)=0,"",IF($C699="","MissingDate",IF(OR($A699="",$D699="",$E699="",$D699=$E699),"InvalidSchedule",IF(COUNTIF(ActiveActivityCodes,$F699)=0,"InvalidCode",IF(COUNTIFS(tblScheduleData[EmployeeID],$A699,tblScheduleData[OperationalDate],$C699,tblScheduleData[ShiftStart],$D699,tblScheduleData[ShiftEnd],$E699,tblScheduleData[ActivityCode],$F699)&gt;1,"Duplicate","Valid")))))</f>
        <v/>
      </c>
      <c r="K699" s="2" t="n"/>
    </row>
    <row r="700">
      <c r="A700" s="2" t="inlineStr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>
        <f>IF(COUNTA($A700:$F700)=0,"",IF($C700="","MissingDate",IF(OR($A700="",$D700="",$E700="",$D700=$E700),"InvalidSchedule",IF(COUNTIF(ActiveActivityCodes,$F700)=0,"InvalidCode",IF(COUNTIFS(tblScheduleData[EmployeeID],$A700,tblScheduleData[OperationalDate],$C700,tblScheduleData[ShiftStart],$D700,tblScheduleData[ShiftEnd],$E700,tblScheduleData[ActivityCode],$F700)&gt;1,"Duplicate","Valid")))))</f>
        <v/>
      </c>
      <c r="K700" s="2" t="n"/>
    </row>
    <row r="701">
      <c r="A701" s="2" t="inlineStr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>
        <f>IF(COUNTA($A701:$F701)=0,"",IF($C701="","MissingDate",IF(OR($A701="",$D701="",$E701="",$D701=$E701),"InvalidSchedule",IF(COUNTIF(ActiveActivityCodes,$F701)=0,"InvalidCode",IF(COUNTIFS(tblScheduleData[EmployeeID],$A701,tblScheduleData[OperationalDate],$C701,tblScheduleData[ShiftStart],$D701,tblScheduleData[ShiftEnd],$E701,tblScheduleData[ActivityCode],$F701)&gt;1,"Duplicate","Valid")))))</f>
        <v/>
      </c>
      <c r="K701" s="2" t="n"/>
    </row>
    <row r="702">
      <c r="A702" s="2" t="inlineStr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>
        <f>IF(COUNTA($A702:$F702)=0,"",IF($C702="","MissingDate",IF(OR($A702="",$D702="",$E702="",$D702=$E702),"InvalidSchedule",IF(COUNTIF(ActiveActivityCodes,$F702)=0,"InvalidCode",IF(COUNTIFS(tblScheduleData[EmployeeID],$A702,tblScheduleData[OperationalDate],$C702,tblScheduleData[ShiftStart],$D702,tblScheduleData[ShiftEnd],$E702,tblScheduleData[ActivityCode],$F702)&gt;1,"Duplicate","Valid")))))</f>
        <v/>
      </c>
      <c r="K702" s="2" t="n"/>
    </row>
    <row r="703">
      <c r="A703" s="2" t="inlineStr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>
        <f>IF(COUNTA($A703:$F703)=0,"",IF($C703="","MissingDate",IF(OR($A703="",$D703="",$E703="",$D703=$E703),"InvalidSchedule",IF(COUNTIF(ActiveActivityCodes,$F703)=0,"InvalidCode",IF(COUNTIFS(tblScheduleData[EmployeeID],$A703,tblScheduleData[OperationalDate],$C703,tblScheduleData[ShiftStart],$D703,tblScheduleData[ShiftEnd],$E703,tblScheduleData[ActivityCode],$F703)&gt;1,"Duplicate","Valid")))))</f>
        <v/>
      </c>
      <c r="K703" s="2" t="n"/>
    </row>
    <row r="704">
      <c r="A704" s="2" t="inlineStr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>
        <f>IF(COUNTA($A704:$F704)=0,"",IF($C704="","MissingDate",IF(OR($A704="",$D704="",$E704="",$D704=$E704),"InvalidSchedule",IF(COUNTIF(ActiveActivityCodes,$F704)=0,"InvalidCode",IF(COUNTIFS(tblScheduleData[EmployeeID],$A704,tblScheduleData[OperationalDate],$C704,tblScheduleData[ShiftStart],$D704,tblScheduleData[ShiftEnd],$E704,tblScheduleData[ActivityCode],$F704)&gt;1,"Duplicate","Valid")))))</f>
        <v/>
      </c>
      <c r="K704" s="2" t="n"/>
    </row>
    <row r="705">
      <c r="A705" s="2" t="inlineStr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>
        <f>IF(COUNTA($A705:$F705)=0,"",IF($C705="","MissingDate",IF(OR($A705="",$D705="",$E705="",$D705=$E705),"InvalidSchedule",IF(COUNTIF(ActiveActivityCodes,$F705)=0,"InvalidCode",IF(COUNTIFS(tblScheduleData[EmployeeID],$A705,tblScheduleData[OperationalDate],$C705,tblScheduleData[ShiftStart],$D705,tblScheduleData[ShiftEnd],$E705,tblScheduleData[ActivityCode],$F705)&gt;1,"Duplicate","Valid")))))</f>
        <v/>
      </c>
      <c r="K705" s="2" t="n"/>
    </row>
    <row r="706">
      <c r="A706" s="2" t="inlineStr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>
        <f>IF(COUNTA($A706:$F706)=0,"",IF($C706="","MissingDate",IF(OR($A706="",$D706="",$E706="",$D706=$E706),"InvalidSchedule",IF(COUNTIF(ActiveActivityCodes,$F706)=0,"InvalidCode",IF(COUNTIFS(tblScheduleData[EmployeeID],$A706,tblScheduleData[OperationalDate],$C706,tblScheduleData[ShiftStart],$D706,tblScheduleData[ShiftEnd],$E706,tblScheduleData[ActivityCode],$F706)&gt;1,"Duplicate","Valid")))))</f>
        <v/>
      </c>
      <c r="K706" s="2" t="n"/>
    </row>
    <row r="707">
      <c r="A707" s="2" t="inlineStr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>
        <f>IF(COUNTA($A707:$F707)=0,"",IF($C707="","MissingDate",IF(OR($A707="",$D707="",$E707="",$D707=$E707),"InvalidSchedule",IF(COUNTIF(ActiveActivityCodes,$F707)=0,"InvalidCode",IF(COUNTIFS(tblScheduleData[EmployeeID],$A707,tblScheduleData[OperationalDate],$C707,tblScheduleData[ShiftStart],$D707,tblScheduleData[ShiftEnd],$E707,tblScheduleData[ActivityCode],$F707)&gt;1,"Duplicate","Valid")))))</f>
        <v/>
      </c>
      <c r="K707" s="2" t="n"/>
    </row>
    <row r="708">
      <c r="A708" s="2" t="inlineStr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>
        <f>IF(COUNTA($A708:$F708)=0,"",IF($C708="","MissingDate",IF(OR($A708="",$D708="",$E708="",$D708=$E708),"InvalidSchedule",IF(COUNTIF(ActiveActivityCodes,$F708)=0,"InvalidCode",IF(COUNTIFS(tblScheduleData[EmployeeID],$A708,tblScheduleData[OperationalDate],$C708,tblScheduleData[ShiftStart],$D708,tblScheduleData[ShiftEnd],$E708,tblScheduleData[ActivityCode],$F708)&gt;1,"Duplicate","Valid")))))</f>
        <v/>
      </c>
      <c r="K708" s="2" t="n"/>
    </row>
    <row r="709">
      <c r="A709" s="2" t="inlineStr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>
        <f>IF(COUNTA($A709:$F709)=0,"",IF($C709="","MissingDate",IF(OR($A709="",$D709="",$E709="",$D709=$E709),"InvalidSchedule",IF(COUNTIF(ActiveActivityCodes,$F709)=0,"InvalidCode",IF(COUNTIFS(tblScheduleData[EmployeeID],$A709,tblScheduleData[OperationalDate],$C709,tblScheduleData[ShiftStart],$D709,tblScheduleData[ShiftEnd],$E709,tblScheduleData[ActivityCode],$F709)&gt;1,"Duplicate","Valid")))))</f>
        <v/>
      </c>
      <c r="K709" s="2" t="n"/>
    </row>
    <row r="710">
      <c r="A710" s="2" t="inlineStr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>
        <f>IF(COUNTA($A710:$F710)=0,"",IF($C710="","MissingDate",IF(OR($A710="",$D710="",$E710="",$D710=$E710),"InvalidSchedule",IF(COUNTIF(ActiveActivityCodes,$F710)=0,"InvalidCode",IF(COUNTIFS(tblScheduleData[EmployeeID],$A710,tblScheduleData[OperationalDate],$C710,tblScheduleData[ShiftStart],$D710,tblScheduleData[ShiftEnd],$E710,tblScheduleData[ActivityCode],$F710)&gt;1,"Duplicate","Valid")))))</f>
        <v/>
      </c>
      <c r="K710" s="2" t="n"/>
    </row>
    <row r="711">
      <c r="A711" s="2" t="inlineStr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>
        <f>IF(COUNTA($A711:$F711)=0,"",IF($C711="","MissingDate",IF(OR($A711="",$D711="",$E711="",$D711=$E711),"InvalidSchedule",IF(COUNTIF(ActiveActivityCodes,$F711)=0,"InvalidCode",IF(COUNTIFS(tblScheduleData[EmployeeID],$A711,tblScheduleData[OperationalDate],$C711,tblScheduleData[ShiftStart],$D711,tblScheduleData[ShiftEnd],$E711,tblScheduleData[ActivityCode],$F711)&gt;1,"Duplicate","Valid")))))</f>
        <v/>
      </c>
      <c r="K711" s="2" t="n"/>
    </row>
    <row r="712">
      <c r="A712" s="2" t="inlineStr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>
        <f>IF(COUNTA($A712:$F712)=0,"",IF($C712="","MissingDate",IF(OR($A712="",$D712="",$E712="",$D712=$E712),"InvalidSchedule",IF(COUNTIF(ActiveActivityCodes,$F712)=0,"InvalidCode",IF(COUNTIFS(tblScheduleData[EmployeeID],$A712,tblScheduleData[OperationalDate],$C712,tblScheduleData[ShiftStart],$D712,tblScheduleData[ShiftEnd],$E712,tblScheduleData[ActivityCode],$F712)&gt;1,"Duplicate","Valid")))))</f>
        <v/>
      </c>
      <c r="K712" s="2" t="n"/>
    </row>
    <row r="713">
      <c r="A713" s="2" t="inlineStr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>
        <f>IF(COUNTA($A713:$F713)=0,"",IF($C713="","MissingDate",IF(OR($A713="",$D713="",$E713="",$D713=$E713),"InvalidSchedule",IF(COUNTIF(ActiveActivityCodes,$F713)=0,"InvalidCode",IF(COUNTIFS(tblScheduleData[EmployeeID],$A713,tblScheduleData[OperationalDate],$C713,tblScheduleData[ShiftStart],$D713,tblScheduleData[ShiftEnd],$E713,tblScheduleData[ActivityCode],$F713)&gt;1,"Duplicate","Valid")))))</f>
        <v/>
      </c>
      <c r="K713" s="2" t="n"/>
    </row>
    <row r="714">
      <c r="A714" s="2" t="inlineStr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>
        <f>IF(COUNTA($A714:$F714)=0,"",IF($C714="","MissingDate",IF(OR($A714="",$D714="",$E714="",$D714=$E714),"InvalidSchedule",IF(COUNTIF(ActiveActivityCodes,$F714)=0,"InvalidCode",IF(COUNTIFS(tblScheduleData[EmployeeID],$A714,tblScheduleData[OperationalDate],$C714,tblScheduleData[ShiftStart],$D714,tblScheduleData[ShiftEnd],$E714,tblScheduleData[ActivityCode],$F714)&gt;1,"Duplicate","Valid")))))</f>
        <v/>
      </c>
      <c r="K714" s="2" t="n"/>
    </row>
    <row r="715">
      <c r="A715" s="2" t="inlineStr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>
        <f>IF(COUNTA($A715:$F715)=0,"",IF($C715="","MissingDate",IF(OR($A715="",$D715="",$E715="",$D715=$E715),"InvalidSchedule",IF(COUNTIF(ActiveActivityCodes,$F715)=0,"InvalidCode",IF(COUNTIFS(tblScheduleData[EmployeeID],$A715,tblScheduleData[OperationalDate],$C715,tblScheduleData[ShiftStart],$D715,tblScheduleData[ShiftEnd],$E715,tblScheduleData[ActivityCode],$F715)&gt;1,"Duplicate","Valid")))))</f>
        <v/>
      </c>
      <c r="K715" s="2" t="n"/>
    </row>
    <row r="716">
      <c r="A716" s="2" t="inlineStr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>
        <f>IF(COUNTA($A716:$F716)=0,"",IF($C716="","MissingDate",IF(OR($A716="",$D716="",$E716="",$D716=$E716),"InvalidSchedule",IF(COUNTIF(ActiveActivityCodes,$F716)=0,"InvalidCode",IF(COUNTIFS(tblScheduleData[EmployeeID],$A716,tblScheduleData[OperationalDate],$C716,tblScheduleData[ShiftStart],$D716,tblScheduleData[ShiftEnd],$E716,tblScheduleData[ActivityCode],$F716)&gt;1,"Duplicate","Valid")))))</f>
        <v/>
      </c>
      <c r="K716" s="2" t="n"/>
    </row>
    <row r="717">
      <c r="A717" s="2" t="inlineStr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>
        <f>IF(COUNTA($A717:$F717)=0,"",IF($C717="","MissingDate",IF(OR($A717="",$D717="",$E717="",$D717=$E717),"InvalidSchedule",IF(COUNTIF(ActiveActivityCodes,$F717)=0,"InvalidCode",IF(COUNTIFS(tblScheduleData[EmployeeID],$A717,tblScheduleData[OperationalDate],$C717,tblScheduleData[ShiftStart],$D717,tblScheduleData[ShiftEnd],$E717,tblScheduleData[ActivityCode],$F717)&gt;1,"Duplicate","Valid")))))</f>
        <v/>
      </c>
      <c r="K717" s="2" t="n"/>
    </row>
    <row r="718">
      <c r="A718" s="2" t="inlineStr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>
        <f>IF(COUNTA($A718:$F718)=0,"",IF($C718="","MissingDate",IF(OR($A718="",$D718="",$E718="",$D718=$E718),"InvalidSchedule",IF(COUNTIF(ActiveActivityCodes,$F718)=0,"InvalidCode",IF(COUNTIFS(tblScheduleData[EmployeeID],$A718,tblScheduleData[OperationalDate],$C718,tblScheduleData[ShiftStart],$D718,tblScheduleData[ShiftEnd],$E718,tblScheduleData[ActivityCode],$F718)&gt;1,"Duplicate","Valid")))))</f>
        <v/>
      </c>
      <c r="K718" s="2" t="n"/>
    </row>
    <row r="719">
      <c r="A719" s="2" t="inlineStr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>
        <f>IF(COUNTA($A719:$F719)=0,"",IF($C719="","MissingDate",IF(OR($A719="",$D719="",$E719="",$D719=$E719),"InvalidSchedule",IF(COUNTIF(ActiveActivityCodes,$F719)=0,"InvalidCode",IF(COUNTIFS(tblScheduleData[EmployeeID],$A719,tblScheduleData[OperationalDate],$C719,tblScheduleData[ShiftStart],$D719,tblScheduleData[ShiftEnd],$E719,tblScheduleData[ActivityCode],$F719)&gt;1,"Duplicate","Valid")))))</f>
        <v/>
      </c>
      <c r="K719" s="2" t="n"/>
    </row>
    <row r="720">
      <c r="A720" s="2" t="inlineStr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>
        <f>IF(COUNTA($A720:$F720)=0,"",IF($C720="","MissingDate",IF(OR($A720="",$D720="",$E720="",$D720=$E720),"InvalidSchedule",IF(COUNTIF(ActiveActivityCodes,$F720)=0,"InvalidCode",IF(COUNTIFS(tblScheduleData[EmployeeID],$A720,tblScheduleData[OperationalDate],$C720,tblScheduleData[ShiftStart],$D720,tblScheduleData[ShiftEnd],$E720,tblScheduleData[ActivityCode],$F720)&gt;1,"Duplicate","Valid")))))</f>
        <v/>
      </c>
      <c r="K720" s="2" t="n"/>
    </row>
    <row r="721">
      <c r="A721" s="2" t="inlineStr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>
        <f>IF(COUNTA($A721:$F721)=0,"",IF($C721="","MissingDate",IF(OR($A721="",$D721="",$E721="",$D721=$E721),"InvalidSchedule",IF(COUNTIF(ActiveActivityCodes,$F721)=0,"InvalidCode",IF(COUNTIFS(tblScheduleData[EmployeeID],$A721,tblScheduleData[OperationalDate],$C721,tblScheduleData[ShiftStart],$D721,tblScheduleData[ShiftEnd],$E721,tblScheduleData[ActivityCode],$F721)&gt;1,"Duplicate","Valid")))))</f>
        <v/>
      </c>
      <c r="K721" s="2" t="n"/>
    </row>
    <row r="722">
      <c r="A722" s="2" t="inlineStr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>
        <f>IF(COUNTA($A722:$F722)=0,"",IF($C722="","MissingDate",IF(OR($A722="",$D722="",$E722="",$D722=$E722),"InvalidSchedule",IF(COUNTIF(ActiveActivityCodes,$F722)=0,"InvalidCode",IF(COUNTIFS(tblScheduleData[EmployeeID],$A722,tblScheduleData[OperationalDate],$C722,tblScheduleData[ShiftStart],$D722,tblScheduleData[ShiftEnd],$E722,tblScheduleData[ActivityCode],$F722)&gt;1,"Duplicate","Valid")))))</f>
        <v/>
      </c>
      <c r="K722" s="2" t="n"/>
    </row>
    <row r="723">
      <c r="A723" s="2" t="inlineStr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>
        <f>IF(COUNTA($A723:$F723)=0,"",IF($C723="","MissingDate",IF(OR($A723="",$D723="",$E723="",$D723=$E723),"InvalidSchedule",IF(COUNTIF(ActiveActivityCodes,$F723)=0,"InvalidCode",IF(COUNTIFS(tblScheduleData[EmployeeID],$A723,tblScheduleData[OperationalDate],$C723,tblScheduleData[ShiftStart],$D723,tblScheduleData[ShiftEnd],$E723,tblScheduleData[ActivityCode],$F723)&gt;1,"Duplicate","Valid")))))</f>
        <v/>
      </c>
      <c r="K723" s="2" t="n"/>
    </row>
    <row r="724">
      <c r="A724" s="2" t="inlineStr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>
        <f>IF(COUNTA($A724:$F724)=0,"",IF($C724="","MissingDate",IF(OR($A724="",$D724="",$E724="",$D724=$E724),"InvalidSchedule",IF(COUNTIF(ActiveActivityCodes,$F724)=0,"InvalidCode",IF(COUNTIFS(tblScheduleData[EmployeeID],$A724,tblScheduleData[OperationalDate],$C724,tblScheduleData[ShiftStart],$D724,tblScheduleData[ShiftEnd],$E724,tblScheduleData[ActivityCode],$F724)&gt;1,"Duplicate","Valid")))))</f>
        <v/>
      </c>
      <c r="K724" s="2" t="n"/>
    </row>
    <row r="725">
      <c r="A725" s="2" t="inlineStr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>
        <f>IF(COUNTA($A725:$F725)=0,"",IF($C725="","MissingDate",IF(OR($A725="",$D725="",$E725="",$D725=$E725),"InvalidSchedule",IF(COUNTIF(ActiveActivityCodes,$F725)=0,"InvalidCode",IF(COUNTIFS(tblScheduleData[EmployeeID],$A725,tblScheduleData[OperationalDate],$C725,tblScheduleData[ShiftStart],$D725,tblScheduleData[ShiftEnd],$E725,tblScheduleData[ActivityCode],$F725)&gt;1,"Duplicate","Valid")))))</f>
        <v/>
      </c>
      <c r="K725" s="2" t="n"/>
    </row>
    <row r="726">
      <c r="A726" s="2" t="inlineStr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>
        <f>IF(COUNTA($A726:$F726)=0,"",IF($C726="","MissingDate",IF(OR($A726="",$D726="",$E726="",$D726=$E726),"InvalidSchedule",IF(COUNTIF(ActiveActivityCodes,$F726)=0,"InvalidCode",IF(COUNTIFS(tblScheduleData[EmployeeID],$A726,tblScheduleData[OperationalDate],$C726,tblScheduleData[ShiftStart],$D726,tblScheduleData[ShiftEnd],$E726,tblScheduleData[ActivityCode],$F726)&gt;1,"Duplicate","Valid")))))</f>
        <v/>
      </c>
      <c r="K726" s="2" t="n"/>
    </row>
    <row r="727">
      <c r="A727" s="2" t="inlineStr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>
        <f>IF(COUNTA($A727:$F727)=0,"",IF($C727="","MissingDate",IF(OR($A727="",$D727="",$E727="",$D727=$E727),"InvalidSchedule",IF(COUNTIF(ActiveActivityCodes,$F727)=0,"InvalidCode",IF(COUNTIFS(tblScheduleData[EmployeeID],$A727,tblScheduleData[OperationalDate],$C727,tblScheduleData[ShiftStart],$D727,tblScheduleData[ShiftEnd],$E727,tblScheduleData[ActivityCode],$F727)&gt;1,"Duplicate","Valid")))))</f>
        <v/>
      </c>
      <c r="K727" s="2" t="n"/>
    </row>
    <row r="728">
      <c r="A728" s="2" t="inlineStr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>
        <f>IF(COUNTA($A728:$F728)=0,"",IF($C728="","MissingDate",IF(OR($A728="",$D728="",$E728="",$D728=$E728),"InvalidSchedule",IF(COUNTIF(ActiveActivityCodes,$F728)=0,"InvalidCode",IF(COUNTIFS(tblScheduleData[EmployeeID],$A728,tblScheduleData[OperationalDate],$C728,tblScheduleData[ShiftStart],$D728,tblScheduleData[ShiftEnd],$E728,tblScheduleData[ActivityCode],$F728)&gt;1,"Duplicate","Valid")))))</f>
        <v/>
      </c>
      <c r="K728" s="2" t="n"/>
    </row>
    <row r="729">
      <c r="A729" s="2" t="inlineStr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>
        <f>IF(COUNTA($A729:$F729)=0,"",IF($C729="","MissingDate",IF(OR($A729="",$D729="",$E729="",$D729=$E729),"InvalidSchedule",IF(COUNTIF(ActiveActivityCodes,$F729)=0,"InvalidCode",IF(COUNTIFS(tblScheduleData[EmployeeID],$A729,tblScheduleData[OperationalDate],$C729,tblScheduleData[ShiftStart],$D729,tblScheduleData[ShiftEnd],$E729,tblScheduleData[ActivityCode],$F729)&gt;1,"Duplicate","Valid")))))</f>
        <v/>
      </c>
      <c r="K729" s="2" t="n"/>
    </row>
    <row r="730">
      <c r="A730" s="2" t="inlineStr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>
        <f>IF(COUNTA($A730:$F730)=0,"",IF($C730="","MissingDate",IF(OR($A730="",$D730="",$E730="",$D730=$E730),"InvalidSchedule",IF(COUNTIF(ActiveActivityCodes,$F730)=0,"InvalidCode",IF(COUNTIFS(tblScheduleData[EmployeeID],$A730,tblScheduleData[OperationalDate],$C730,tblScheduleData[ShiftStart],$D730,tblScheduleData[ShiftEnd],$E730,tblScheduleData[ActivityCode],$F730)&gt;1,"Duplicate","Valid")))))</f>
        <v/>
      </c>
      <c r="K730" s="2" t="n"/>
    </row>
    <row r="731">
      <c r="A731" s="2" t="inlineStr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>
        <f>IF(COUNTA($A731:$F731)=0,"",IF($C731="","MissingDate",IF(OR($A731="",$D731="",$E731="",$D731=$E731),"InvalidSchedule",IF(COUNTIF(ActiveActivityCodes,$F731)=0,"InvalidCode",IF(COUNTIFS(tblScheduleData[EmployeeID],$A731,tblScheduleData[OperationalDate],$C731,tblScheduleData[ShiftStart],$D731,tblScheduleData[ShiftEnd],$E731,tblScheduleData[ActivityCode],$F731)&gt;1,"Duplicate","Valid")))))</f>
        <v/>
      </c>
      <c r="K731" s="2" t="n"/>
    </row>
    <row r="732">
      <c r="A732" s="2" t="inlineStr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>
        <f>IF(COUNTA($A732:$F732)=0,"",IF($C732="","MissingDate",IF(OR($A732="",$D732="",$E732="",$D732=$E732),"InvalidSchedule",IF(COUNTIF(ActiveActivityCodes,$F732)=0,"InvalidCode",IF(COUNTIFS(tblScheduleData[EmployeeID],$A732,tblScheduleData[OperationalDate],$C732,tblScheduleData[ShiftStart],$D732,tblScheduleData[ShiftEnd],$E732,tblScheduleData[ActivityCode],$F732)&gt;1,"Duplicate","Valid")))))</f>
        <v/>
      </c>
      <c r="K732" s="2" t="n"/>
    </row>
    <row r="733">
      <c r="A733" s="2" t="inlineStr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>
        <f>IF(COUNTA($A733:$F733)=0,"",IF($C733="","MissingDate",IF(OR($A733="",$D733="",$E733="",$D733=$E733),"InvalidSchedule",IF(COUNTIF(ActiveActivityCodes,$F733)=0,"InvalidCode",IF(COUNTIFS(tblScheduleData[EmployeeID],$A733,tblScheduleData[OperationalDate],$C733,tblScheduleData[ShiftStart],$D733,tblScheduleData[ShiftEnd],$E733,tblScheduleData[ActivityCode],$F733)&gt;1,"Duplicate","Valid")))))</f>
        <v/>
      </c>
      <c r="K733" s="2" t="n"/>
    </row>
    <row r="734">
      <c r="A734" s="2" t="inlineStr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>
        <f>IF(COUNTA($A734:$F734)=0,"",IF($C734="","MissingDate",IF(OR($A734="",$D734="",$E734="",$D734=$E734),"InvalidSchedule",IF(COUNTIF(ActiveActivityCodes,$F734)=0,"InvalidCode",IF(COUNTIFS(tblScheduleData[EmployeeID],$A734,tblScheduleData[OperationalDate],$C734,tblScheduleData[ShiftStart],$D734,tblScheduleData[ShiftEnd],$E734,tblScheduleData[ActivityCode],$F734)&gt;1,"Duplicate","Valid")))))</f>
        <v/>
      </c>
      <c r="K734" s="2" t="n"/>
    </row>
    <row r="735">
      <c r="A735" s="2" t="inlineStr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>
        <f>IF(COUNTA($A735:$F735)=0,"",IF($C735="","MissingDate",IF(OR($A735="",$D735="",$E735="",$D735=$E735),"InvalidSchedule",IF(COUNTIF(ActiveActivityCodes,$F735)=0,"InvalidCode",IF(COUNTIFS(tblScheduleData[EmployeeID],$A735,tblScheduleData[OperationalDate],$C735,tblScheduleData[ShiftStart],$D735,tblScheduleData[ShiftEnd],$E735,tblScheduleData[ActivityCode],$F735)&gt;1,"Duplicate","Valid")))))</f>
        <v/>
      </c>
      <c r="K735" s="2" t="n"/>
    </row>
    <row r="736">
      <c r="A736" s="2" t="inlineStr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>
        <f>IF(COUNTA($A736:$F736)=0,"",IF($C736="","MissingDate",IF(OR($A736="",$D736="",$E736="",$D736=$E736),"InvalidSchedule",IF(COUNTIF(ActiveActivityCodes,$F736)=0,"InvalidCode",IF(COUNTIFS(tblScheduleData[EmployeeID],$A736,tblScheduleData[OperationalDate],$C736,tblScheduleData[ShiftStart],$D736,tblScheduleData[ShiftEnd],$E736,tblScheduleData[ActivityCode],$F736)&gt;1,"Duplicate","Valid")))))</f>
        <v/>
      </c>
      <c r="K736" s="2" t="n"/>
    </row>
    <row r="737">
      <c r="A737" s="2" t="inlineStr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>
        <f>IF(COUNTA($A737:$F737)=0,"",IF($C737="","MissingDate",IF(OR($A737="",$D737="",$E737="",$D737=$E737),"InvalidSchedule",IF(COUNTIF(ActiveActivityCodes,$F737)=0,"InvalidCode",IF(COUNTIFS(tblScheduleData[EmployeeID],$A737,tblScheduleData[OperationalDate],$C737,tblScheduleData[ShiftStart],$D737,tblScheduleData[ShiftEnd],$E737,tblScheduleData[ActivityCode],$F737)&gt;1,"Duplicate","Valid")))))</f>
        <v/>
      </c>
      <c r="K737" s="2" t="n"/>
    </row>
    <row r="738">
      <c r="A738" s="2" t="inlineStr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>
        <f>IF(COUNTA($A738:$F738)=0,"",IF($C738="","MissingDate",IF(OR($A738="",$D738="",$E738="",$D738=$E738),"InvalidSchedule",IF(COUNTIF(ActiveActivityCodes,$F738)=0,"InvalidCode",IF(COUNTIFS(tblScheduleData[EmployeeID],$A738,tblScheduleData[OperationalDate],$C738,tblScheduleData[ShiftStart],$D738,tblScheduleData[ShiftEnd],$E738,tblScheduleData[ActivityCode],$F738)&gt;1,"Duplicate","Valid")))))</f>
        <v/>
      </c>
      <c r="K738" s="2" t="n"/>
    </row>
    <row r="739">
      <c r="A739" s="2" t="inlineStr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>
        <f>IF(COUNTA($A739:$F739)=0,"",IF($C739="","MissingDate",IF(OR($A739="",$D739="",$E739="",$D739=$E739),"InvalidSchedule",IF(COUNTIF(ActiveActivityCodes,$F739)=0,"InvalidCode",IF(COUNTIFS(tblScheduleData[EmployeeID],$A739,tblScheduleData[OperationalDate],$C739,tblScheduleData[ShiftStart],$D739,tblScheduleData[ShiftEnd],$E739,tblScheduleData[ActivityCode],$F739)&gt;1,"Duplicate","Valid")))))</f>
        <v/>
      </c>
      <c r="K739" s="2" t="n"/>
    </row>
    <row r="740">
      <c r="A740" s="2" t="inlineStr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>
        <f>IF(COUNTA($A740:$F740)=0,"",IF($C740="","MissingDate",IF(OR($A740="",$D740="",$E740="",$D740=$E740),"InvalidSchedule",IF(COUNTIF(ActiveActivityCodes,$F740)=0,"InvalidCode",IF(COUNTIFS(tblScheduleData[EmployeeID],$A740,tblScheduleData[OperationalDate],$C740,tblScheduleData[ShiftStart],$D740,tblScheduleData[ShiftEnd],$E740,tblScheduleData[ActivityCode],$F740)&gt;1,"Duplicate","Valid")))))</f>
        <v/>
      </c>
      <c r="K740" s="2" t="n"/>
    </row>
    <row r="741">
      <c r="A741" s="2" t="inlineStr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>
        <f>IF(COUNTA($A741:$F741)=0,"",IF($C741="","MissingDate",IF(OR($A741="",$D741="",$E741="",$D741=$E741),"InvalidSchedule",IF(COUNTIF(ActiveActivityCodes,$F741)=0,"InvalidCode",IF(COUNTIFS(tblScheduleData[EmployeeID],$A741,tblScheduleData[OperationalDate],$C741,tblScheduleData[ShiftStart],$D741,tblScheduleData[ShiftEnd],$E741,tblScheduleData[ActivityCode],$F741)&gt;1,"Duplicate","Valid")))))</f>
        <v/>
      </c>
      <c r="K741" s="2" t="n"/>
    </row>
    <row r="742">
      <c r="A742" s="2" t="inlineStr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>
        <f>IF(COUNTA($A742:$F742)=0,"",IF($C742="","MissingDate",IF(OR($A742="",$D742="",$E742="",$D742=$E742),"InvalidSchedule",IF(COUNTIF(ActiveActivityCodes,$F742)=0,"InvalidCode",IF(COUNTIFS(tblScheduleData[EmployeeID],$A742,tblScheduleData[OperationalDate],$C742,tblScheduleData[ShiftStart],$D742,tblScheduleData[ShiftEnd],$E742,tblScheduleData[ActivityCode],$F742)&gt;1,"Duplicate","Valid")))))</f>
        <v/>
      </c>
      <c r="K742" s="2" t="n"/>
    </row>
    <row r="743">
      <c r="A743" s="2" t="inlineStr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>
        <f>IF(COUNTA($A743:$F743)=0,"",IF($C743="","MissingDate",IF(OR($A743="",$D743="",$E743="",$D743=$E743),"InvalidSchedule",IF(COUNTIF(ActiveActivityCodes,$F743)=0,"InvalidCode",IF(COUNTIFS(tblScheduleData[EmployeeID],$A743,tblScheduleData[OperationalDate],$C743,tblScheduleData[ShiftStart],$D743,tblScheduleData[ShiftEnd],$E743,tblScheduleData[ActivityCode],$F743)&gt;1,"Duplicate","Valid")))))</f>
        <v/>
      </c>
      <c r="K743" s="2" t="n"/>
    </row>
    <row r="744">
      <c r="A744" s="2" t="inlineStr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>
        <f>IF(COUNTA($A744:$F744)=0,"",IF($C744="","MissingDate",IF(OR($A744="",$D744="",$E744="",$D744=$E744),"InvalidSchedule",IF(COUNTIF(ActiveActivityCodes,$F744)=0,"InvalidCode",IF(COUNTIFS(tblScheduleData[EmployeeID],$A744,tblScheduleData[OperationalDate],$C744,tblScheduleData[ShiftStart],$D744,tblScheduleData[ShiftEnd],$E744,tblScheduleData[ActivityCode],$F744)&gt;1,"Duplicate","Valid")))))</f>
        <v/>
      </c>
      <c r="K744" s="2" t="n"/>
    </row>
    <row r="745">
      <c r="A745" s="2" t="inlineStr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>
        <f>IF(COUNTA($A745:$F745)=0,"",IF($C745="","MissingDate",IF(OR($A745="",$D745="",$E745="",$D745=$E745),"InvalidSchedule",IF(COUNTIF(ActiveActivityCodes,$F745)=0,"InvalidCode",IF(COUNTIFS(tblScheduleData[EmployeeID],$A745,tblScheduleData[OperationalDate],$C745,tblScheduleData[ShiftStart],$D745,tblScheduleData[ShiftEnd],$E745,tblScheduleData[ActivityCode],$F745)&gt;1,"Duplicate","Valid")))))</f>
        <v/>
      </c>
      <c r="K745" s="2" t="n"/>
    </row>
    <row r="746">
      <c r="A746" s="2" t="inlineStr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>
        <f>IF(COUNTA($A746:$F746)=0,"",IF($C746="","MissingDate",IF(OR($A746="",$D746="",$E746="",$D746=$E746),"InvalidSchedule",IF(COUNTIF(ActiveActivityCodes,$F746)=0,"InvalidCode",IF(COUNTIFS(tblScheduleData[EmployeeID],$A746,tblScheduleData[OperationalDate],$C746,tblScheduleData[ShiftStart],$D746,tblScheduleData[ShiftEnd],$E746,tblScheduleData[ActivityCode],$F746)&gt;1,"Duplicate","Valid")))))</f>
        <v/>
      </c>
      <c r="K746" s="2" t="n"/>
    </row>
    <row r="747">
      <c r="A747" s="2" t="inlineStr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>
        <f>IF(COUNTA($A747:$F747)=0,"",IF($C747="","MissingDate",IF(OR($A747="",$D747="",$E747="",$D747=$E747),"InvalidSchedule",IF(COUNTIF(ActiveActivityCodes,$F747)=0,"InvalidCode",IF(COUNTIFS(tblScheduleData[EmployeeID],$A747,tblScheduleData[OperationalDate],$C747,tblScheduleData[ShiftStart],$D747,tblScheduleData[ShiftEnd],$E747,tblScheduleData[ActivityCode],$F747)&gt;1,"Duplicate","Valid")))))</f>
        <v/>
      </c>
      <c r="K747" s="2" t="n"/>
    </row>
    <row r="748">
      <c r="A748" s="2" t="inlineStr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>
        <f>IF(COUNTA($A748:$F748)=0,"",IF($C748="","MissingDate",IF(OR($A748="",$D748="",$E748="",$D748=$E748),"InvalidSchedule",IF(COUNTIF(ActiveActivityCodes,$F748)=0,"InvalidCode",IF(COUNTIFS(tblScheduleData[EmployeeID],$A748,tblScheduleData[OperationalDate],$C748,tblScheduleData[ShiftStart],$D748,tblScheduleData[ShiftEnd],$E748,tblScheduleData[ActivityCode],$F748)&gt;1,"Duplicate","Valid")))))</f>
        <v/>
      </c>
      <c r="K748" s="2" t="n"/>
    </row>
    <row r="749">
      <c r="A749" s="2" t="inlineStr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>
        <f>IF(COUNTA($A749:$F749)=0,"",IF($C749="","MissingDate",IF(OR($A749="",$D749="",$E749="",$D749=$E749),"InvalidSchedule",IF(COUNTIF(ActiveActivityCodes,$F749)=0,"InvalidCode",IF(COUNTIFS(tblScheduleData[EmployeeID],$A749,tblScheduleData[OperationalDate],$C749,tblScheduleData[ShiftStart],$D749,tblScheduleData[ShiftEnd],$E749,tblScheduleData[ActivityCode],$F749)&gt;1,"Duplicate","Valid")))))</f>
        <v/>
      </c>
      <c r="K749" s="2" t="n"/>
    </row>
    <row r="750">
      <c r="A750" s="2" t="inlineStr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>
        <f>IF(COUNTA($A750:$F750)=0,"",IF($C750="","MissingDate",IF(OR($A750="",$D750="",$E750="",$D750=$E750),"InvalidSchedule",IF(COUNTIF(ActiveActivityCodes,$F750)=0,"InvalidCode",IF(COUNTIFS(tblScheduleData[EmployeeID],$A750,tblScheduleData[OperationalDate],$C750,tblScheduleData[ShiftStart],$D750,tblScheduleData[ShiftEnd],$E750,tblScheduleData[ActivityCode],$F750)&gt;1,"Duplicate","Valid")))))</f>
        <v/>
      </c>
      <c r="K750" s="2" t="n"/>
    </row>
    <row r="751">
      <c r="A751" s="2" t="inlineStr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>
        <f>IF(COUNTA($A751:$F751)=0,"",IF($C751="","MissingDate",IF(OR($A751="",$D751="",$E751="",$D751=$E751),"InvalidSchedule",IF(COUNTIF(ActiveActivityCodes,$F751)=0,"InvalidCode",IF(COUNTIFS(tblScheduleData[EmployeeID],$A751,tblScheduleData[OperationalDate],$C751,tblScheduleData[ShiftStart],$D751,tblScheduleData[ShiftEnd],$E751,tblScheduleData[ActivityCode],$F751)&gt;1,"Duplicate","Valid")))))</f>
        <v/>
      </c>
      <c r="K751" s="2" t="n"/>
    </row>
    <row r="752">
      <c r="A752" s="2" t="inlineStr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>
        <f>IF(COUNTA($A752:$F752)=0,"",IF($C752="","MissingDate",IF(OR($A752="",$D752="",$E752="",$D752=$E752),"InvalidSchedule",IF(COUNTIF(ActiveActivityCodes,$F752)=0,"InvalidCode",IF(COUNTIFS(tblScheduleData[EmployeeID],$A752,tblScheduleData[OperationalDate],$C752,tblScheduleData[ShiftStart],$D752,tblScheduleData[ShiftEnd],$E752,tblScheduleData[ActivityCode],$F752)&gt;1,"Duplicate","Valid")))))</f>
        <v/>
      </c>
      <c r="K752" s="2" t="n"/>
    </row>
    <row r="753">
      <c r="A753" s="2" t="inlineStr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>
        <f>IF(COUNTA($A753:$F753)=0,"",IF($C753="","MissingDate",IF(OR($A753="",$D753="",$E753="",$D753=$E753),"InvalidSchedule",IF(COUNTIF(ActiveActivityCodes,$F753)=0,"InvalidCode",IF(COUNTIFS(tblScheduleData[EmployeeID],$A753,tblScheduleData[OperationalDate],$C753,tblScheduleData[ShiftStart],$D753,tblScheduleData[ShiftEnd],$E753,tblScheduleData[ActivityCode],$F753)&gt;1,"Duplicate","Valid")))))</f>
        <v/>
      </c>
      <c r="K753" s="2" t="n"/>
    </row>
    <row r="754">
      <c r="A754" s="2" t="inlineStr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>
        <f>IF(COUNTA($A754:$F754)=0,"",IF($C754="","MissingDate",IF(OR($A754="",$D754="",$E754="",$D754=$E754),"InvalidSchedule",IF(COUNTIF(ActiveActivityCodes,$F754)=0,"InvalidCode",IF(COUNTIFS(tblScheduleData[EmployeeID],$A754,tblScheduleData[OperationalDate],$C754,tblScheduleData[ShiftStart],$D754,tblScheduleData[ShiftEnd],$E754,tblScheduleData[ActivityCode],$F754)&gt;1,"Duplicate","Valid")))))</f>
        <v/>
      </c>
      <c r="K754" s="2" t="n"/>
    </row>
    <row r="755">
      <c r="A755" s="2" t="inlineStr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>
        <f>IF(COUNTA($A755:$F755)=0,"",IF($C755="","MissingDate",IF(OR($A755="",$D755="",$E755="",$D755=$E755),"InvalidSchedule",IF(COUNTIF(ActiveActivityCodes,$F755)=0,"InvalidCode",IF(COUNTIFS(tblScheduleData[EmployeeID],$A755,tblScheduleData[OperationalDate],$C755,tblScheduleData[ShiftStart],$D755,tblScheduleData[ShiftEnd],$E755,tblScheduleData[ActivityCode],$F755)&gt;1,"Duplicate","Valid")))))</f>
        <v/>
      </c>
      <c r="K755" s="2" t="n"/>
    </row>
    <row r="756">
      <c r="A756" s="2" t="inlineStr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>
        <f>IF(COUNTA($A756:$F756)=0,"",IF($C756="","MissingDate",IF(OR($A756="",$D756="",$E756="",$D756=$E756),"InvalidSchedule",IF(COUNTIF(ActiveActivityCodes,$F756)=0,"InvalidCode",IF(COUNTIFS(tblScheduleData[EmployeeID],$A756,tblScheduleData[OperationalDate],$C756,tblScheduleData[ShiftStart],$D756,tblScheduleData[ShiftEnd],$E756,tblScheduleData[ActivityCode],$F756)&gt;1,"Duplicate","Valid")))))</f>
        <v/>
      </c>
      <c r="K756" s="2" t="n"/>
    </row>
    <row r="757">
      <c r="A757" s="2" t="inlineStr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>
        <f>IF(COUNTA($A757:$F757)=0,"",IF($C757="","MissingDate",IF(OR($A757="",$D757="",$E757="",$D757=$E757),"InvalidSchedule",IF(COUNTIF(ActiveActivityCodes,$F757)=0,"InvalidCode",IF(COUNTIFS(tblScheduleData[EmployeeID],$A757,tblScheduleData[OperationalDate],$C757,tblScheduleData[ShiftStart],$D757,tblScheduleData[ShiftEnd],$E757,tblScheduleData[ActivityCode],$F757)&gt;1,"Duplicate","Valid")))))</f>
        <v/>
      </c>
      <c r="K757" s="2" t="n"/>
    </row>
    <row r="758">
      <c r="A758" s="2" t="inlineStr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>
        <f>IF(COUNTA($A758:$F758)=0,"",IF($C758="","MissingDate",IF(OR($A758="",$D758="",$E758="",$D758=$E758),"InvalidSchedule",IF(COUNTIF(ActiveActivityCodes,$F758)=0,"InvalidCode",IF(COUNTIFS(tblScheduleData[EmployeeID],$A758,tblScheduleData[OperationalDate],$C758,tblScheduleData[ShiftStart],$D758,tblScheduleData[ShiftEnd],$E758,tblScheduleData[ActivityCode],$F758)&gt;1,"Duplicate","Valid")))))</f>
        <v/>
      </c>
      <c r="K758" s="2" t="n"/>
    </row>
    <row r="759">
      <c r="A759" s="2" t="inlineStr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>
        <f>IF(COUNTA($A759:$F759)=0,"",IF($C759="","MissingDate",IF(OR($A759="",$D759="",$E759="",$D759=$E759),"InvalidSchedule",IF(COUNTIF(ActiveActivityCodes,$F759)=0,"InvalidCode",IF(COUNTIFS(tblScheduleData[EmployeeID],$A759,tblScheduleData[OperationalDate],$C759,tblScheduleData[ShiftStart],$D759,tblScheduleData[ShiftEnd],$E759,tblScheduleData[ActivityCode],$F759)&gt;1,"Duplicate","Valid")))))</f>
        <v/>
      </c>
      <c r="K759" s="2" t="n"/>
    </row>
    <row r="760">
      <c r="A760" s="2" t="inlineStr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>
        <f>IF(COUNTA($A760:$F760)=0,"",IF($C760="","MissingDate",IF(OR($A760="",$D760="",$E760="",$D760=$E760),"InvalidSchedule",IF(COUNTIF(ActiveActivityCodes,$F760)=0,"InvalidCode",IF(COUNTIFS(tblScheduleData[EmployeeID],$A760,tblScheduleData[OperationalDate],$C760,tblScheduleData[ShiftStart],$D760,tblScheduleData[ShiftEnd],$E760,tblScheduleData[ActivityCode],$F760)&gt;1,"Duplicate","Valid")))))</f>
        <v/>
      </c>
      <c r="K760" s="2" t="n"/>
    </row>
    <row r="761">
      <c r="A761" s="2" t="inlineStr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>
        <f>IF(COUNTA($A761:$F761)=0,"",IF($C761="","MissingDate",IF(OR($A761="",$D761="",$E761="",$D761=$E761),"InvalidSchedule",IF(COUNTIF(ActiveActivityCodes,$F761)=0,"InvalidCode",IF(COUNTIFS(tblScheduleData[EmployeeID],$A761,tblScheduleData[OperationalDate],$C761,tblScheduleData[ShiftStart],$D761,tblScheduleData[ShiftEnd],$E761,tblScheduleData[ActivityCode],$F761)&gt;1,"Duplicate","Valid")))))</f>
        <v/>
      </c>
      <c r="K761" s="2" t="n"/>
    </row>
    <row r="762">
      <c r="A762" s="2" t="inlineStr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>
        <f>IF(COUNTA($A762:$F762)=0,"",IF($C762="","MissingDate",IF(OR($A762="",$D762="",$E762="",$D762=$E762),"InvalidSchedule",IF(COUNTIF(ActiveActivityCodes,$F762)=0,"InvalidCode",IF(COUNTIFS(tblScheduleData[EmployeeID],$A762,tblScheduleData[OperationalDate],$C762,tblScheduleData[ShiftStart],$D762,tblScheduleData[ShiftEnd],$E762,tblScheduleData[ActivityCode],$F762)&gt;1,"Duplicate","Valid")))))</f>
        <v/>
      </c>
      <c r="K762" s="2" t="n"/>
    </row>
    <row r="763">
      <c r="A763" s="2" t="inlineStr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>
        <f>IF(COUNTA($A763:$F763)=0,"",IF($C763="","MissingDate",IF(OR($A763="",$D763="",$E763="",$D763=$E763),"InvalidSchedule",IF(COUNTIF(ActiveActivityCodes,$F763)=0,"InvalidCode",IF(COUNTIFS(tblScheduleData[EmployeeID],$A763,tblScheduleData[OperationalDate],$C763,tblScheduleData[ShiftStart],$D763,tblScheduleData[ShiftEnd],$E763,tblScheduleData[ActivityCode],$F763)&gt;1,"Duplicate","Valid")))))</f>
        <v/>
      </c>
      <c r="K763" s="2" t="n"/>
    </row>
    <row r="764">
      <c r="A764" s="2" t="inlineStr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>
        <f>IF(COUNTA($A764:$F764)=0,"",IF($C764="","MissingDate",IF(OR($A764="",$D764="",$E764="",$D764=$E764),"InvalidSchedule",IF(COUNTIF(ActiveActivityCodes,$F764)=0,"InvalidCode",IF(COUNTIFS(tblScheduleData[EmployeeID],$A764,tblScheduleData[OperationalDate],$C764,tblScheduleData[ShiftStart],$D764,tblScheduleData[ShiftEnd],$E764,tblScheduleData[ActivityCode],$F764)&gt;1,"Duplicate","Valid")))))</f>
        <v/>
      </c>
      <c r="K764" s="2" t="n"/>
    </row>
    <row r="765">
      <c r="A765" s="2" t="inlineStr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>
        <f>IF(COUNTA($A765:$F765)=0,"",IF($C765="","MissingDate",IF(OR($A765="",$D765="",$E765="",$D765=$E765),"InvalidSchedule",IF(COUNTIF(ActiveActivityCodes,$F765)=0,"InvalidCode",IF(COUNTIFS(tblScheduleData[EmployeeID],$A765,tblScheduleData[OperationalDate],$C765,tblScheduleData[ShiftStart],$D765,tblScheduleData[ShiftEnd],$E765,tblScheduleData[ActivityCode],$F765)&gt;1,"Duplicate","Valid")))))</f>
        <v/>
      </c>
      <c r="K765" s="2" t="n"/>
    </row>
    <row r="766">
      <c r="A766" s="2" t="inlineStr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>
        <f>IF(COUNTA($A766:$F766)=0,"",IF($C766="","MissingDate",IF(OR($A766="",$D766="",$E766="",$D766=$E766),"InvalidSchedule",IF(COUNTIF(ActiveActivityCodes,$F766)=0,"InvalidCode",IF(COUNTIFS(tblScheduleData[EmployeeID],$A766,tblScheduleData[OperationalDate],$C766,tblScheduleData[ShiftStart],$D766,tblScheduleData[ShiftEnd],$E766,tblScheduleData[ActivityCode],$F766)&gt;1,"Duplicate","Valid")))))</f>
        <v/>
      </c>
      <c r="K766" s="2" t="n"/>
    </row>
    <row r="767">
      <c r="A767" s="2" t="inlineStr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>
        <f>IF(COUNTA($A767:$F767)=0,"",IF($C767="","MissingDate",IF(OR($A767="",$D767="",$E767="",$D767=$E767),"InvalidSchedule",IF(COUNTIF(ActiveActivityCodes,$F767)=0,"InvalidCode",IF(COUNTIFS(tblScheduleData[EmployeeID],$A767,tblScheduleData[OperationalDate],$C767,tblScheduleData[ShiftStart],$D767,tblScheduleData[ShiftEnd],$E767,tblScheduleData[ActivityCode],$F767)&gt;1,"Duplicate","Valid")))))</f>
        <v/>
      </c>
      <c r="K767" s="2" t="n"/>
    </row>
    <row r="768">
      <c r="A768" s="2" t="inlineStr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>
        <f>IF(COUNTA($A768:$F768)=0,"",IF($C768="","MissingDate",IF(OR($A768="",$D768="",$E768="",$D768=$E768),"InvalidSchedule",IF(COUNTIF(ActiveActivityCodes,$F768)=0,"InvalidCode",IF(COUNTIFS(tblScheduleData[EmployeeID],$A768,tblScheduleData[OperationalDate],$C768,tblScheduleData[ShiftStart],$D768,tblScheduleData[ShiftEnd],$E768,tblScheduleData[ActivityCode],$F768)&gt;1,"Duplicate","Valid")))))</f>
        <v/>
      </c>
      <c r="K768" s="2" t="n"/>
    </row>
    <row r="769">
      <c r="A769" s="2" t="inlineStr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>
        <f>IF(COUNTA($A769:$F769)=0,"",IF($C769="","MissingDate",IF(OR($A769="",$D769="",$E769="",$D769=$E769),"InvalidSchedule",IF(COUNTIF(ActiveActivityCodes,$F769)=0,"InvalidCode",IF(COUNTIFS(tblScheduleData[EmployeeID],$A769,tblScheduleData[OperationalDate],$C769,tblScheduleData[ShiftStart],$D769,tblScheduleData[ShiftEnd],$E769,tblScheduleData[ActivityCode],$F769)&gt;1,"Duplicate","Valid")))))</f>
        <v/>
      </c>
      <c r="K769" s="2" t="n"/>
    </row>
    <row r="770">
      <c r="A770" s="2" t="inlineStr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>
        <f>IF(COUNTA($A770:$F770)=0,"",IF($C770="","MissingDate",IF(OR($A770="",$D770="",$E770="",$D770=$E770),"InvalidSchedule",IF(COUNTIF(ActiveActivityCodes,$F770)=0,"InvalidCode",IF(COUNTIFS(tblScheduleData[EmployeeID],$A770,tblScheduleData[OperationalDate],$C770,tblScheduleData[ShiftStart],$D770,tblScheduleData[ShiftEnd],$E770,tblScheduleData[ActivityCode],$F770)&gt;1,"Duplicate","Valid")))))</f>
        <v/>
      </c>
      <c r="K770" s="2" t="n"/>
    </row>
    <row r="771">
      <c r="A771" s="2" t="inlineStr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>
        <f>IF(COUNTA($A771:$F771)=0,"",IF($C771="","MissingDate",IF(OR($A771="",$D771="",$E771="",$D771=$E771),"InvalidSchedule",IF(COUNTIF(ActiveActivityCodes,$F771)=0,"InvalidCode",IF(COUNTIFS(tblScheduleData[EmployeeID],$A771,tblScheduleData[OperationalDate],$C771,tblScheduleData[ShiftStart],$D771,tblScheduleData[ShiftEnd],$E771,tblScheduleData[ActivityCode],$F771)&gt;1,"Duplicate","Valid")))))</f>
        <v/>
      </c>
      <c r="K771" s="2" t="n"/>
    </row>
    <row r="772">
      <c r="A772" s="2" t="inlineStr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>
        <f>IF(COUNTA($A772:$F772)=0,"",IF($C772="","MissingDate",IF(OR($A772="",$D772="",$E772="",$D772=$E772),"InvalidSchedule",IF(COUNTIF(ActiveActivityCodes,$F772)=0,"InvalidCode",IF(COUNTIFS(tblScheduleData[EmployeeID],$A772,tblScheduleData[OperationalDate],$C772,tblScheduleData[ShiftStart],$D772,tblScheduleData[ShiftEnd],$E772,tblScheduleData[ActivityCode],$F772)&gt;1,"Duplicate","Valid")))))</f>
        <v/>
      </c>
      <c r="K772" s="2" t="n"/>
    </row>
    <row r="773">
      <c r="A773" s="2" t="inlineStr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>
        <f>IF(COUNTA($A773:$F773)=0,"",IF($C773="","MissingDate",IF(OR($A773="",$D773="",$E773="",$D773=$E773),"InvalidSchedule",IF(COUNTIF(ActiveActivityCodes,$F773)=0,"InvalidCode",IF(COUNTIFS(tblScheduleData[EmployeeID],$A773,tblScheduleData[OperationalDate],$C773,tblScheduleData[ShiftStart],$D773,tblScheduleData[ShiftEnd],$E773,tblScheduleData[ActivityCode],$F773)&gt;1,"Duplicate","Valid")))))</f>
        <v/>
      </c>
      <c r="K773" s="2" t="n"/>
    </row>
    <row r="774">
      <c r="A774" s="2" t="inlineStr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>
        <f>IF(COUNTA($A774:$F774)=0,"",IF($C774="","MissingDate",IF(OR($A774="",$D774="",$E774="",$D774=$E774),"InvalidSchedule",IF(COUNTIF(ActiveActivityCodes,$F774)=0,"InvalidCode",IF(COUNTIFS(tblScheduleData[EmployeeID],$A774,tblScheduleData[OperationalDate],$C774,tblScheduleData[ShiftStart],$D774,tblScheduleData[ShiftEnd],$E774,tblScheduleData[ActivityCode],$F774)&gt;1,"Duplicate","Valid")))))</f>
        <v/>
      </c>
      <c r="K774" s="2" t="n"/>
    </row>
    <row r="775">
      <c r="A775" s="2" t="inlineStr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>
        <f>IF(COUNTA($A775:$F775)=0,"",IF($C775="","MissingDate",IF(OR($A775="",$D775="",$E775="",$D775=$E775),"InvalidSchedule",IF(COUNTIF(ActiveActivityCodes,$F775)=0,"InvalidCode",IF(COUNTIFS(tblScheduleData[EmployeeID],$A775,tblScheduleData[OperationalDate],$C775,tblScheduleData[ShiftStart],$D775,tblScheduleData[ShiftEnd],$E775,tblScheduleData[ActivityCode],$F775)&gt;1,"Duplicate","Valid")))))</f>
        <v/>
      </c>
      <c r="K775" s="2" t="n"/>
    </row>
    <row r="776">
      <c r="A776" s="2" t="inlineStr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>
        <f>IF(COUNTA($A776:$F776)=0,"",IF($C776="","MissingDate",IF(OR($A776="",$D776="",$E776="",$D776=$E776),"InvalidSchedule",IF(COUNTIF(ActiveActivityCodes,$F776)=0,"InvalidCode",IF(COUNTIFS(tblScheduleData[EmployeeID],$A776,tblScheduleData[OperationalDate],$C776,tblScheduleData[ShiftStart],$D776,tblScheduleData[ShiftEnd],$E776,tblScheduleData[ActivityCode],$F776)&gt;1,"Duplicate","Valid")))))</f>
        <v/>
      </c>
      <c r="K776" s="2" t="n"/>
    </row>
    <row r="777">
      <c r="A777" s="2" t="inlineStr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>
        <f>IF(COUNTA($A777:$F777)=0,"",IF($C777="","MissingDate",IF(OR($A777="",$D777="",$E777="",$D777=$E777),"InvalidSchedule",IF(COUNTIF(ActiveActivityCodes,$F777)=0,"InvalidCode",IF(COUNTIFS(tblScheduleData[EmployeeID],$A777,tblScheduleData[OperationalDate],$C777,tblScheduleData[ShiftStart],$D777,tblScheduleData[ShiftEnd],$E777,tblScheduleData[ActivityCode],$F777)&gt;1,"Duplicate","Valid")))))</f>
        <v/>
      </c>
      <c r="K777" s="2" t="n"/>
    </row>
    <row r="778">
      <c r="A778" s="2" t="inlineStr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>
        <f>IF(COUNTA($A778:$F778)=0,"",IF($C778="","MissingDate",IF(OR($A778="",$D778="",$E778="",$D778=$E778),"InvalidSchedule",IF(COUNTIF(ActiveActivityCodes,$F778)=0,"InvalidCode",IF(COUNTIFS(tblScheduleData[EmployeeID],$A778,tblScheduleData[OperationalDate],$C778,tblScheduleData[ShiftStart],$D778,tblScheduleData[ShiftEnd],$E778,tblScheduleData[ActivityCode],$F778)&gt;1,"Duplicate","Valid")))))</f>
        <v/>
      </c>
      <c r="K778" s="2" t="n"/>
    </row>
    <row r="779">
      <c r="A779" s="2" t="inlineStr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>
        <f>IF(COUNTA($A779:$F779)=0,"",IF($C779="","MissingDate",IF(OR($A779="",$D779="",$E779="",$D779=$E779),"InvalidSchedule",IF(COUNTIF(ActiveActivityCodes,$F779)=0,"InvalidCode",IF(COUNTIFS(tblScheduleData[EmployeeID],$A779,tblScheduleData[OperationalDate],$C779,tblScheduleData[ShiftStart],$D779,tblScheduleData[ShiftEnd],$E779,tblScheduleData[ActivityCode],$F779)&gt;1,"Duplicate","Valid")))))</f>
        <v/>
      </c>
      <c r="K779" s="2" t="n"/>
    </row>
    <row r="780">
      <c r="A780" s="2" t="inlineStr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>
        <f>IF(COUNTA($A780:$F780)=0,"",IF($C780="","MissingDate",IF(OR($A780="",$D780="",$E780="",$D780=$E780),"InvalidSchedule",IF(COUNTIF(ActiveActivityCodes,$F780)=0,"InvalidCode",IF(COUNTIFS(tblScheduleData[EmployeeID],$A780,tblScheduleData[OperationalDate],$C780,tblScheduleData[ShiftStart],$D780,tblScheduleData[ShiftEnd],$E780,tblScheduleData[ActivityCode],$F780)&gt;1,"Duplicate","Valid")))))</f>
        <v/>
      </c>
      <c r="K780" s="2" t="n"/>
    </row>
    <row r="781">
      <c r="A781" s="2" t="inlineStr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>
        <f>IF(COUNTA($A781:$F781)=0,"",IF($C781="","MissingDate",IF(OR($A781="",$D781="",$E781="",$D781=$E781),"InvalidSchedule",IF(COUNTIF(ActiveActivityCodes,$F781)=0,"InvalidCode",IF(COUNTIFS(tblScheduleData[EmployeeID],$A781,tblScheduleData[OperationalDate],$C781,tblScheduleData[ShiftStart],$D781,tblScheduleData[ShiftEnd],$E781,tblScheduleData[ActivityCode],$F781)&gt;1,"Duplicate","Valid")))))</f>
        <v/>
      </c>
      <c r="K781" s="2" t="n"/>
    </row>
    <row r="782">
      <c r="A782" s="2" t="inlineStr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>
        <f>IF(COUNTA($A782:$F782)=0,"",IF($C782="","MissingDate",IF(OR($A782="",$D782="",$E782="",$D782=$E782),"InvalidSchedule",IF(COUNTIF(ActiveActivityCodes,$F782)=0,"InvalidCode",IF(COUNTIFS(tblScheduleData[EmployeeID],$A782,tblScheduleData[OperationalDate],$C782,tblScheduleData[ShiftStart],$D782,tblScheduleData[ShiftEnd],$E782,tblScheduleData[ActivityCode],$F782)&gt;1,"Duplicate","Valid")))))</f>
        <v/>
      </c>
      <c r="K782" s="2" t="n"/>
    </row>
    <row r="783">
      <c r="A783" s="2" t="inlineStr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>
        <f>IF(COUNTA($A783:$F783)=0,"",IF($C783="","MissingDate",IF(OR($A783="",$D783="",$E783="",$D783=$E783),"InvalidSchedule",IF(COUNTIF(ActiveActivityCodes,$F783)=0,"InvalidCode",IF(COUNTIFS(tblScheduleData[EmployeeID],$A783,tblScheduleData[OperationalDate],$C783,tblScheduleData[ShiftStart],$D783,tblScheduleData[ShiftEnd],$E783,tblScheduleData[ActivityCode],$F783)&gt;1,"Duplicate","Valid")))))</f>
        <v/>
      </c>
      <c r="K783" s="2" t="n"/>
    </row>
    <row r="784">
      <c r="A784" s="2" t="inlineStr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>
        <f>IF(COUNTA($A784:$F784)=0,"",IF($C784="","MissingDate",IF(OR($A784="",$D784="",$E784="",$D784=$E784),"InvalidSchedule",IF(COUNTIF(ActiveActivityCodes,$F784)=0,"InvalidCode",IF(COUNTIFS(tblScheduleData[EmployeeID],$A784,tblScheduleData[OperationalDate],$C784,tblScheduleData[ShiftStart],$D784,tblScheduleData[ShiftEnd],$E784,tblScheduleData[ActivityCode],$F784)&gt;1,"Duplicate","Valid")))))</f>
        <v/>
      </c>
      <c r="K784" s="2" t="n"/>
    </row>
    <row r="785">
      <c r="A785" s="2" t="inlineStr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>
        <f>IF(COUNTA($A785:$F785)=0,"",IF($C785="","MissingDate",IF(OR($A785="",$D785="",$E785="",$D785=$E785),"InvalidSchedule",IF(COUNTIF(ActiveActivityCodes,$F785)=0,"InvalidCode",IF(COUNTIFS(tblScheduleData[EmployeeID],$A785,tblScheduleData[OperationalDate],$C785,tblScheduleData[ShiftStart],$D785,tblScheduleData[ShiftEnd],$E785,tblScheduleData[ActivityCode],$F785)&gt;1,"Duplicate","Valid")))))</f>
        <v/>
      </c>
      <c r="K785" s="2" t="n"/>
    </row>
    <row r="786">
      <c r="A786" s="2" t="inlineStr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>
        <f>IF(COUNTA($A786:$F786)=0,"",IF($C786="","MissingDate",IF(OR($A786="",$D786="",$E786="",$D786=$E786),"InvalidSchedule",IF(COUNTIF(ActiveActivityCodes,$F786)=0,"InvalidCode",IF(COUNTIFS(tblScheduleData[EmployeeID],$A786,tblScheduleData[OperationalDate],$C786,tblScheduleData[ShiftStart],$D786,tblScheduleData[ShiftEnd],$E786,tblScheduleData[ActivityCode],$F786)&gt;1,"Duplicate","Valid")))))</f>
        <v/>
      </c>
      <c r="K786" s="2" t="n"/>
    </row>
    <row r="787">
      <c r="A787" s="2" t="inlineStr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>
        <f>IF(COUNTA($A787:$F787)=0,"",IF($C787="","MissingDate",IF(OR($A787="",$D787="",$E787="",$D787=$E787),"InvalidSchedule",IF(COUNTIF(ActiveActivityCodes,$F787)=0,"InvalidCode",IF(COUNTIFS(tblScheduleData[EmployeeID],$A787,tblScheduleData[OperationalDate],$C787,tblScheduleData[ShiftStart],$D787,tblScheduleData[ShiftEnd],$E787,tblScheduleData[ActivityCode],$F787)&gt;1,"Duplicate","Valid")))))</f>
        <v/>
      </c>
      <c r="K787" s="2" t="n"/>
    </row>
    <row r="788">
      <c r="A788" s="2" t="inlineStr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>
        <f>IF(COUNTA($A788:$F788)=0,"",IF($C788="","MissingDate",IF(OR($A788="",$D788="",$E788="",$D788=$E788),"InvalidSchedule",IF(COUNTIF(ActiveActivityCodes,$F788)=0,"InvalidCode",IF(COUNTIFS(tblScheduleData[EmployeeID],$A788,tblScheduleData[OperationalDate],$C788,tblScheduleData[ShiftStart],$D788,tblScheduleData[ShiftEnd],$E788,tblScheduleData[ActivityCode],$F788)&gt;1,"Duplicate","Valid")))))</f>
        <v/>
      </c>
      <c r="K788" s="2" t="n"/>
    </row>
    <row r="789">
      <c r="A789" s="2" t="inlineStr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>
        <f>IF(COUNTA($A789:$F789)=0,"",IF($C789="","MissingDate",IF(OR($A789="",$D789="",$E789="",$D789=$E789),"InvalidSchedule",IF(COUNTIF(ActiveActivityCodes,$F789)=0,"InvalidCode",IF(COUNTIFS(tblScheduleData[EmployeeID],$A789,tblScheduleData[OperationalDate],$C789,tblScheduleData[ShiftStart],$D789,tblScheduleData[ShiftEnd],$E789,tblScheduleData[ActivityCode],$F789)&gt;1,"Duplicate","Valid")))))</f>
        <v/>
      </c>
      <c r="K789" s="2" t="n"/>
    </row>
    <row r="790">
      <c r="A790" s="2" t="inlineStr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>
        <f>IF(COUNTA($A790:$F790)=0,"",IF($C790="","MissingDate",IF(OR($A790="",$D790="",$E790="",$D790=$E790),"InvalidSchedule",IF(COUNTIF(ActiveActivityCodes,$F790)=0,"InvalidCode",IF(COUNTIFS(tblScheduleData[EmployeeID],$A790,tblScheduleData[OperationalDate],$C790,tblScheduleData[ShiftStart],$D790,tblScheduleData[ShiftEnd],$E790,tblScheduleData[ActivityCode],$F790)&gt;1,"Duplicate","Valid")))))</f>
        <v/>
      </c>
      <c r="K790" s="2" t="n"/>
    </row>
    <row r="791">
      <c r="A791" s="2" t="inlineStr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>
        <f>IF(COUNTA($A791:$F791)=0,"",IF($C791="","MissingDate",IF(OR($A791="",$D791="",$E791="",$D791=$E791),"InvalidSchedule",IF(COUNTIF(ActiveActivityCodes,$F791)=0,"InvalidCode",IF(COUNTIFS(tblScheduleData[EmployeeID],$A791,tblScheduleData[OperationalDate],$C791,tblScheduleData[ShiftStart],$D791,tblScheduleData[ShiftEnd],$E791,tblScheduleData[ActivityCode],$F791)&gt;1,"Duplicate","Valid")))))</f>
        <v/>
      </c>
      <c r="K791" s="2" t="n"/>
    </row>
    <row r="792">
      <c r="A792" s="2" t="inlineStr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>
        <f>IF(COUNTA($A792:$F792)=0,"",IF($C792="","MissingDate",IF(OR($A792="",$D792="",$E792="",$D792=$E792),"InvalidSchedule",IF(COUNTIF(ActiveActivityCodes,$F792)=0,"InvalidCode",IF(COUNTIFS(tblScheduleData[EmployeeID],$A792,tblScheduleData[OperationalDate],$C792,tblScheduleData[ShiftStart],$D792,tblScheduleData[ShiftEnd],$E792,tblScheduleData[ActivityCode],$F792)&gt;1,"Duplicate","Valid")))))</f>
        <v/>
      </c>
      <c r="K792" s="2" t="n"/>
    </row>
    <row r="793">
      <c r="A793" s="2" t="inlineStr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>
        <f>IF(COUNTA($A793:$F793)=0,"",IF($C793="","MissingDate",IF(OR($A793="",$D793="",$E793="",$D793=$E793),"InvalidSchedule",IF(COUNTIF(ActiveActivityCodes,$F793)=0,"InvalidCode",IF(COUNTIFS(tblScheduleData[EmployeeID],$A793,tblScheduleData[OperationalDate],$C793,tblScheduleData[ShiftStart],$D793,tblScheduleData[ShiftEnd],$E793,tblScheduleData[ActivityCode],$F793)&gt;1,"Duplicate","Valid")))))</f>
        <v/>
      </c>
      <c r="K793" s="2" t="n"/>
    </row>
    <row r="794">
      <c r="A794" s="2" t="inlineStr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>
        <f>IF(COUNTA($A794:$F794)=0,"",IF($C794="","MissingDate",IF(OR($A794="",$D794="",$E794="",$D794=$E794),"InvalidSchedule",IF(COUNTIF(ActiveActivityCodes,$F794)=0,"InvalidCode",IF(COUNTIFS(tblScheduleData[EmployeeID],$A794,tblScheduleData[OperationalDate],$C794,tblScheduleData[ShiftStart],$D794,tblScheduleData[ShiftEnd],$E794,tblScheduleData[ActivityCode],$F794)&gt;1,"Duplicate","Valid")))))</f>
        <v/>
      </c>
      <c r="K794" s="2" t="n"/>
    </row>
    <row r="795">
      <c r="A795" s="2" t="inlineStr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>
        <f>IF(COUNTA($A795:$F795)=0,"",IF($C795="","MissingDate",IF(OR($A795="",$D795="",$E795="",$D795=$E795),"InvalidSchedule",IF(COUNTIF(ActiveActivityCodes,$F795)=0,"InvalidCode",IF(COUNTIFS(tblScheduleData[EmployeeID],$A795,tblScheduleData[OperationalDate],$C795,tblScheduleData[ShiftStart],$D795,tblScheduleData[ShiftEnd],$E795,tblScheduleData[ActivityCode],$F795)&gt;1,"Duplicate","Valid")))))</f>
        <v/>
      </c>
      <c r="K795" s="2" t="n"/>
    </row>
    <row r="796">
      <c r="A796" s="2" t="inlineStr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>
        <f>IF(COUNTA($A796:$F796)=0,"",IF($C796="","MissingDate",IF(OR($A796="",$D796="",$E796="",$D796=$E796),"InvalidSchedule",IF(COUNTIF(ActiveActivityCodes,$F796)=0,"InvalidCode",IF(COUNTIFS(tblScheduleData[EmployeeID],$A796,tblScheduleData[OperationalDate],$C796,tblScheduleData[ShiftStart],$D796,tblScheduleData[ShiftEnd],$E796,tblScheduleData[ActivityCode],$F796)&gt;1,"Duplicate","Valid")))))</f>
        <v/>
      </c>
      <c r="K796" s="2" t="n"/>
    </row>
    <row r="797">
      <c r="A797" s="2" t="inlineStr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>
        <f>IF(COUNTA($A797:$F797)=0,"",IF($C797="","MissingDate",IF(OR($A797="",$D797="",$E797="",$D797=$E797),"InvalidSchedule",IF(COUNTIF(ActiveActivityCodes,$F797)=0,"InvalidCode",IF(COUNTIFS(tblScheduleData[EmployeeID],$A797,tblScheduleData[OperationalDate],$C797,tblScheduleData[ShiftStart],$D797,tblScheduleData[ShiftEnd],$E797,tblScheduleData[ActivityCode],$F797)&gt;1,"Duplicate","Valid")))))</f>
        <v/>
      </c>
      <c r="K797" s="2" t="n"/>
    </row>
    <row r="798">
      <c r="A798" s="2" t="inlineStr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>
        <f>IF(COUNTA($A798:$F798)=0,"",IF($C798="","MissingDate",IF(OR($A798="",$D798="",$E798="",$D798=$E798),"InvalidSchedule",IF(COUNTIF(ActiveActivityCodes,$F798)=0,"InvalidCode",IF(COUNTIFS(tblScheduleData[EmployeeID],$A798,tblScheduleData[OperationalDate],$C798,tblScheduleData[ShiftStart],$D798,tblScheduleData[ShiftEnd],$E798,tblScheduleData[ActivityCode],$F798)&gt;1,"Duplicate","Valid")))))</f>
        <v/>
      </c>
      <c r="K798" s="2" t="n"/>
    </row>
    <row r="799">
      <c r="A799" s="2" t="inlineStr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>
        <f>IF(COUNTA($A799:$F799)=0,"",IF($C799="","MissingDate",IF(OR($A799="",$D799="",$E799="",$D799=$E799),"InvalidSchedule",IF(COUNTIF(ActiveActivityCodes,$F799)=0,"InvalidCode",IF(COUNTIFS(tblScheduleData[EmployeeID],$A799,tblScheduleData[OperationalDate],$C799,tblScheduleData[ShiftStart],$D799,tblScheduleData[ShiftEnd],$E799,tblScheduleData[ActivityCode],$F799)&gt;1,"Duplicate","Valid")))))</f>
        <v/>
      </c>
      <c r="K799" s="2" t="n"/>
    </row>
    <row r="800">
      <c r="A800" s="2" t="inlineStr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>
        <f>IF(COUNTA($A800:$F800)=0,"",IF($C800="","MissingDate",IF(OR($A800="",$D800="",$E800="",$D800=$E800),"InvalidSchedule",IF(COUNTIF(ActiveActivityCodes,$F800)=0,"InvalidCode",IF(COUNTIFS(tblScheduleData[EmployeeID],$A800,tblScheduleData[OperationalDate],$C800,tblScheduleData[ShiftStart],$D800,tblScheduleData[ShiftEnd],$E800,tblScheduleData[ActivityCode],$F800)&gt;1,"Duplicate","Valid")))))</f>
        <v/>
      </c>
      <c r="K800" s="2" t="n"/>
    </row>
    <row r="801">
      <c r="A801" s="2" t="inlineStr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>
        <f>IF(COUNTA($A801:$F801)=0,"",IF($C801="","MissingDate",IF(OR($A801="",$D801="",$E801="",$D801=$E801),"InvalidSchedule",IF(COUNTIF(ActiveActivityCodes,$F801)=0,"InvalidCode",IF(COUNTIFS(tblScheduleData[EmployeeID],$A801,tblScheduleData[OperationalDate],$C801,tblScheduleData[ShiftStart],$D801,tblScheduleData[ShiftEnd],$E801,tblScheduleData[ActivityCode],$F801)&gt;1,"Duplicate","Valid")))))</f>
        <v/>
      </c>
      <c r="K801" s="2" t="n"/>
    </row>
    <row r="802">
      <c r="A802" s="2" t="inlineStr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>
        <f>IF(COUNTA($A802:$F802)=0,"",IF($C802="","MissingDate",IF(OR($A802="",$D802="",$E802="",$D802=$E802),"InvalidSchedule",IF(COUNTIF(ActiveActivityCodes,$F802)=0,"InvalidCode",IF(COUNTIFS(tblScheduleData[EmployeeID],$A802,tblScheduleData[OperationalDate],$C802,tblScheduleData[ShiftStart],$D802,tblScheduleData[ShiftEnd],$E802,tblScheduleData[ActivityCode],$F802)&gt;1,"Duplicate","Valid")))))</f>
        <v/>
      </c>
      <c r="K802" s="2" t="n"/>
    </row>
    <row r="803">
      <c r="A803" s="2" t="inlineStr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>
        <f>IF(COUNTA($A803:$F803)=0,"",IF($C803="","MissingDate",IF(OR($A803="",$D803="",$E803="",$D803=$E803),"InvalidSchedule",IF(COUNTIF(ActiveActivityCodes,$F803)=0,"InvalidCode",IF(COUNTIFS(tblScheduleData[EmployeeID],$A803,tblScheduleData[OperationalDate],$C803,tblScheduleData[ShiftStart],$D803,tblScheduleData[ShiftEnd],$E803,tblScheduleData[ActivityCode],$F803)&gt;1,"Duplicate","Valid")))))</f>
        <v/>
      </c>
      <c r="K803" s="2" t="n"/>
    </row>
    <row r="804">
      <c r="A804" s="2" t="inlineStr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>
        <f>IF(COUNTA($A804:$F804)=0,"",IF($C804="","MissingDate",IF(OR($A804="",$D804="",$E804="",$D804=$E804),"InvalidSchedule",IF(COUNTIF(ActiveActivityCodes,$F804)=0,"InvalidCode",IF(COUNTIFS(tblScheduleData[EmployeeID],$A804,tblScheduleData[OperationalDate],$C804,tblScheduleData[ShiftStart],$D804,tblScheduleData[ShiftEnd],$E804,tblScheduleData[ActivityCode],$F804)&gt;1,"Duplicate","Valid")))))</f>
        <v/>
      </c>
      <c r="K804" s="2" t="n"/>
    </row>
    <row r="805">
      <c r="A805" s="2" t="inlineStr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>
        <f>IF(COUNTA($A805:$F805)=0,"",IF($C805="","MissingDate",IF(OR($A805="",$D805="",$E805="",$D805=$E805),"InvalidSchedule",IF(COUNTIF(ActiveActivityCodes,$F805)=0,"InvalidCode",IF(COUNTIFS(tblScheduleData[EmployeeID],$A805,tblScheduleData[OperationalDate],$C805,tblScheduleData[ShiftStart],$D805,tblScheduleData[ShiftEnd],$E805,tblScheduleData[ActivityCode],$F805)&gt;1,"Duplicate","Valid")))))</f>
        <v/>
      </c>
      <c r="K805" s="2" t="n"/>
    </row>
    <row r="806">
      <c r="A806" s="2" t="inlineStr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>
        <f>IF(COUNTA($A806:$F806)=0,"",IF($C806="","MissingDate",IF(OR($A806="",$D806="",$E806="",$D806=$E806),"InvalidSchedule",IF(COUNTIF(ActiveActivityCodes,$F806)=0,"InvalidCode",IF(COUNTIFS(tblScheduleData[EmployeeID],$A806,tblScheduleData[OperationalDate],$C806,tblScheduleData[ShiftStart],$D806,tblScheduleData[ShiftEnd],$E806,tblScheduleData[ActivityCode],$F806)&gt;1,"Duplicate","Valid")))))</f>
        <v/>
      </c>
      <c r="K806" s="2" t="n"/>
    </row>
    <row r="807">
      <c r="A807" s="2" t="inlineStr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>
        <f>IF(COUNTA($A807:$F807)=0,"",IF($C807="","MissingDate",IF(OR($A807="",$D807="",$E807="",$D807=$E807),"InvalidSchedule",IF(COUNTIF(ActiveActivityCodes,$F807)=0,"InvalidCode",IF(COUNTIFS(tblScheduleData[EmployeeID],$A807,tblScheduleData[OperationalDate],$C807,tblScheduleData[ShiftStart],$D807,tblScheduleData[ShiftEnd],$E807,tblScheduleData[ActivityCode],$F807)&gt;1,"Duplicate","Valid")))))</f>
        <v/>
      </c>
      <c r="K807" s="2" t="n"/>
    </row>
    <row r="808">
      <c r="A808" s="2" t="inlineStr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>
        <f>IF(COUNTA($A808:$F808)=0,"",IF($C808="","MissingDate",IF(OR($A808="",$D808="",$E808="",$D808=$E808),"InvalidSchedule",IF(COUNTIF(ActiveActivityCodes,$F808)=0,"InvalidCode",IF(COUNTIFS(tblScheduleData[EmployeeID],$A808,tblScheduleData[OperationalDate],$C808,tblScheduleData[ShiftStart],$D808,tblScheduleData[ShiftEnd],$E808,tblScheduleData[ActivityCode],$F808)&gt;1,"Duplicate","Valid")))))</f>
        <v/>
      </c>
      <c r="K808" s="2" t="n"/>
    </row>
    <row r="809">
      <c r="A809" s="2" t="inlineStr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>
        <f>IF(COUNTA($A809:$F809)=0,"",IF($C809="","MissingDate",IF(OR($A809="",$D809="",$E809="",$D809=$E809),"InvalidSchedule",IF(COUNTIF(ActiveActivityCodes,$F809)=0,"InvalidCode",IF(COUNTIFS(tblScheduleData[EmployeeID],$A809,tblScheduleData[OperationalDate],$C809,tblScheduleData[ShiftStart],$D809,tblScheduleData[ShiftEnd],$E809,tblScheduleData[ActivityCode],$F809)&gt;1,"Duplicate","Valid")))))</f>
        <v/>
      </c>
      <c r="K809" s="2" t="n"/>
    </row>
    <row r="810">
      <c r="A810" s="2" t="inlineStr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>
        <f>IF(COUNTA($A810:$F810)=0,"",IF($C810="","MissingDate",IF(OR($A810="",$D810="",$E810="",$D810=$E810),"InvalidSchedule",IF(COUNTIF(ActiveActivityCodes,$F810)=0,"InvalidCode",IF(COUNTIFS(tblScheduleData[EmployeeID],$A810,tblScheduleData[OperationalDate],$C810,tblScheduleData[ShiftStart],$D810,tblScheduleData[ShiftEnd],$E810,tblScheduleData[ActivityCode],$F810)&gt;1,"Duplicate","Valid")))))</f>
        <v/>
      </c>
      <c r="K810" s="2" t="n"/>
    </row>
    <row r="811">
      <c r="A811" s="2" t="inlineStr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>
        <f>IF(COUNTA($A811:$F811)=0,"",IF($C811="","MissingDate",IF(OR($A811="",$D811="",$E811="",$D811=$E811),"InvalidSchedule",IF(COUNTIF(ActiveActivityCodes,$F811)=0,"InvalidCode",IF(COUNTIFS(tblScheduleData[EmployeeID],$A811,tblScheduleData[OperationalDate],$C811,tblScheduleData[ShiftStart],$D811,tblScheduleData[ShiftEnd],$E811,tblScheduleData[ActivityCode],$F811)&gt;1,"Duplicate","Valid")))))</f>
        <v/>
      </c>
      <c r="K811" s="2" t="n"/>
    </row>
    <row r="812">
      <c r="A812" s="2" t="inlineStr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>
        <f>IF(COUNTA($A812:$F812)=0,"",IF($C812="","MissingDate",IF(OR($A812="",$D812="",$E812="",$D812=$E812),"InvalidSchedule",IF(COUNTIF(ActiveActivityCodes,$F812)=0,"InvalidCode",IF(COUNTIFS(tblScheduleData[EmployeeID],$A812,tblScheduleData[OperationalDate],$C812,tblScheduleData[ShiftStart],$D812,tblScheduleData[ShiftEnd],$E812,tblScheduleData[ActivityCode],$F812)&gt;1,"Duplicate","Valid")))))</f>
        <v/>
      </c>
      <c r="K812" s="2" t="n"/>
    </row>
    <row r="813">
      <c r="A813" s="2" t="inlineStr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>
        <f>IF(COUNTA($A813:$F813)=0,"",IF($C813="","MissingDate",IF(OR($A813="",$D813="",$E813="",$D813=$E813),"InvalidSchedule",IF(COUNTIF(ActiveActivityCodes,$F813)=0,"InvalidCode",IF(COUNTIFS(tblScheduleData[EmployeeID],$A813,tblScheduleData[OperationalDate],$C813,tblScheduleData[ShiftStart],$D813,tblScheduleData[ShiftEnd],$E813,tblScheduleData[ActivityCode],$F813)&gt;1,"Duplicate","Valid")))))</f>
        <v/>
      </c>
      <c r="K813" s="2" t="n"/>
    </row>
    <row r="814">
      <c r="A814" s="2" t="inlineStr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>
        <f>IF(COUNTA($A814:$F814)=0,"",IF($C814="","MissingDate",IF(OR($A814="",$D814="",$E814="",$D814=$E814),"InvalidSchedule",IF(COUNTIF(ActiveActivityCodes,$F814)=0,"InvalidCode",IF(COUNTIFS(tblScheduleData[EmployeeID],$A814,tblScheduleData[OperationalDate],$C814,tblScheduleData[ShiftStart],$D814,tblScheduleData[ShiftEnd],$E814,tblScheduleData[ActivityCode],$F814)&gt;1,"Duplicate","Valid")))))</f>
        <v/>
      </c>
      <c r="K814" s="2" t="n"/>
    </row>
    <row r="815">
      <c r="A815" s="2" t="inlineStr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>
        <f>IF(COUNTA($A815:$F815)=0,"",IF($C815="","MissingDate",IF(OR($A815="",$D815="",$E815="",$D815=$E815),"InvalidSchedule",IF(COUNTIF(ActiveActivityCodes,$F815)=0,"InvalidCode",IF(COUNTIFS(tblScheduleData[EmployeeID],$A815,tblScheduleData[OperationalDate],$C815,tblScheduleData[ShiftStart],$D815,tblScheduleData[ShiftEnd],$E815,tblScheduleData[ActivityCode],$F815)&gt;1,"Duplicate","Valid")))))</f>
        <v/>
      </c>
      <c r="K815" s="2" t="n"/>
    </row>
    <row r="816">
      <c r="A816" s="2" t="inlineStr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>
        <f>IF(COUNTA($A816:$F816)=0,"",IF($C816="","MissingDate",IF(OR($A816="",$D816="",$E816="",$D816=$E816),"InvalidSchedule",IF(COUNTIF(ActiveActivityCodes,$F816)=0,"InvalidCode",IF(COUNTIFS(tblScheduleData[EmployeeID],$A816,tblScheduleData[OperationalDate],$C816,tblScheduleData[ShiftStart],$D816,tblScheduleData[ShiftEnd],$E816,tblScheduleData[ActivityCode],$F816)&gt;1,"Duplicate","Valid")))))</f>
        <v/>
      </c>
      <c r="K816" s="2" t="n"/>
    </row>
    <row r="817">
      <c r="A817" s="2" t="inlineStr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>
        <f>IF(COUNTA($A817:$F817)=0,"",IF($C817="","MissingDate",IF(OR($A817="",$D817="",$E817="",$D817=$E817),"InvalidSchedule",IF(COUNTIF(ActiveActivityCodes,$F817)=0,"InvalidCode",IF(COUNTIFS(tblScheduleData[EmployeeID],$A817,tblScheduleData[OperationalDate],$C817,tblScheduleData[ShiftStart],$D817,tblScheduleData[ShiftEnd],$E817,tblScheduleData[ActivityCode],$F817)&gt;1,"Duplicate","Valid")))))</f>
        <v/>
      </c>
      <c r="K817" s="2" t="n"/>
    </row>
    <row r="818">
      <c r="A818" s="2" t="inlineStr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>
        <f>IF(COUNTA($A818:$F818)=0,"",IF($C818="","MissingDate",IF(OR($A818="",$D818="",$E818="",$D818=$E818),"InvalidSchedule",IF(COUNTIF(ActiveActivityCodes,$F818)=0,"InvalidCode",IF(COUNTIFS(tblScheduleData[EmployeeID],$A818,tblScheduleData[OperationalDate],$C818,tblScheduleData[ShiftStart],$D818,tblScheduleData[ShiftEnd],$E818,tblScheduleData[ActivityCode],$F818)&gt;1,"Duplicate","Valid")))))</f>
        <v/>
      </c>
      <c r="K818" s="2" t="n"/>
    </row>
    <row r="819">
      <c r="A819" s="2" t="inlineStr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>
        <f>IF(COUNTA($A819:$F819)=0,"",IF($C819="","MissingDate",IF(OR($A819="",$D819="",$E819="",$D819=$E819),"InvalidSchedule",IF(COUNTIF(ActiveActivityCodes,$F819)=0,"InvalidCode",IF(COUNTIFS(tblScheduleData[EmployeeID],$A819,tblScheduleData[OperationalDate],$C819,tblScheduleData[ShiftStart],$D819,tblScheduleData[ShiftEnd],$E819,tblScheduleData[ActivityCode],$F819)&gt;1,"Duplicate","Valid")))))</f>
        <v/>
      </c>
      <c r="K819" s="2" t="n"/>
    </row>
    <row r="820">
      <c r="A820" s="2" t="inlineStr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>
        <f>IF(COUNTA($A820:$F820)=0,"",IF($C820="","MissingDate",IF(OR($A820="",$D820="",$E820="",$D820=$E820),"InvalidSchedule",IF(COUNTIF(ActiveActivityCodes,$F820)=0,"InvalidCode",IF(COUNTIFS(tblScheduleData[EmployeeID],$A820,tblScheduleData[OperationalDate],$C820,tblScheduleData[ShiftStart],$D820,tblScheduleData[ShiftEnd],$E820,tblScheduleData[ActivityCode],$F820)&gt;1,"Duplicate","Valid")))))</f>
        <v/>
      </c>
      <c r="K820" s="2" t="n"/>
    </row>
    <row r="821">
      <c r="A821" s="2" t="inlineStr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>
        <f>IF(COUNTA($A821:$F821)=0,"",IF($C821="","MissingDate",IF(OR($A821="",$D821="",$E821="",$D821=$E821),"InvalidSchedule",IF(COUNTIF(ActiveActivityCodes,$F821)=0,"InvalidCode",IF(COUNTIFS(tblScheduleData[EmployeeID],$A821,tblScheduleData[OperationalDate],$C821,tblScheduleData[ShiftStart],$D821,tblScheduleData[ShiftEnd],$E821,tblScheduleData[ActivityCode],$F821)&gt;1,"Duplicate","Valid")))))</f>
        <v/>
      </c>
      <c r="K821" s="2" t="n"/>
    </row>
    <row r="822">
      <c r="A822" s="2" t="inlineStr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>
        <f>IF(COUNTA($A822:$F822)=0,"",IF($C822="","MissingDate",IF(OR($A822="",$D822="",$E822="",$D822=$E822),"InvalidSchedule",IF(COUNTIF(ActiveActivityCodes,$F822)=0,"InvalidCode",IF(COUNTIFS(tblScheduleData[EmployeeID],$A822,tblScheduleData[OperationalDate],$C822,tblScheduleData[ShiftStart],$D822,tblScheduleData[ShiftEnd],$E822,tblScheduleData[ActivityCode],$F822)&gt;1,"Duplicate","Valid")))))</f>
        <v/>
      </c>
      <c r="K822" s="2" t="n"/>
    </row>
    <row r="823">
      <c r="A823" s="2" t="inlineStr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>
        <f>IF(COUNTA($A823:$F823)=0,"",IF($C823="","MissingDate",IF(OR($A823="",$D823="",$E823="",$D823=$E823),"InvalidSchedule",IF(COUNTIF(ActiveActivityCodes,$F823)=0,"InvalidCode",IF(COUNTIFS(tblScheduleData[EmployeeID],$A823,tblScheduleData[OperationalDate],$C823,tblScheduleData[ShiftStart],$D823,tblScheduleData[ShiftEnd],$E823,tblScheduleData[ActivityCode],$F823)&gt;1,"Duplicate","Valid")))))</f>
        <v/>
      </c>
      <c r="K823" s="2" t="n"/>
    </row>
    <row r="824">
      <c r="A824" s="2" t="inlineStr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>
        <f>IF(COUNTA($A824:$F824)=0,"",IF($C824="","MissingDate",IF(OR($A824="",$D824="",$E824="",$D824=$E824),"InvalidSchedule",IF(COUNTIF(ActiveActivityCodes,$F824)=0,"InvalidCode",IF(COUNTIFS(tblScheduleData[EmployeeID],$A824,tblScheduleData[OperationalDate],$C824,tblScheduleData[ShiftStart],$D824,tblScheduleData[ShiftEnd],$E824,tblScheduleData[ActivityCode],$F824)&gt;1,"Duplicate","Valid")))))</f>
        <v/>
      </c>
      <c r="K824" s="2" t="n"/>
    </row>
    <row r="825">
      <c r="A825" s="2" t="inlineStr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>
        <f>IF(COUNTA($A825:$F825)=0,"",IF($C825="","MissingDate",IF(OR($A825="",$D825="",$E825="",$D825=$E825),"InvalidSchedule",IF(COUNTIF(ActiveActivityCodes,$F825)=0,"InvalidCode",IF(COUNTIFS(tblScheduleData[EmployeeID],$A825,tblScheduleData[OperationalDate],$C825,tblScheduleData[ShiftStart],$D825,tblScheduleData[ShiftEnd],$E825,tblScheduleData[ActivityCode],$F825)&gt;1,"Duplicate","Valid")))))</f>
        <v/>
      </c>
      <c r="K825" s="2" t="n"/>
    </row>
    <row r="826">
      <c r="A826" s="2" t="inlineStr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>
        <f>IF(COUNTA($A826:$F826)=0,"",IF($C826="","MissingDate",IF(OR($A826="",$D826="",$E826="",$D826=$E826),"InvalidSchedule",IF(COUNTIF(ActiveActivityCodes,$F826)=0,"InvalidCode",IF(COUNTIFS(tblScheduleData[EmployeeID],$A826,tblScheduleData[OperationalDate],$C826,tblScheduleData[ShiftStart],$D826,tblScheduleData[ShiftEnd],$E826,tblScheduleData[ActivityCode],$F826)&gt;1,"Duplicate","Valid")))))</f>
        <v/>
      </c>
      <c r="K826" s="2" t="n"/>
    </row>
    <row r="827">
      <c r="A827" s="2" t="inlineStr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>
        <f>IF(COUNTA($A827:$F827)=0,"",IF($C827="","MissingDate",IF(OR($A827="",$D827="",$E827="",$D827=$E827),"InvalidSchedule",IF(COUNTIF(ActiveActivityCodes,$F827)=0,"InvalidCode",IF(COUNTIFS(tblScheduleData[EmployeeID],$A827,tblScheduleData[OperationalDate],$C827,tblScheduleData[ShiftStart],$D827,tblScheduleData[ShiftEnd],$E827,tblScheduleData[ActivityCode],$F827)&gt;1,"Duplicate","Valid")))))</f>
        <v/>
      </c>
      <c r="K827" s="2" t="n"/>
    </row>
    <row r="828">
      <c r="A828" s="2" t="inlineStr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>
        <f>IF(COUNTA($A828:$F828)=0,"",IF($C828="","MissingDate",IF(OR($A828="",$D828="",$E828="",$D828=$E828),"InvalidSchedule",IF(COUNTIF(ActiveActivityCodes,$F828)=0,"InvalidCode",IF(COUNTIFS(tblScheduleData[EmployeeID],$A828,tblScheduleData[OperationalDate],$C828,tblScheduleData[ShiftStart],$D828,tblScheduleData[ShiftEnd],$E828,tblScheduleData[ActivityCode],$F828)&gt;1,"Duplicate","Valid")))))</f>
        <v/>
      </c>
      <c r="K828" s="2" t="n"/>
    </row>
    <row r="829">
      <c r="A829" s="2" t="inlineStr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>
        <f>IF(COUNTA($A829:$F829)=0,"",IF($C829="","MissingDate",IF(OR($A829="",$D829="",$E829="",$D829=$E829),"InvalidSchedule",IF(COUNTIF(ActiveActivityCodes,$F829)=0,"InvalidCode",IF(COUNTIFS(tblScheduleData[EmployeeID],$A829,tblScheduleData[OperationalDate],$C829,tblScheduleData[ShiftStart],$D829,tblScheduleData[ShiftEnd],$E829,tblScheduleData[ActivityCode],$F829)&gt;1,"Duplicate","Valid")))))</f>
        <v/>
      </c>
      <c r="K829" s="2" t="n"/>
    </row>
    <row r="830">
      <c r="A830" s="2" t="inlineStr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>
        <f>IF(COUNTA($A830:$F830)=0,"",IF($C830="","MissingDate",IF(OR($A830="",$D830="",$E830="",$D830=$E830),"InvalidSchedule",IF(COUNTIF(ActiveActivityCodes,$F830)=0,"InvalidCode",IF(COUNTIFS(tblScheduleData[EmployeeID],$A830,tblScheduleData[OperationalDate],$C830,tblScheduleData[ShiftStart],$D830,tblScheduleData[ShiftEnd],$E830,tblScheduleData[ActivityCode],$F830)&gt;1,"Duplicate","Valid")))))</f>
        <v/>
      </c>
      <c r="K830" s="2" t="n"/>
    </row>
    <row r="831">
      <c r="A831" s="2" t="inlineStr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>
        <f>IF(COUNTA($A831:$F831)=0,"",IF($C831="","MissingDate",IF(OR($A831="",$D831="",$E831="",$D831=$E831),"InvalidSchedule",IF(COUNTIF(ActiveActivityCodes,$F831)=0,"InvalidCode",IF(COUNTIFS(tblScheduleData[EmployeeID],$A831,tblScheduleData[OperationalDate],$C831,tblScheduleData[ShiftStart],$D831,tblScheduleData[ShiftEnd],$E831,tblScheduleData[ActivityCode],$F831)&gt;1,"Duplicate","Valid")))))</f>
        <v/>
      </c>
      <c r="K831" s="2" t="n"/>
    </row>
    <row r="832">
      <c r="A832" s="2" t="inlineStr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>
        <f>IF(COUNTA($A832:$F832)=0,"",IF($C832="","MissingDate",IF(OR($A832="",$D832="",$E832="",$D832=$E832),"InvalidSchedule",IF(COUNTIF(ActiveActivityCodes,$F832)=0,"InvalidCode",IF(COUNTIFS(tblScheduleData[EmployeeID],$A832,tblScheduleData[OperationalDate],$C832,tblScheduleData[ShiftStart],$D832,tblScheduleData[ShiftEnd],$E832,tblScheduleData[ActivityCode],$F832)&gt;1,"Duplicate","Valid")))))</f>
        <v/>
      </c>
      <c r="K832" s="2" t="n"/>
    </row>
    <row r="833">
      <c r="A833" s="2" t="inlineStr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>
        <f>IF(COUNTA($A833:$F833)=0,"",IF($C833="","MissingDate",IF(OR($A833="",$D833="",$E833="",$D833=$E833),"InvalidSchedule",IF(COUNTIF(ActiveActivityCodes,$F833)=0,"InvalidCode",IF(COUNTIFS(tblScheduleData[EmployeeID],$A833,tblScheduleData[OperationalDate],$C833,tblScheduleData[ShiftStart],$D833,tblScheduleData[ShiftEnd],$E833,tblScheduleData[ActivityCode],$F833)&gt;1,"Duplicate","Valid")))))</f>
        <v/>
      </c>
      <c r="K833" s="2" t="n"/>
    </row>
    <row r="834">
      <c r="A834" s="2" t="inlineStr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>
        <f>IF(COUNTA($A834:$F834)=0,"",IF($C834="","MissingDate",IF(OR($A834="",$D834="",$E834="",$D834=$E834),"InvalidSchedule",IF(COUNTIF(ActiveActivityCodes,$F834)=0,"InvalidCode",IF(COUNTIFS(tblScheduleData[EmployeeID],$A834,tblScheduleData[OperationalDate],$C834,tblScheduleData[ShiftStart],$D834,tblScheduleData[ShiftEnd],$E834,tblScheduleData[ActivityCode],$F834)&gt;1,"Duplicate","Valid")))))</f>
        <v/>
      </c>
      <c r="K834" s="2" t="n"/>
    </row>
    <row r="835">
      <c r="A835" s="2" t="inlineStr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>
        <f>IF(COUNTA($A835:$F835)=0,"",IF($C835="","MissingDate",IF(OR($A835="",$D835="",$E835="",$D835=$E835),"InvalidSchedule",IF(COUNTIF(ActiveActivityCodes,$F835)=0,"InvalidCode",IF(COUNTIFS(tblScheduleData[EmployeeID],$A835,tblScheduleData[OperationalDate],$C835,tblScheduleData[ShiftStart],$D835,tblScheduleData[ShiftEnd],$E835,tblScheduleData[ActivityCode],$F835)&gt;1,"Duplicate","Valid")))))</f>
        <v/>
      </c>
      <c r="K835" s="2" t="n"/>
    </row>
    <row r="836">
      <c r="A836" s="2" t="inlineStr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>
        <f>IF(COUNTA($A836:$F836)=0,"",IF($C836="","MissingDate",IF(OR($A836="",$D836="",$E836="",$D836=$E836),"InvalidSchedule",IF(COUNTIF(ActiveActivityCodes,$F836)=0,"InvalidCode",IF(COUNTIFS(tblScheduleData[EmployeeID],$A836,tblScheduleData[OperationalDate],$C836,tblScheduleData[ShiftStart],$D836,tblScheduleData[ShiftEnd],$E836,tblScheduleData[ActivityCode],$F836)&gt;1,"Duplicate","Valid")))))</f>
        <v/>
      </c>
      <c r="K836" s="2" t="n"/>
    </row>
    <row r="837">
      <c r="A837" s="2" t="inlineStr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>
        <f>IF(COUNTA($A837:$F837)=0,"",IF($C837="","MissingDate",IF(OR($A837="",$D837="",$E837="",$D837=$E837),"InvalidSchedule",IF(COUNTIF(ActiveActivityCodes,$F837)=0,"InvalidCode",IF(COUNTIFS(tblScheduleData[EmployeeID],$A837,tblScheduleData[OperationalDate],$C837,tblScheduleData[ShiftStart],$D837,tblScheduleData[ShiftEnd],$E837,tblScheduleData[ActivityCode],$F837)&gt;1,"Duplicate","Valid")))))</f>
        <v/>
      </c>
      <c r="K837" s="2" t="n"/>
    </row>
    <row r="838">
      <c r="A838" s="2" t="inlineStr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>
        <f>IF(COUNTA($A838:$F838)=0,"",IF($C838="","MissingDate",IF(OR($A838="",$D838="",$E838="",$D838=$E838),"InvalidSchedule",IF(COUNTIF(ActiveActivityCodes,$F838)=0,"InvalidCode",IF(COUNTIFS(tblScheduleData[EmployeeID],$A838,tblScheduleData[OperationalDate],$C838,tblScheduleData[ShiftStart],$D838,tblScheduleData[ShiftEnd],$E838,tblScheduleData[ActivityCode],$F838)&gt;1,"Duplicate","Valid")))))</f>
        <v/>
      </c>
      <c r="K838" s="2" t="n"/>
    </row>
    <row r="839">
      <c r="A839" s="2" t="inlineStr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>
        <f>IF(COUNTA($A839:$F839)=0,"",IF($C839="","MissingDate",IF(OR($A839="",$D839="",$E839="",$D839=$E839),"InvalidSchedule",IF(COUNTIF(ActiveActivityCodes,$F839)=0,"InvalidCode",IF(COUNTIFS(tblScheduleData[EmployeeID],$A839,tblScheduleData[OperationalDate],$C839,tblScheduleData[ShiftStart],$D839,tblScheduleData[ShiftEnd],$E839,tblScheduleData[ActivityCode],$F839)&gt;1,"Duplicate","Valid")))))</f>
        <v/>
      </c>
      <c r="K839" s="2" t="n"/>
    </row>
    <row r="840">
      <c r="A840" s="2" t="inlineStr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>
        <f>IF(COUNTA($A840:$F840)=0,"",IF($C840="","MissingDate",IF(OR($A840="",$D840="",$E840="",$D840=$E840),"InvalidSchedule",IF(COUNTIF(ActiveActivityCodes,$F840)=0,"InvalidCode",IF(COUNTIFS(tblScheduleData[EmployeeID],$A840,tblScheduleData[OperationalDate],$C840,tblScheduleData[ShiftStart],$D840,tblScheduleData[ShiftEnd],$E840,tblScheduleData[ActivityCode],$F840)&gt;1,"Duplicate","Valid")))))</f>
        <v/>
      </c>
      <c r="K840" s="2" t="n"/>
    </row>
    <row r="841">
      <c r="A841" s="2" t="inlineStr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>
        <f>IF(COUNTA($A841:$F841)=0,"",IF($C841="","MissingDate",IF(OR($A841="",$D841="",$E841="",$D841=$E841),"InvalidSchedule",IF(COUNTIF(ActiveActivityCodes,$F841)=0,"InvalidCode",IF(COUNTIFS(tblScheduleData[EmployeeID],$A841,tblScheduleData[OperationalDate],$C841,tblScheduleData[ShiftStart],$D841,tblScheduleData[ShiftEnd],$E841,tblScheduleData[ActivityCode],$F841)&gt;1,"Duplicate","Valid")))))</f>
        <v/>
      </c>
      <c r="K841" s="2" t="n"/>
    </row>
    <row r="842">
      <c r="A842" s="2" t="inlineStr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>
        <f>IF(COUNTA($A842:$F842)=0,"",IF($C842="","MissingDate",IF(OR($A842="",$D842="",$E842="",$D842=$E842),"InvalidSchedule",IF(COUNTIF(ActiveActivityCodes,$F842)=0,"InvalidCode",IF(COUNTIFS(tblScheduleData[EmployeeID],$A842,tblScheduleData[OperationalDate],$C842,tblScheduleData[ShiftStart],$D842,tblScheduleData[ShiftEnd],$E842,tblScheduleData[ActivityCode],$F842)&gt;1,"Duplicate","Valid")))))</f>
        <v/>
      </c>
      <c r="K842" s="2" t="n"/>
    </row>
    <row r="843">
      <c r="A843" s="2" t="inlineStr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>
        <f>IF(COUNTA($A843:$F843)=0,"",IF($C843="","MissingDate",IF(OR($A843="",$D843="",$E843="",$D843=$E843),"InvalidSchedule",IF(COUNTIF(ActiveActivityCodes,$F843)=0,"InvalidCode",IF(COUNTIFS(tblScheduleData[EmployeeID],$A843,tblScheduleData[OperationalDate],$C843,tblScheduleData[ShiftStart],$D843,tblScheduleData[ShiftEnd],$E843,tblScheduleData[ActivityCode],$F843)&gt;1,"Duplicate","Valid")))))</f>
        <v/>
      </c>
      <c r="K843" s="2" t="n"/>
    </row>
    <row r="844">
      <c r="A844" s="2" t="inlineStr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>
        <f>IF(COUNTA($A844:$F844)=0,"",IF($C844="","MissingDate",IF(OR($A844="",$D844="",$E844="",$D844=$E844),"InvalidSchedule",IF(COUNTIF(ActiveActivityCodes,$F844)=0,"InvalidCode",IF(COUNTIFS(tblScheduleData[EmployeeID],$A844,tblScheduleData[OperationalDate],$C844,tblScheduleData[ShiftStart],$D844,tblScheduleData[ShiftEnd],$E844,tblScheduleData[ActivityCode],$F844)&gt;1,"Duplicate","Valid")))))</f>
        <v/>
      </c>
      <c r="K844" s="2" t="n"/>
    </row>
    <row r="845">
      <c r="A845" s="2" t="inlineStr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>
        <f>IF(COUNTA($A845:$F845)=0,"",IF($C845="","MissingDate",IF(OR($A845="",$D845="",$E845="",$D845=$E845),"InvalidSchedule",IF(COUNTIF(ActiveActivityCodes,$F845)=0,"InvalidCode",IF(COUNTIFS(tblScheduleData[EmployeeID],$A845,tblScheduleData[OperationalDate],$C845,tblScheduleData[ShiftStart],$D845,tblScheduleData[ShiftEnd],$E845,tblScheduleData[ActivityCode],$F845)&gt;1,"Duplicate","Valid")))))</f>
        <v/>
      </c>
      <c r="K845" s="2" t="n"/>
    </row>
    <row r="846">
      <c r="A846" s="2" t="inlineStr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>
        <f>IF(COUNTA($A846:$F846)=0,"",IF($C846="","MissingDate",IF(OR($A846="",$D846="",$E846="",$D846=$E846),"InvalidSchedule",IF(COUNTIF(ActiveActivityCodes,$F846)=0,"InvalidCode",IF(COUNTIFS(tblScheduleData[EmployeeID],$A846,tblScheduleData[OperationalDate],$C846,tblScheduleData[ShiftStart],$D846,tblScheduleData[ShiftEnd],$E846,tblScheduleData[ActivityCode],$F846)&gt;1,"Duplicate","Valid")))))</f>
        <v/>
      </c>
      <c r="K846" s="2" t="n"/>
    </row>
    <row r="847">
      <c r="A847" s="2" t="inlineStr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>
        <f>IF(COUNTA($A847:$F847)=0,"",IF($C847="","MissingDate",IF(OR($A847="",$D847="",$E847="",$D847=$E847),"InvalidSchedule",IF(COUNTIF(ActiveActivityCodes,$F847)=0,"InvalidCode",IF(COUNTIFS(tblScheduleData[EmployeeID],$A847,tblScheduleData[OperationalDate],$C847,tblScheduleData[ShiftStart],$D847,tblScheduleData[ShiftEnd],$E847,tblScheduleData[ActivityCode],$F847)&gt;1,"Duplicate","Valid")))))</f>
        <v/>
      </c>
      <c r="K847" s="2" t="n"/>
    </row>
    <row r="848">
      <c r="A848" s="2" t="inlineStr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>
        <f>IF(COUNTA($A848:$F848)=0,"",IF($C848="","MissingDate",IF(OR($A848="",$D848="",$E848="",$D848=$E848),"InvalidSchedule",IF(COUNTIF(ActiveActivityCodes,$F848)=0,"InvalidCode",IF(COUNTIFS(tblScheduleData[EmployeeID],$A848,tblScheduleData[OperationalDate],$C848,tblScheduleData[ShiftStart],$D848,tblScheduleData[ShiftEnd],$E848,tblScheduleData[ActivityCode],$F848)&gt;1,"Duplicate","Valid")))))</f>
        <v/>
      </c>
      <c r="K848" s="2" t="n"/>
    </row>
    <row r="849">
      <c r="A849" s="2" t="inlineStr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>
        <f>IF(COUNTA($A849:$F849)=0,"",IF($C849="","MissingDate",IF(OR($A849="",$D849="",$E849="",$D849=$E849),"InvalidSchedule",IF(COUNTIF(ActiveActivityCodes,$F849)=0,"InvalidCode",IF(COUNTIFS(tblScheduleData[EmployeeID],$A849,tblScheduleData[OperationalDate],$C849,tblScheduleData[ShiftStart],$D849,tblScheduleData[ShiftEnd],$E849,tblScheduleData[ActivityCode],$F849)&gt;1,"Duplicate","Valid")))))</f>
        <v/>
      </c>
      <c r="K849" s="2" t="n"/>
    </row>
    <row r="850">
      <c r="A850" s="2" t="inlineStr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>
        <f>IF(COUNTA($A850:$F850)=0,"",IF($C850="","MissingDate",IF(OR($A850="",$D850="",$E850="",$D850=$E850),"InvalidSchedule",IF(COUNTIF(ActiveActivityCodes,$F850)=0,"InvalidCode",IF(COUNTIFS(tblScheduleData[EmployeeID],$A850,tblScheduleData[OperationalDate],$C850,tblScheduleData[ShiftStart],$D850,tblScheduleData[ShiftEnd],$E850,tblScheduleData[ActivityCode],$F850)&gt;1,"Duplicate","Valid")))))</f>
        <v/>
      </c>
      <c r="K850" s="2" t="n"/>
    </row>
    <row r="851">
      <c r="A851" s="2" t="inlineStr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>
        <f>IF(COUNTA($A851:$F851)=0,"",IF($C851="","MissingDate",IF(OR($A851="",$D851="",$E851="",$D851=$E851),"InvalidSchedule",IF(COUNTIF(ActiveActivityCodes,$F851)=0,"InvalidCode",IF(COUNTIFS(tblScheduleData[EmployeeID],$A851,tblScheduleData[OperationalDate],$C851,tblScheduleData[ShiftStart],$D851,tblScheduleData[ShiftEnd],$E851,tblScheduleData[ActivityCode],$F851)&gt;1,"Duplicate","Valid")))))</f>
        <v/>
      </c>
      <c r="K851" s="2" t="n"/>
    </row>
    <row r="852">
      <c r="A852" s="2" t="inlineStr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>
        <f>IF(COUNTA($A852:$F852)=0,"",IF($C852="","MissingDate",IF(OR($A852="",$D852="",$E852="",$D852=$E852),"InvalidSchedule",IF(COUNTIF(ActiveActivityCodes,$F852)=0,"InvalidCode",IF(COUNTIFS(tblScheduleData[EmployeeID],$A852,tblScheduleData[OperationalDate],$C852,tblScheduleData[ShiftStart],$D852,tblScheduleData[ShiftEnd],$E852,tblScheduleData[ActivityCode],$F852)&gt;1,"Duplicate","Valid")))))</f>
        <v/>
      </c>
      <c r="K852" s="2" t="n"/>
    </row>
    <row r="853">
      <c r="A853" s="2" t="inlineStr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>
        <f>IF(COUNTA($A853:$F853)=0,"",IF($C853="","MissingDate",IF(OR($A853="",$D853="",$E853="",$D853=$E853),"InvalidSchedule",IF(COUNTIF(ActiveActivityCodes,$F853)=0,"InvalidCode",IF(COUNTIFS(tblScheduleData[EmployeeID],$A853,tblScheduleData[OperationalDate],$C853,tblScheduleData[ShiftStart],$D853,tblScheduleData[ShiftEnd],$E853,tblScheduleData[ActivityCode],$F853)&gt;1,"Duplicate","Valid")))))</f>
        <v/>
      </c>
      <c r="K853" s="2" t="n"/>
    </row>
    <row r="854">
      <c r="A854" s="2" t="inlineStr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>
        <f>IF(COUNTA($A854:$F854)=0,"",IF($C854="","MissingDate",IF(OR($A854="",$D854="",$E854="",$D854=$E854),"InvalidSchedule",IF(COUNTIF(ActiveActivityCodes,$F854)=0,"InvalidCode",IF(COUNTIFS(tblScheduleData[EmployeeID],$A854,tblScheduleData[OperationalDate],$C854,tblScheduleData[ShiftStart],$D854,tblScheduleData[ShiftEnd],$E854,tblScheduleData[ActivityCode],$F854)&gt;1,"Duplicate","Valid")))))</f>
        <v/>
      </c>
      <c r="K854" s="2" t="n"/>
    </row>
    <row r="855">
      <c r="A855" s="2" t="inlineStr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>
        <f>IF(COUNTA($A855:$F855)=0,"",IF($C855="","MissingDate",IF(OR($A855="",$D855="",$E855="",$D855=$E855),"InvalidSchedule",IF(COUNTIF(ActiveActivityCodes,$F855)=0,"InvalidCode",IF(COUNTIFS(tblScheduleData[EmployeeID],$A855,tblScheduleData[OperationalDate],$C855,tblScheduleData[ShiftStart],$D855,tblScheduleData[ShiftEnd],$E855,tblScheduleData[ActivityCode],$F855)&gt;1,"Duplicate","Valid")))))</f>
        <v/>
      </c>
      <c r="K855" s="2" t="n"/>
    </row>
    <row r="856">
      <c r="A856" s="2" t="inlineStr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>
        <f>IF(COUNTA($A856:$F856)=0,"",IF($C856="","MissingDate",IF(OR($A856="",$D856="",$E856="",$D856=$E856),"InvalidSchedule",IF(COUNTIF(ActiveActivityCodes,$F856)=0,"InvalidCode",IF(COUNTIFS(tblScheduleData[EmployeeID],$A856,tblScheduleData[OperationalDate],$C856,tblScheduleData[ShiftStart],$D856,tblScheduleData[ShiftEnd],$E856,tblScheduleData[ActivityCode],$F856)&gt;1,"Duplicate","Valid")))))</f>
        <v/>
      </c>
      <c r="K856" s="2" t="n"/>
    </row>
    <row r="857">
      <c r="A857" s="2" t="inlineStr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>
        <f>IF(COUNTA($A857:$F857)=0,"",IF($C857="","MissingDate",IF(OR($A857="",$D857="",$E857="",$D857=$E857),"InvalidSchedule",IF(COUNTIF(ActiveActivityCodes,$F857)=0,"InvalidCode",IF(COUNTIFS(tblScheduleData[EmployeeID],$A857,tblScheduleData[OperationalDate],$C857,tblScheduleData[ShiftStart],$D857,tblScheduleData[ShiftEnd],$E857,tblScheduleData[ActivityCode],$F857)&gt;1,"Duplicate","Valid")))))</f>
        <v/>
      </c>
      <c r="K857" s="2" t="n"/>
    </row>
    <row r="858">
      <c r="A858" s="2" t="inlineStr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>
        <f>IF(COUNTA($A858:$F858)=0,"",IF($C858="","MissingDate",IF(OR($A858="",$D858="",$E858="",$D858=$E858),"InvalidSchedule",IF(COUNTIF(ActiveActivityCodes,$F858)=0,"InvalidCode",IF(COUNTIFS(tblScheduleData[EmployeeID],$A858,tblScheduleData[OperationalDate],$C858,tblScheduleData[ShiftStart],$D858,tblScheduleData[ShiftEnd],$E858,tblScheduleData[ActivityCode],$F858)&gt;1,"Duplicate","Valid")))))</f>
        <v/>
      </c>
      <c r="K858" s="2" t="n"/>
    </row>
    <row r="859">
      <c r="A859" s="2" t="inlineStr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>
        <f>IF(COUNTA($A859:$F859)=0,"",IF($C859="","MissingDate",IF(OR($A859="",$D859="",$E859="",$D859=$E859),"InvalidSchedule",IF(COUNTIF(ActiveActivityCodes,$F859)=0,"InvalidCode",IF(COUNTIFS(tblScheduleData[EmployeeID],$A859,tblScheduleData[OperationalDate],$C859,tblScheduleData[ShiftStart],$D859,tblScheduleData[ShiftEnd],$E859,tblScheduleData[ActivityCode],$F859)&gt;1,"Duplicate","Valid")))))</f>
        <v/>
      </c>
      <c r="K859" s="2" t="n"/>
    </row>
    <row r="860">
      <c r="A860" s="2" t="inlineStr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>
        <f>IF(COUNTA($A860:$F860)=0,"",IF($C860="","MissingDate",IF(OR($A860="",$D860="",$E860="",$D860=$E860),"InvalidSchedule",IF(COUNTIF(ActiveActivityCodes,$F860)=0,"InvalidCode",IF(COUNTIFS(tblScheduleData[EmployeeID],$A860,tblScheduleData[OperationalDate],$C860,tblScheduleData[ShiftStart],$D860,tblScheduleData[ShiftEnd],$E860,tblScheduleData[ActivityCode],$F860)&gt;1,"Duplicate","Valid")))))</f>
        <v/>
      </c>
      <c r="K860" s="2" t="n"/>
    </row>
    <row r="861">
      <c r="A861" s="2" t="inlineStr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>
        <f>IF(COUNTA($A861:$F861)=0,"",IF($C861="","MissingDate",IF(OR($A861="",$D861="",$E861="",$D861=$E861),"InvalidSchedule",IF(COUNTIF(ActiveActivityCodes,$F861)=0,"InvalidCode",IF(COUNTIFS(tblScheduleData[EmployeeID],$A861,tblScheduleData[OperationalDate],$C861,tblScheduleData[ShiftStart],$D861,tblScheduleData[ShiftEnd],$E861,tblScheduleData[ActivityCode],$F861)&gt;1,"Duplicate","Valid")))))</f>
        <v/>
      </c>
      <c r="K861" s="2" t="n"/>
    </row>
    <row r="862">
      <c r="A862" s="2" t="inlineStr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>
        <f>IF(COUNTA($A862:$F862)=0,"",IF($C862="","MissingDate",IF(OR($A862="",$D862="",$E862="",$D862=$E862),"InvalidSchedule",IF(COUNTIF(ActiveActivityCodes,$F862)=0,"InvalidCode",IF(COUNTIFS(tblScheduleData[EmployeeID],$A862,tblScheduleData[OperationalDate],$C862,tblScheduleData[ShiftStart],$D862,tblScheduleData[ShiftEnd],$E862,tblScheduleData[ActivityCode],$F862)&gt;1,"Duplicate","Valid")))))</f>
        <v/>
      </c>
      <c r="K862" s="2" t="n"/>
    </row>
    <row r="863">
      <c r="A863" s="2" t="inlineStr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>
        <f>IF(COUNTA($A863:$F863)=0,"",IF($C863="","MissingDate",IF(OR($A863="",$D863="",$E863="",$D863=$E863),"InvalidSchedule",IF(COUNTIF(ActiveActivityCodes,$F863)=0,"InvalidCode",IF(COUNTIFS(tblScheduleData[EmployeeID],$A863,tblScheduleData[OperationalDate],$C863,tblScheduleData[ShiftStart],$D863,tblScheduleData[ShiftEnd],$E863,tblScheduleData[ActivityCode],$F863)&gt;1,"Duplicate","Valid")))))</f>
        <v/>
      </c>
      <c r="K863" s="2" t="n"/>
    </row>
    <row r="864">
      <c r="A864" s="2" t="inlineStr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>
        <f>IF(COUNTA($A864:$F864)=0,"",IF($C864="","MissingDate",IF(OR($A864="",$D864="",$E864="",$D864=$E864),"InvalidSchedule",IF(COUNTIF(ActiveActivityCodes,$F864)=0,"InvalidCode",IF(COUNTIFS(tblScheduleData[EmployeeID],$A864,tblScheduleData[OperationalDate],$C864,tblScheduleData[ShiftStart],$D864,tblScheduleData[ShiftEnd],$E864,tblScheduleData[ActivityCode],$F864)&gt;1,"Duplicate","Valid")))))</f>
        <v/>
      </c>
      <c r="K864" s="2" t="n"/>
    </row>
    <row r="865">
      <c r="A865" s="2" t="inlineStr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>
        <f>IF(COUNTA($A865:$F865)=0,"",IF($C865="","MissingDate",IF(OR($A865="",$D865="",$E865="",$D865=$E865),"InvalidSchedule",IF(COUNTIF(ActiveActivityCodes,$F865)=0,"InvalidCode",IF(COUNTIFS(tblScheduleData[EmployeeID],$A865,tblScheduleData[OperationalDate],$C865,tblScheduleData[ShiftStart],$D865,tblScheduleData[ShiftEnd],$E865,tblScheduleData[ActivityCode],$F865)&gt;1,"Duplicate","Valid")))))</f>
        <v/>
      </c>
      <c r="K865" s="2" t="n"/>
    </row>
    <row r="866">
      <c r="A866" s="2" t="inlineStr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>
        <f>IF(COUNTA($A866:$F866)=0,"",IF($C866="","MissingDate",IF(OR($A866="",$D866="",$E866="",$D866=$E866),"InvalidSchedule",IF(COUNTIF(ActiveActivityCodes,$F866)=0,"InvalidCode",IF(COUNTIFS(tblScheduleData[EmployeeID],$A866,tblScheduleData[OperationalDate],$C866,tblScheduleData[ShiftStart],$D866,tblScheduleData[ShiftEnd],$E866,tblScheduleData[ActivityCode],$F866)&gt;1,"Duplicate","Valid")))))</f>
        <v/>
      </c>
      <c r="K866" s="2" t="n"/>
    </row>
    <row r="867">
      <c r="A867" s="2" t="inlineStr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>
        <f>IF(COUNTA($A867:$F867)=0,"",IF($C867="","MissingDate",IF(OR($A867="",$D867="",$E867="",$D867=$E867),"InvalidSchedule",IF(COUNTIF(ActiveActivityCodes,$F867)=0,"InvalidCode",IF(COUNTIFS(tblScheduleData[EmployeeID],$A867,tblScheduleData[OperationalDate],$C867,tblScheduleData[ShiftStart],$D867,tblScheduleData[ShiftEnd],$E867,tblScheduleData[ActivityCode],$F867)&gt;1,"Duplicate","Valid")))))</f>
        <v/>
      </c>
      <c r="K867" s="2" t="n"/>
    </row>
    <row r="868">
      <c r="A868" s="2" t="inlineStr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>
        <f>IF(COUNTA($A868:$F868)=0,"",IF($C868="","MissingDate",IF(OR($A868="",$D868="",$E868="",$D868=$E868),"InvalidSchedule",IF(COUNTIF(ActiveActivityCodes,$F868)=0,"InvalidCode",IF(COUNTIFS(tblScheduleData[EmployeeID],$A868,tblScheduleData[OperationalDate],$C868,tblScheduleData[ShiftStart],$D868,tblScheduleData[ShiftEnd],$E868,tblScheduleData[ActivityCode],$F868)&gt;1,"Duplicate","Valid")))))</f>
        <v/>
      </c>
      <c r="K868" s="2" t="n"/>
    </row>
    <row r="869">
      <c r="A869" s="2" t="inlineStr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>
        <f>IF(COUNTA($A869:$F869)=0,"",IF($C869="","MissingDate",IF(OR($A869="",$D869="",$E869="",$D869=$E869),"InvalidSchedule",IF(COUNTIF(ActiveActivityCodes,$F869)=0,"InvalidCode",IF(COUNTIFS(tblScheduleData[EmployeeID],$A869,tblScheduleData[OperationalDate],$C869,tblScheduleData[ShiftStart],$D869,tblScheduleData[ShiftEnd],$E869,tblScheduleData[ActivityCode],$F869)&gt;1,"Duplicate","Valid")))))</f>
        <v/>
      </c>
      <c r="K869" s="2" t="n"/>
    </row>
    <row r="870">
      <c r="A870" s="2" t="inlineStr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>
        <f>IF(COUNTA($A870:$F870)=0,"",IF($C870="","MissingDate",IF(OR($A870="",$D870="",$E870="",$D870=$E870),"InvalidSchedule",IF(COUNTIF(ActiveActivityCodes,$F870)=0,"InvalidCode",IF(COUNTIFS(tblScheduleData[EmployeeID],$A870,tblScheduleData[OperationalDate],$C870,tblScheduleData[ShiftStart],$D870,tblScheduleData[ShiftEnd],$E870,tblScheduleData[ActivityCode],$F870)&gt;1,"Duplicate","Valid")))))</f>
        <v/>
      </c>
      <c r="K870" s="2" t="n"/>
    </row>
    <row r="871">
      <c r="A871" s="2" t="inlineStr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>
        <f>IF(COUNTA($A871:$F871)=0,"",IF($C871="","MissingDate",IF(OR($A871="",$D871="",$E871="",$D871=$E871),"InvalidSchedule",IF(COUNTIF(ActiveActivityCodes,$F871)=0,"InvalidCode",IF(COUNTIFS(tblScheduleData[EmployeeID],$A871,tblScheduleData[OperationalDate],$C871,tblScheduleData[ShiftStart],$D871,tblScheduleData[ShiftEnd],$E871,tblScheduleData[ActivityCode],$F871)&gt;1,"Duplicate","Valid")))))</f>
        <v/>
      </c>
      <c r="K871" s="2" t="n"/>
    </row>
    <row r="872">
      <c r="A872" s="2" t="inlineStr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>
        <f>IF(COUNTA($A872:$F872)=0,"",IF($C872="","MissingDate",IF(OR($A872="",$D872="",$E872="",$D872=$E872),"InvalidSchedule",IF(COUNTIF(ActiveActivityCodes,$F872)=0,"InvalidCode",IF(COUNTIFS(tblScheduleData[EmployeeID],$A872,tblScheduleData[OperationalDate],$C872,tblScheduleData[ShiftStart],$D872,tblScheduleData[ShiftEnd],$E872,tblScheduleData[ActivityCode],$F872)&gt;1,"Duplicate","Valid")))))</f>
        <v/>
      </c>
      <c r="K872" s="2" t="n"/>
    </row>
    <row r="873">
      <c r="A873" s="2" t="inlineStr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>
        <f>IF(COUNTA($A873:$F873)=0,"",IF($C873="","MissingDate",IF(OR($A873="",$D873="",$E873="",$D873=$E873),"InvalidSchedule",IF(COUNTIF(ActiveActivityCodes,$F873)=0,"InvalidCode",IF(COUNTIFS(tblScheduleData[EmployeeID],$A873,tblScheduleData[OperationalDate],$C873,tblScheduleData[ShiftStart],$D873,tblScheduleData[ShiftEnd],$E873,tblScheduleData[ActivityCode],$F873)&gt;1,"Duplicate","Valid")))))</f>
        <v/>
      </c>
      <c r="K873" s="2" t="n"/>
    </row>
    <row r="874">
      <c r="A874" s="2" t="inlineStr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>
        <f>IF(COUNTA($A874:$F874)=0,"",IF($C874="","MissingDate",IF(OR($A874="",$D874="",$E874="",$D874=$E874),"InvalidSchedule",IF(COUNTIF(ActiveActivityCodes,$F874)=0,"InvalidCode",IF(COUNTIFS(tblScheduleData[EmployeeID],$A874,tblScheduleData[OperationalDate],$C874,tblScheduleData[ShiftStart],$D874,tblScheduleData[ShiftEnd],$E874,tblScheduleData[ActivityCode],$F874)&gt;1,"Duplicate","Valid")))))</f>
        <v/>
      </c>
      <c r="K874" s="2" t="n"/>
    </row>
    <row r="875">
      <c r="A875" s="2" t="inlineStr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>
        <f>IF(COUNTA($A875:$F875)=0,"",IF($C875="","MissingDate",IF(OR($A875="",$D875="",$E875="",$D875=$E875),"InvalidSchedule",IF(COUNTIF(ActiveActivityCodes,$F875)=0,"InvalidCode",IF(COUNTIFS(tblScheduleData[EmployeeID],$A875,tblScheduleData[OperationalDate],$C875,tblScheduleData[ShiftStart],$D875,tblScheduleData[ShiftEnd],$E875,tblScheduleData[ActivityCode],$F875)&gt;1,"Duplicate","Valid")))))</f>
        <v/>
      </c>
      <c r="K875" s="2" t="n"/>
    </row>
    <row r="876">
      <c r="A876" s="2" t="inlineStr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>
        <f>IF(COUNTA($A876:$F876)=0,"",IF($C876="","MissingDate",IF(OR($A876="",$D876="",$E876="",$D876=$E876),"InvalidSchedule",IF(COUNTIF(ActiveActivityCodes,$F876)=0,"InvalidCode",IF(COUNTIFS(tblScheduleData[EmployeeID],$A876,tblScheduleData[OperationalDate],$C876,tblScheduleData[ShiftStart],$D876,tblScheduleData[ShiftEnd],$E876,tblScheduleData[ActivityCode],$F876)&gt;1,"Duplicate","Valid")))))</f>
        <v/>
      </c>
      <c r="K876" s="2" t="n"/>
    </row>
    <row r="877">
      <c r="A877" s="2" t="inlineStr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>
        <f>IF(COUNTA($A877:$F877)=0,"",IF($C877="","MissingDate",IF(OR($A877="",$D877="",$E877="",$D877=$E877),"InvalidSchedule",IF(COUNTIF(ActiveActivityCodes,$F877)=0,"InvalidCode",IF(COUNTIFS(tblScheduleData[EmployeeID],$A877,tblScheduleData[OperationalDate],$C877,tblScheduleData[ShiftStart],$D877,tblScheduleData[ShiftEnd],$E877,tblScheduleData[ActivityCode],$F877)&gt;1,"Duplicate","Valid")))))</f>
        <v/>
      </c>
      <c r="K877" s="2" t="n"/>
    </row>
    <row r="878">
      <c r="A878" s="2" t="inlineStr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>
        <f>IF(COUNTA($A878:$F878)=0,"",IF($C878="","MissingDate",IF(OR($A878="",$D878="",$E878="",$D878=$E878),"InvalidSchedule",IF(COUNTIF(ActiveActivityCodes,$F878)=0,"InvalidCode",IF(COUNTIFS(tblScheduleData[EmployeeID],$A878,tblScheduleData[OperationalDate],$C878,tblScheduleData[ShiftStart],$D878,tblScheduleData[ShiftEnd],$E878,tblScheduleData[ActivityCode],$F878)&gt;1,"Duplicate","Valid")))))</f>
        <v/>
      </c>
      <c r="K878" s="2" t="n"/>
    </row>
    <row r="879">
      <c r="A879" s="2" t="inlineStr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>
        <f>IF(COUNTA($A879:$F879)=0,"",IF($C879="","MissingDate",IF(OR($A879="",$D879="",$E879="",$D879=$E879),"InvalidSchedule",IF(COUNTIF(ActiveActivityCodes,$F879)=0,"InvalidCode",IF(COUNTIFS(tblScheduleData[EmployeeID],$A879,tblScheduleData[OperationalDate],$C879,tblScheduleData[ShiftStart],$D879,tblScheduleData[ShiftEnd],$E879,tblScheduleData[ActivityCode],$F879)&gt;1,"Duplicate","Valid")))))</f>
        <v/>
      </c>
      <c r="K879" s="2" t="n"/>
    </row>
    <row r="880">
      <c r="A880" s="2" t="inlineStr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>
        <f>IF(COUNTA($A880:$F880)=0,"",IF($C880="","MissingDate",IF(OR($A880="",$D880="",$E880="",$D880=$E880),"InvalidSchedule",IF(COUNTIF(ActiveActivityCodes,$F880)=0,"InvalidCode",IF(COUNTIFS(tblScheduleData[EmployeeID],$A880,tblScheduleData[OperationalDate],$C880,tblScheduleData[ShiftStart],$D880,tblScheduleData[ShiftEnd],$E880,tblScheduleData[ActivityCode],$F880)&gt;1,"Duplicate","Valid")))))</f>
        <v/>
      </c>
      <c r="K880" s="2" t="n"/>
    </row>
    <row r="881">
      <c r="A881" s="2" t="inlineStr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>
        <f>IF(COUNTA($A881:$F881)=0,"",IF($C881="","MissingDate",IF(OR($A881="",$D881="",$E881="",$D881=$E881),"InvalidSchedule",IF(COUNTIF(ActiveActivityCodes,$F881)=0,"InvalidCode",IF(COUNTIFS(tblScheduleData[EmployeeID],$A881,tblScheduleData[OperationalDate],$C881,tblScheduleData[ShiftStart],$D881,tblScheduleData[ShiftEnd],$E881,tblScheduleData[ActivityCode],$F881)&gt;1,"Duplicate","Valid")))))</f>
        <v/>
      </c>
      <c r="K881" s="2" t="n"/>
    </row>
    <row r="882">
      <c r="A882" s="2" t="inlineStr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>
        <f>IF(COUNTA($A882:$F882)=0,"",IF($C882="","MissingDate",IF(OR($A882="",$D882="",$E882="",$D882=$E882),"InvalidSchedule",IF(COUNTIF(ActiveActivityCodes,$F882)=0,"InvalidCode",IF(COUNTIFS(tblScheduleData[EmployeeID],$A882,tblScheduleData[OperationalDate],$C882,tblScheduleData[ShiftStart],$D882,tblScheduleData[ShiftEnd],$E882,tblScheduleData[ActivityCode],$F882)&gt;1,"Duplicate","Valid")))))</f>
        <v/>
      </c>
      <c r="K882" s="2" t="n"/>
    </row>
    <row r="883">
      <c r="A883" s="2" t="inlineStr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>
        <f>IF(COUNTA($A883:$F883)=0,"",IF($C883="","MissingDate",IF(OR($A883="",$D883="",$E883="",$D883=$E883),"InvalidSchedule",IF(COUNTIF(ActiveActivityCodes,$F883)=0,"InvalidCode",IF(COUNTIFS(tblScheduleData[EmployeeID],$A883,tblScheduleData[OperationalDate],$C883,tblScheduleData[ShiftStart],$D883,tblScheduleData[ShiftEnd],$E883,tblScheduleData[ActivityCode],$F883)&gt;1,"Duplicate","Valid")))))</f>
        <v/>
      </c>
      <c r="K883" s="2" t="n"/>
    </row>
    <row r="884">
      <c r="A884" s="2" t="inlineStr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>
        <f>IF(COUNTA($A884:$F884)=0,"",IF($C884="","MissingDate",IF(OR($A884="",$D884="",$E884="",$D884=$E884),"InvalidSchedule",IF(COUNTIF(ActiveActivityCodes,$F884)=0,"InvalidCode",IF(COUNTIFS(tblScheduleData[EmployeeID],$A884,tblScheduleData[OperationalDate],$C884,tblScheduleData[ShiftStart],$D884,tblScheduleData[ShiftEnd],$E884,tblScheduleData[ActivityCode],$F884)&gt;1,"Duplicate","Valid")))))</f>
        <v/>
      </c>
      <c r="K884" s="2" t="n"/>
    </row>
    <row r="885">
      <c r="A885" s="2" t="inlineStr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>
        <f>IF(COUNTA($A885:$F885)=0,"",IF($C885="","MissingDate",IF(OR($A885="",$D885="",$E885="",$D885=$E885),"InvalidSchedule",IF(COUNTIF(ActiveActivityCodes,$F885)=0,"InvalidCode",IF(COUNTIFS(tblScheduleData[EmployeeID],$A885,tblScheduleData[OperationalDate],$C885,tblScheduleData[ShiftStart],$D885,tblScheduleData[ShiftEnd],$E885,tblScheduleData[ActivityCode],$F885)&gt;1,"Duplicate","Valid")))))</f>
        <v/>
      </c>
      <c r="K885" s="2" t="n"/>
    </row>
    <row r="886">
      <c r="A886" s="2" t="inlineStr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>
        <f>IF(COUNTA($A886:$F886)=0,"",IF($C886="","MissingDate",IF(OR($A886="",$D886="",$E886="",$D886=$E886),"InvalidSchedule",IF(COUNTIF(ActiveActivityCodes,$F886)=0,"InvalidCode",IF(COUNTIFS(tblScheduleData[EmployeeID],$A886,tblScheduleData[OperationalDate],$C886,tblScheduleData[ShiftStart],$D886,tblScheduleData[ShiftEnd],$E886,tblScheduleData[ActivityCode],$F886)&gt;1,"Duplicate","Valid")))))</f>
        <v/>
      </c>
      <c r="K886" s="2" t="n"/>
    </row>
    <row r="887">
      <c r="A887" s="2" t="inlineStr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>
        <f>IF(COUNTA($A887:$F887)=0,"",IF($C887="","MissingDate",IF(OR($A887="",$D887="",$E887="",$D887=$E887),"InvalidSchedule",IF(COUNTIF(ActiveActivityCodes,$F887)=0,"InvalidCode",IF(COUNTIFS(tblScheduleData[EmployeeID],$A887,tblScheduleData[OperationalDate],$C887,tblScheduleData[ShiftStart],$D887,tblScheduleData[ShiftEnd],$E887,tblScheduleData[ActivityCode],$F887)&gt;1,"Duplicate","Valid")))))</f>
        <v/>
      </c>
      <c r="K887" s="2" t="n"/>
    </row>
    <row r="888">
      <c r="A888" s="2" t="inlineStr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>
        <f>IF(COUNTA($A888:$F888)=0,"",IF($C888="","MissingDate",IF(OR($A888="",$D888="",$E888="",$D888=$E888),"InvalidSchedule",IF(COUNTIF(ActiveActivityCodes,$F888)=0,"InvalidCode",IF(COUNTIFS(tblScheduleData[EmployeeID],$A888,tblScheduleData[OperationalDate],$C888,tblScheduleData[ShiftStart],$D888,tblScheduleData[ShiftEnd],$E888,tblScheduleData[ActivityCode],$F888)&gt;1,"Duplicate","Valid")))))</f>
        <v/>
      </c>
      <c r="K888" s="2" t="n"/>
    </row>
    <row r="889">
      <c r="A889" s="2" t="inlineStr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>
        <f>IF(COUNTA($A889:$F889)=0,"",IF($C889="","MissingDate",IF(OR($A889="",$D889="",$E889="",$D889=$E889),"InvalidSchedule",IF(COUNTIF(ActiveActivityCodes,$F889)=0,"InvalidCode",IF(COUNTIFS(tblScheduleData[EmployeeID],$A889,tblScheduleData[OperationalDate],$C889,tblScheduleData[ShiftStart],$D889,tblScheduleData[ShiftEnd],$E889,tblScheduleData[ActivityCode],$F889)&gt;1,"Duplicate","Valid")))))</f>
        <v/>
      </c>
      <c r="K889" s="2" t="n"/>
    </row>
    <row r="890">
      <c r="A890" s="2" t="inlineStr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>
        <f>IF(COUNTA($A890:$F890)=0,"",IF($C890="","MissingDate",IF(OR($A890="",$D890="",$E890="",$D890=$E890),"InvalidSchedule",IF(COUNTIF(ActiveActivityCodes,$F890)=0,"InvalidCode",IF(COUNTIFS(tblScheduleData[EmployeeID],$A890,tblScheduleData[OperationalDate],$C890,tblScheduleData[ShiftStart],$D890,tblScheduleData[ShiftEnd],$E890,tblScheduleData[ActivityCode],$F890)&gt;1,"Duplicate","Valid")))))</f>
        <v/>
      </c>
      <c r="K890" s="2" t="n"/>
    </row>
    <row r="891">
      <c r="A891" s="2" t="inlineStr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>
        <f>IF(COUNTA($A891:$F891)=0,"",IF($C891="","MissingDate",IF(OR($A891="",$D891="",$E891="",$D891=$E891),"InvalidSchedule",IF(COUNTIF(ActiveActivityCodes,$F891)=0,"InvalidCode",IF(COUNTIFS(tblScheduleData[EmployeeID],$A891,tblScheduleData[OperationalDate],$C891,tblScheduleData[ShiftStart],$D891,tblScheduleData[ShiftEnd],$E891,tblScheduleData[ActivityCode],$F891)&gt;1,"Duplicate","Valid")))))</f>
        <v/>
      </c>
      <c r="K891" s="2" t="n"/>
    </row>
    <row r="892">
      <c r="A892" s="2" t="inlineStr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>
        <f>IF(COUNTA($A892:$F892)=0,"",IF($C892="","MissingDate",IF(OR($A892="",$D892="",$E892="",$D892=$E892),"InvalidSchedule",IF(COUNTIF(ActiveActivityCodes,$F892)=0,"InvalidCode",IF(COUNTIFS(tblScheduleData[EmployeeID],$A892,tblScheduleData[OperationalDate],$C892,tblScheduleData[ShiftStart],$D892,tblScheduleData[ShiftEnd],$E892,tblScheduleData[ActivityCode],$F892)&gt;1,"Duplicate","Valid")))))</f>
        <v/>
      </c>
      <c r="K892" s="2" t="n"/>
    </row>
    <row r="893">
      <c r="A893" s="2" t="inlineStr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>
        <f>IF(COUNTA($A893:$F893)=0,"",IF($C893="","MissingDate",IF(OR($A893="",$D893="",$E893="",$D893=$E893),"InvalidSchedule",IF(COUNTIF(ActiveActivityCodes,$F893)=0,"InvalidCode",IF(COUNTIFS(tblScheduleData[EmployeeID],$A893,tblScheduleData[OperationalDate],$C893,tblScheduleData[ShiftStart],$D893,tblScheduleData[ShiftEnd],$E893,tblScheduleData[ActivityCode],$F893)&gt;1,"Duplicate","Valid")))))</f>
        <v/>
      </c>
      <c r="K893" s="2" t="n"/>
    </row>
    <row r="894">
      <c r="A894" s="2" t="inlineStr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>
        <f>IF(COUNTA($A894:$F894)=0,"",IF($C894="","MissingDate",IF(OR($A894="",$D894="",$E894="",$D894=$E894),"InvalidSchedule",IF(COUNTIF(ActiveActivityCodes,$F894)=0,"InvalidCode",IF(COUNTIFS(tblScheduleData[EmployeeID],$A894,tblScheduleData[OperationalDate],$C894,tblScheduleData[ShiftStart],$D894,tblScheduleData[ShiftEnd],$E894,tblScheduleData[ActivityCode],$F894)&gt;1,"Duplicate","Valid")))))</f>
        <v/>
      </c>
      <c r="K894" s="2" t="n"/>
    </row>
    <row r="895">
      <c r="A895" s="2" t="inlineStr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>
        <f>IF(COUNTA($A895:$F895)=0,"",IF($C895="","MissingDate",IF(OR($A895="",$D895="",$E895="",$D895=$E895),"InvalidSchedule",IF(COUNTIF(ActiveActivityCodes,$F895)=0,"InvalidCode",IF(COUNTIFS(tblScheduleData[EmployeeID],$A895,tblScheduleData[OperationalDate],$C895,tblScheduleData[ShiftStart],$D895,tblScheduleData[ShiftEnd],$E895,tblScheduleData[ActivityCode],$F895)&gt;1,"Duplicate","Valid")))))</f>
        <v/>
      </c>
      <c r="K895" s="2" t="n"/>
    </row>
    <row r="896">
      <c r="A896" s="2" t="inlineStr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>
        <f>IF(COUNTA($A896:$F896)=0,"",IF($C896="","MissingDate",IF(OR($A896="",$D896="",$E896="",$D896=$E896),"InvalidSchedule",IF(COUNTIF(ActiveActivityCodes,$F896)=0,"InvalidCode",IF(COUNTIFS(tblScheduleData[EmployeeID],$A896,tblScheduleData[OperationalDate],$C896,tblScheduleData[ShiftStart],$D896,tblScheduleData[ShiftEnd],$E896,tblScheduleData[ActivityCode],$F896)&gt;1,"Duplicate","Valid")))))</f>
        <v/>
      </c>
      <c r="K896" s="2" t="n"/>
    </row>
    <row r="897">
      <c r="A897" s="2" t="inlineStr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>
        <f>IF(COUNTA($A897:$F897)=0,"",IF($C897="","MissingDate",IF(OR($A897="",$D897="",$E897="",$D897=$E897),"InvalidSchedule",IF(COUNTIF(ActiveActivityCodes,$F897)=0,"InvalidCode",IF(COUNTIFS(tblScheduleData[EmployeeID],$A897,tblScheduleData[OperationalDate],$C897,tblScheduleData[ShiftStart],$D897,tblScheduleData[ShiftEnd],$E897,tblScheduleData[ActivityCode],$F897)&gt;1,"Duplicate","Valid")))))</f>
        <v/>
      </c>
      <c r="K897" s="2" t="n"/>
    </row>
    <row r="898">
      <c r="A898" s="2" t="inlineStr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>
        <f>IF(COUNTA($A898:$F898)=0,"",IF($C898="","MissingDate",IF(OR($A898="",$D898="",$E898="",$D898=$E898),"InvalidSchedule",IF(COUNTIF(ActiveActivityCodes,$F898)=0,"InvalidCode",IF(COUNTIFS(tblScheduleData[EmployeeID],$A898,tblScheduleData[OperationalDate],$C898,tblScheduleData[ShiftStart],$D898,tblScheduleData[ShiftEnd],$E898,tblScheduleData[ActivityCode],$F898)&gt;1,"Duplicate","Valid")))))</f>
        <v/>
      </c>
      <c r="K898" s="2" t="n"/>
    </row>
    <row r="899">
      <c r="A899" s="2" t="inlineStr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>
        <f>IF(COUNTA($A899:$F899)=0,"",IF($C899="","MissingDate",IF(OR($A899="",$D899="",$E899="",$D899=$E899),"InvalidSchedule",IF(COUNTIF(ActiveActivityCodes,$F899)=0,"InvalidCode",IF(COUNTIFS(tblScheduleData[EmployeeID],$A899,tblScheduleData[OperationalDate],$C899,tblScheduleData[ShiftStart],$D899,tblScheduleData[ShiftEnd],$E899,tblScheduleData[ActivityCode],$F899)&gt;1,"Duplicate","Valid")))))</f>
        <v/>
      </c>
      <c r="K899" s="2" t="n"/>
    </row>
    <row r="900">
      <c r="A900" s="2" t="inlineStr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>
        <f>IF(COUNTA($A900:$F900)=0,"",IF($C900="","MissingDate",IF(OR($A900="",$D900="",$E900="",$D900=$E900),"InvalidSchedule",IF(COUNTIF(ActiveActivityCodes,$F900)=0,"InvalidCode",IF(COUNTIFS(tblScheduleData[EmployeeID],$A900,tblScheduleData[OperationalDate],$C900,tblScheduleData[ShiftStart],$D900,tblScheduleData[ShiftEnd],$E900,tblScheduleData[ActivityCode],$F900)&gt;1,"Duplicate","Valid")))))</f>
        <v/>
      </c>
      <c r="K900" s="2" t="n"/>
    </row>
    <row r="901">
      <c r="A901" s="2" t="inlineStr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>
        <f>IF(COUNTA($A901:$F901)=0,"",IF($C901="","MissingDate",IF(OR($A901="",$D901="",$E901="",$D901=$E901),"InvalidSchedule",IF(COUNTIF(ActiveActivityCodes,$F901)=0,"InvalidCode",IF(COUNTIFS(tblScheduleData[EmployeeID],$A901,tblScheduleData[OperationalDate],$C901,tblScheduleData[ShiftStart],$D901,tblScheduleData[ShiftEnd],$E901,tblScheduleData[ActivityCode],$F901)&gt;1,"Duplicate","Valid")))))</f>
        <v/>
      </c>
      <c r="K901" s="2" t="n"/>
    </row>
    <row r="902">
      <c r="A902" s="2" t="inlineStr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>
        <f>IF(COUNTA($A902:$F902)=0,"",IF($C902="","MissingDate",IF(OR($A902="",$D902="",$E902="",$D902=$E902),"InvalidSchedule",IF(COUNTIF(ActiveActivityCodes,$F902)=0,"InvalidCode",IF(COUNTIFS(tblScheduleData[EmployeeID],$A902,tblScheduleData[OperationalDate],$C902,tblScheduleData[ShiftStart],$D902,tblScheduleData[ShiftEnd],$E902,tblScheduleData[ActivityCode],$F902)&gt;1,"Duplicate","Valid")))))</f>
        <v/>
      </c>
      <c r="K902" s="2" t="n"/>
    </row>
    <row r="903">
      <c r="A903" s="2" t="inlineStr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>
        <f>IF(COUNTA($A903:$F903)=0,"",IF($C903="","MissingDate",IF(OR($A903="",$D903="",$E903="",$D903=$E903),"InvalidSchedule",IF(COUNTIF(ActiveActivityCodes,$F903)=0,"InvalidCode",IF(COUNTIFS(tblScheduleData[EmployeeID],$A903,tblScheduleData[OperationalDate],$C903,tblScheduleData[ShiftStart],$D903,tblScheduleData[ShiftEnd],$E903,tblScheduleData[ActivityCode],$F903)&gt;1,"Duplicate","Valid")))))</f>
        <v/>
      </c>
      <c r="K903" s="2" t="n"/>
    </row>
    <row r="904">
      <c r="A904" s="2" t="inlineStr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>
        <f>IF(COUNTA($A904:$F904)=0,"",IF($C904="","MissingDate",IF(OR($A904="",$D904="",$E904="",$D904=$E904),"InvalidSchedule",IF(COUNTIF(ActiveActivityCodes,$F904)=0,"InvalidCode",IF(COUNTIFS(tblScheduleData[EmployeeID],$A904,tblScheduleData[OperationalDate],$C904,tblScheduleData[ShiftStart],$D904,tblScheduleData[ShiftEnd],$E904,tblScheduleData[ActivityCode],$F904)&gt;1,"Duplicate","Valid")))))</f>
        <v/>
      </c>
      <c r="K904" s="2" t="n"/>
    </row>
    <row r="905">
      <c r="A905" s="2" t="inlineStr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>
        <f>IF(COUNTA($A905:$F905)=0,"",IF($C905="","MissingDate",IF(OR($A905="",$D905="",$E905="",$D905=$E905),"InvalidSchedule",IF(COUNTIF(ActiveActivityCodes,$F905)=0,"InvalidCode",IF(COUNTIFS(tblScheduleData[EmployeeID],$A905,tblScheduleData[OperationalDate],$C905,tblScheduleData[ShiftStart],$D905,tblScheduleData[ShiftEnd],$E905,tblScheduleData[ActivityCode],$F905)&gt;1,"Duplicate","Valid")))))</f>
        <v/>
      </c>
      <c r="K905" s="2" t="n"/>
    </row>
    <row r="906">
      <c r="A906" s="2" t="inlineStr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>
        <f>IF(COUNTA($A906:$F906)=0,"",IF($C906="","MissingDate",IF(OR($A906="",$D906="",$E906="",$D906=$E906),"InvalidSchedule",IF(COUNTIF(ActiveActivityCodes,$F906)=0,"InvalidCode",IF(COUNTIFS(tblScheduleData[EmployeeID],$A906,tblScheduleData[OperationalDate],$C906,tblScheduleData[ShiftStart],$D906,tblScheduleData[ShiftEnd],$E906,tblScheduleData[ActivityCode],$F906)&gt;1,"Duplicate","Valid")))))</f>
        <v/>
      </c>
      <c r="K906" s="2" t="n"/>
    </row>
    <row r="907">
      <c r="A907" s="2" t="inlineStr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>
        <f>IF(COUNTA($A907:$F907)=0,"",IF($C907="","MissingDate",IF(OR($A907="",$D907="",$E907="",$D907=$E907),"InvalidSchedule",IF(COUNTIF(ActiveActivityCodes,$F907)=0,"InvalidCode",IF(COUNTIFS(tblScheduleData[EmployeeID],$A907,tblScheduleData[OperationalDate],$C907,tblScheduleData[ShiftStart],$D907,tblScheduleData[ShiftEnd],$E907,tblScheduleData[ActivityCode],$F907)&gt;1,"Duplicate","Valid")))))</f>
        <v/>
      </c>
      <c r="K907" s="2" t="n"/>
    </row>
    <row r="908">
      <c r="A908" s="2" t="inlineStr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>
        <f>IF(COUNTA($A908:$F908)=0,"",IF($C908="","MissingDate",IF(OR($A908="",$D908="",$E908="",$D908=$E908),"InvalidSchedule",IF(COUNTIF(ActiveActivityCodes,$F908)=0,"InvalidCode",IF(COUNTIFS(tblScheduleData[EmployeeID],$A908,tblScheduleData[OperationalDate],$C908,tblScheduleData[ShiftStart],$D908,tblScheduleData[ShiftEnd],$E908,tblScheduleData[ActivityCode],$F908)&gt;1,"Duplicate","Valid")))))</f>
        <v/>
      </c>
      <c r="K908" s="2" t="n"/>
    </row>
    <row r="909">
      <c r="A909" s="2" t="inlineStr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>
        <f>IF(COUNTA($A909:$F909)=0,"",IF($C909="","MissingDate",IF(OR($A909="",$D909="",$E909="",$D909=$E909),"InvalidSchedule",IF(COUNTIF(ActiveActivityCodes,$F909)=0,"InvalidCode",IF(COUNTIFS(tblScheduleData[EmployeeID],$A909,tblScheduleData[OperationalDate],$C909,tblScheduleData[ShiftStart],$D909,tblScheduleData[ShiftEnd],$E909,tblScheduleData[ActivityCode],$F909)&gt;1,"Duplicate","Valid")))))</f>
        <v/>
      </c>
      <c r="K909" s="2" t="n"/>
    </row>
    <row r="910">
      <c r="A910" s="2" t="inlineStr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>
        <f>IF(COUNTA($A910:$F910)=0,"",IF($C910="","MissingDate",IF(OR($A910="",$D910="",$E910="",$D910=$E910),"InvalidSchedule",IF(COUNTIF(ActiveActivityCodes,$F910)=0,"InvalidCode",IF(COUNTIFS(tblScheduleData[EmployeeID],$A910,tblScheduleData[OperationalDate],$C910,tblScheduleData[ShiftStart],$D910,tblScheduleData[ShiftEnd],$E910,tblScheduleData[ActivityCode],$F910)&gt;1,"Duplicate","Valid")))))</f>
        <v/>
      </c>
      <c r="K910" s="2" t="n"/>
    </row>
    <row r="911">
      <c r="A911" s="2" t="inlineStr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>
        <f>IF(COUNTA($A911:$F911)=0,"",IF($C911="","MissingDate",IF(OR($A911="",$D911="",$E911="",$D911=$E911),"InvalidSchedule",IF(COUNTIF(ActiveActivityCodes,$F911)=0,"InvalidCode",IF(COUNTIFS(tblScheduleData[EmployeeID],$A911,tblScheduleData[OperationalDate],$C911,tblScheduleData[ShiftStart],$D911,tblScheduleData[ShiftEnd],$E911,tblScheduleData[ActivityCode],$F911)&gt;1,"Duplicate","Valid")))))</f>
        <v/>
      </c>
      <c r="K911" s="2" t="n"/>
    </row>
    <row r="912">
      <c r="A912" s="2" t="inlineStr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>
        <f>IF(COUNTA($A912:$F912)=0,"",IF($C912="","MissingDate",IF(OR($A912="",$D912="",$E912="",$D912=$E912),"InvalidSchedule",IF(COUNTIF(ActiveActivityCodes,$F912)=0,"InvalidCode",IF(COUNTIFS(tblScheduleData[EmployeeID],$A912,tblScheduleData[OperationalDate],$C912,tblScheduleData[ShiftStart],$D912,tblScheduleData[ShiftEnd],$E912,tblScheduleData[ActivityCode],$F912)&gt;1,"Duplicate","Valid")))))</f>
        <v/>
      </c>
      <c r="K912" s="2" t="n"/>
    </row>
    <row r="913">
      <c r="A913" s="2" t="inlineStr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>
        <f>IF(COUNTA($A913:$F913)=0,"",IF($C913="","MissingDate",IF(OR($A913="",$D913="",$E913="",$D913=$E913),"InvalidSchedule",IF(COUNTIF(ActiveActivityCodes,$F913)=0,"InvalidCode",IF(COUNTIFS(tblScheduleData[EmployeeID],$A913,tblScheduleData[OperationalDate],$C913,tblScheduleData[ShiftStart],$D913,tblScheduleData[ShiftEnd],$E913,tblScheduleData[ActivityCode],$F913)&gt;1,"Duplicate","Valid")))))</f>
        <v/>
      </c>
      <c r="K913" s="2" t="n"/>
    </row>
    <row r="914">
      <c r="A914" s="2" t="inlineStr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>
        <f>IF(COUNTA($A914:$F914)=0,"",IF($C914="","MissingDate",IF(OR($A914="",$D914="",$E914="",$D914=$E914),"InvalidSchedule",IF(COUNTIF(ActiveActivityCodes,$F914)=0,"InvalidCode",IF(COUNTIFS(tblScheduleData[EmployeeID],$A914,tblScheduleData[OperationalDate],$C914,tblScheduleData[ShiftStart],$D914,tblScheduleData[ShiftEnd],$E914,tblScheduleData[ActivityCode],$F914)&gt;1,"Duplicate","Valid")))))</f>
        <v/>
      </c>
      <c r="K914" s="2" t="n"/>
    </row>
    <row r="915">
      <c r="A915" s="2" t="inlineStr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>
        <f>IF(COUNTA($A915:$F915)=0,"",IF($C915="","MissingDate",IF(OR($A915="",$D915="",$E915="",$D915=$E915),"InvalidSchedule",IF(COUNTIF(ActiveActivityCodes,$F915)=0,"InvalidCode",IF(COUNTIFS(tblScheduleData[EmployeeID],$A915,tblScheduleData[OperationalDate],$C915,tblScheduleData[ShiftStart],$D915,tblScheduleData[ShiftEnd],$E915,tblScheduleData[ActivityCode],$F915)&gt;1,"Duplicate","Valid")))))</f>
        <v/>
      </c>
      <c r="K915" s="2" t="n"/>
    </row>
    <row r="916">
      <c r="A916" s="2" t="inlineStr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>
        <f>IF(COUNTA($A916:$F916)=0,"",IF($C916="","MissingDate",IF(OR($A916="",$D916="",$E916="",$D916=$E916),"InvalidSchedule",IF(COUNTIF(ActiveActivityCodes,$F916)=0,"InvalidCode",IF(COUNTIFS(tblScheduleData[EmployeeID],$A916,tblScheduleData[OperationalDate],$C916,tblScheduleData[ShiftStart],$D916,tblScheduleData[ShiftEnd],$E916,tblScheduleData[ActivityCode],$F916)&gt;1,"Duplicate","Valid")))))</f>
        <v/>
      </c>
      <c r="K916" s="2" t="n"/>
    </row>
    <row r="917">
      <c r="A917" s="2" t="inlineStr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>
        <f>IF(COUNTA($A917:$F917)=0,"",IF($C917="","MissingDate",IF(OR($A917="",$D917="",$E917="",$D917=$E917),"InvalidSchedule",IF(COUNTIF(ActiveActivityCodes,$F917)=0,"InvalidCode",IF(COUNTIFS(tblScheduleData[EmployeeID],$A917,tblScheduleData[OperationalDate],$C917,tblScheduleData[ShiftStart],$D917,tblScheduleData[ShiftEnd],$E917,tblScheduleData[ActivityCode],$F917)&gt;1,"Duplicate","Valid")))))</f>
        <v/>
      </c>
      <c r="K917" s="2" t="n"/>
    </row>
    <row r="918">
      <c r="A918" s="2" t="inlineStr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>
        <f>IF(COUNTA($A918:$F918)=0,"",IF($C918="","MissingDate",IF(OR($A918="",$D918="",$E918="",$D918=$E918),"InvalidSchedule",IF(COUNTIF(ActiveActivityCodes,$F918)=0,"InvalidCode",IF(COUNTIFS(tblScheduleData[EmployeeID],$A918,tblScheduleData[OperationalDate],$C918,tblScheduleData[ShiftStart],$D918,tblScheduleData[ShiftEnd],$E918,tblScheduleData[ActivityCode],$F918)&gt;1,"Duplicate","Valid")))))</f>
        <v/>
      </c>
      <c r="K918" s="2" t="n"/>
    </row>
    <row r="919">
      <c r="A919" s="2" t="inlineStr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>
        <f>IF(COUNTA($A919:$F919)=0,"",IF($C919="","MissingDate",IF(OR($A919="",$D919="",$E919="",$D919=$E919),"InvalidSchedule",IF(COUNTIF(ActiveActivityCodes,$F919)=0,"InvalidCode",IF(COUNTIFS(tblScheduleData[EmployeeID],$A919,tblScheduleData[OperationalDate],$C919,tblScheduleData[ShiftStart],$D919,tblScheduleData[ShiftEnd],$E919,tblScheduleData[ActivityCode],$F919)&gt;1,"Duplicate","Valid")))))</f>
        <v/>
      </c>
      <c r="K919" s="2" t="n"/>
    </row>
    <row r="920">
      <c r="A920" s="2" t="inlineStr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>
        <f>IF(COUNTA($A920:$F920)=0,"",IF($C920="","MissingDate",IF(OR($A920="",$D920="",$E920="",$D920=$E920),"InvalidSchedule",IF(COUNTIF(ActiveActivityCodes,$F920)=0,"InvalidCode",IF(COUNTIFS(tblScheduleData[EmployeeID],$A920,tblScheduleData[OperationalDate],$C920,tblScheduleData[ShiftStart],$D920,tblScheduleData[ShiftEnd],$E920,tblScheduleData[ActivityCode],$F920)&gt;1,"Duplicate","Valid")))))</f>
        <v/>
      </c>
      <c r="K920" s="2" t="n"/>
    </row>
    <row r="921">
      <c r="A921" s="2" t="inlineStr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>
        <f>IF(COUNTA($A921:$F921)=0,"",IF($C921="","MissingDate",IF(OR($A921="",$D921="",$E921="",$D921=$E921),"InvalidSchedule",IF(COUNTIF(ActiveActivityCodes,$F921)=0,"InvalidCode",IF(COUNTIFS(tblScheduleData[EmployeeID],$A921,tblScheduleData[OperationalDate],$C921,tblScheduleData[ShiftStart],$D921,tblScheduleData[ShiftEnd],$E921,tblScheduleData[ActivityCode],$F921)&gt;1,"Duplicate","Valid")))))</f>
        <v/>
      </c>
      <c r="K921" s="2" t="n"/>
    </row>
    <row r="922">
      <c r="A922" s="2" t="inlineStr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>
        <f>IF(COUNTA($A922:$F922)=0,"",IF($C922="","MissingDate",IF(OR($A922="",$D922="",$E922="",$D922=$E922),"InvalidSchedule",IF(COUNTIF(ActiveActivityCodes,$F922)=0,"InvalidCode",IF(COUNTIFS(tblScheduleData[EmployeeID],$A922,tblScheduleData[OperationalDate],$C922,tblScheduleData[ShiftStart],$D922,tblScheduleData[ShiftEnd],$E922,tblScheduleData[ActivityCode],$F922)&gt;1,"Duplicate","Valid")))))</f>
        <v/>
      </c>
      <c r="K922" s="2" t="n"/>
    </row>
    <row r="923">
      <c r="A923" s="2" t="inlineStr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>
        <f>IF(COUNTA($A923:$F923)=0,"",IF($C923="","MissingDate",IF(OR($A923="",$D923="",$E923="",$D923=$E923),"InvalidSchedule",IF(COUNTIF(ActiveActivityCodes,$F923)=0,"InvalidCode",IF(COUNTIFS(tblScheduleData[EmployeeID],$A923,tblScheduleData[OperationalDate],$C923,tblScheduleData[ShiftStart],$D923,tblScheduleData[ShiftEnd],$E923,tblScheduleData[ActivityCode],$F923)&gt;1,"Duplicate","Valid")))))</f>
        <v/>
      </c>
      <c r="K923" s="2" t="n"/>
    </row>
    <row r="924">
      <c r="A924" s="2" t="inlineStr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>
        <f>IF(COUNTA($A924:$F924)=0,"",IF($C924="","MissingDate",IF(OR($A924="",$D924="",$E924="",$D924=$E924),"InvalidSchedule",IF(COUNTIF(ActiveActivityCodes,$F924)=0,"InvalidCode",IF(COUNTIFS(tblScheduleData[EmployeeID],$A924,tblScheduleData[OperationalDate],$C924,tblScheduleData[ShiftStart],$D924,tblScheduleData[ShiftEnd],$E924,tblScheduleData[ActivityCode],$F924)&gt;1,"Duplicate","Valid")))))</f>
        <v/>
      </c>
      <c r="K924" s="2" t="n"/>
    </row>
    <row r="925">
      <c r="A925" s="2" t="inlineStr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>
        <f>IF(COUNTA($A925:$F925)=0,"",IF($C925="","MissingDate",IF(OR($A925="",$D925="",$E925="",$D925=$E925),"InvalidSchedule",IF(COUNTIF(ActiveActivityCodes,$F925)=0,"InvalidCode",IF(COUNTIFS(tblScheduleData[EmployeeID],$A925,tblScheduleData[OperationalDate],$C925,tblScheduleData[ShiftStart],$D925,tblScheduleData[ShiftEnd],$E925,tblScheduleData[ActivityCode],$F925)&gt;1,"Duplicate","Valid")))))</f>
        <v/>
      </c>
      <c r="K925" s="2" t="n"/>
    </row>
    <row r="926">
      <c r="A926" s="2" t="inlineStr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>
        <f>IF(COUNTA($A926:$F926)=0,"",IF($C926="","MissingDate",IF(OR($A926="",$D926="",$E926="",$D926=$E926),"InvalidSchedule",IF(COUNTIF(ActiveActivityCodes,$F926)=0,"InvalidCode",IF(COUNTIFS(tblScheduleData[EmployeeID],$A926,tblScheduleData[OperationalDate],$C926,tblScheduleData[ShiftStart],$D926,tblScheduleData[ShiftEnd],$E926,tblScheduleData[ActivityCode],$F926)&gt;1,"Duplicate","Valid")))))</f>
        <v/>
      </c>
      <c r="K926" s="2" t="n"/>
    </row>
    <row r="927">
      <c r="A927" s="2" t="inlineStr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>
        <f>IF(COUNTA($A927:$F927)=0,"",IF($C927="","MissingDate",IF(OR($A927="",$D927="",$E927="",$D927=$E927),"InvalidSchedule",IF(COUNTIF(ActiveActivityCodes,$F927)=0,"InvalidCode",IF(COUNTIFS(tblScheduleData[EmployeeID],$A927,tblScheduleData[OperationalDate],$C927,tblScheduleData[ShiftStart],$D927,tblScheduleData[ShiftEnd],$E927,tblScheduleData[ActivityCode],$F927)&gt;1,"Duplicate","Valid")))))</f>
        <v/>
      </c>
      <c r="K927" s="2" t="n"/>
    </row>
    <row r="928">
      <c r="A928" s="2" t="inlineStr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>
        <f>IF(COUNTA($A928:$F928)=0,"",IF($C928="","MissingDate",IF(OR($A928="",$D928="",$E928="",$D928=$E928),"InvalidSchedule",IF(COUNTIF(ActiveActivityCodes,$F928)=0,"InvalidCode",IF(COUNTIFS(tblScheduleData[EmployeeID],$A928,tblScheduleData[OperationalDate],$C928,tblScheduleData[ShiftStart],$D928,tblScheduleData[ShiftEnd],$E928,tblScheduleData[ActivityCode],$F928)&gt;1,"Duplicate","Valid")))))</f>
        <v/>
      </c>
      <c r="K928" s="2" t="n"/>
    </row>
    <row r="929">
      <c r="A929" s="2" t="inlineStr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>
        <f>IF(COUNTA($A929:$F929)=0,"",IF($C929="","MissingDate",IF(OR($A929="",$D929="",$E929="",$D929=$E929),"InvalidSchedule",IF(COUNTIF(ActiveActivityCodes,$F929)=0,"InvalidCode",IF(COUNTIFS(tblScheduleData[EmployeeID],$A929,tblScheduleData[OperationalDate],$C929,tblScheduleData[ShiftStart],$D929,tblScheduleData[ShiftEnd],$E929,tblScheduleData[ActivityCode],$F929)&gt;1,"Duplicate","Valid")))))</f>
        <v/>
      </c>
      <c r="K929" s="2" t="n"/>
    </row>
    <row r="930">
      <c r="A930" s="2" t="inlineStr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>
        <f>IF(COUNTA($A930:$F930)=0,"",IF($C930="","MissingDate",IF(OR($A930="",$D930="",$E930="",$D930=$E930),"InvalidSchedule",IF(COUNTIF(ActiveActivityCodes,$F930)=0,"InvalidCode",IF(COUNTIFS(tblScheduleData[EmployeeID],$A930,tblScheduleData[OperationalDate],$C930,tblScheduleData[ShiftStart],$D930,tblScheduleData[ShiftEnd],$E930,tblScheduleData[ActivityCode],$F930)&gt;1,"Duplicate","Valid")))))</f>
        <v/>
      </c>
      <c r="K930" s="2" t="n"/>
    </row>
    <row r="931">
      <c r="A931" s="2" t="inlineStr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>
        <f>IF(COUNTA($A931:$F931)=0,"",IF($C931="","MissingDate",IF(OR($A931="",$D931="",$E931="",$D931=$E931),"InvalidSchedule",IF(COUNTIF(ActiveActivityCodes,$F931)=0,"InvalidCode",IF(COUNTIFS(tblScheduleData[EmployeeID],$A931,tblScheduleData[OperationalDate],$C931,tblScheduleData[ShiftStart],$D931,tblScheduleData[ShiftEnd],$E931,tblScheduleData[ActivityCode],$F931)&gt;1,"Duplicate","Valid")))))</f>
        <v/>
      </c>
      <c r="K931" s="2" t="n"/>
    </row>
    <row r="932">
      <c r="A932" s="2" t="inlineStr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>
        <f>IF(COUNTA($A932:$F932)=0,"",IF($C932="","MissingDate",IF(OR($A932="",$D932="",$E932="",$D932=$E932),"InvalidSchedule",IF(COUNTIF(ActiveActivityCodes,$F932)=0,"InvalidCode",IF(COUNTIFS(tblScheduleData[EmployeeID],$A932,tblScheduleData[OperationalDate],$C932,tblScheduleData[ShiftStart],$D932,tblScheduleData[ShiftEnd],$E932,tblScheduleData[ActivityCode],$F932)&gt;1,"Duplicate","Valid")))))</f>
        <v/>
      </c>
      <c r="K932" s="2" t="n"/>
    </row>
    <row r="933">
      <c r="A933" s="2" t="inlineStr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>
        <f>IF(COUNTA($A933:$F933)=0,"",IF($C933="","MissingDate",IF(OR($A933="",$D933="",$E933="",$D933=$E933),"InvalidSchedule",IF(COUNTIF(ActiveActivityCodes,$F933)=0,"InvalidCode",IF(COUNTIFS(tblScheduleData[EmployeeID],$A933,tblScheduleData[OperationalDate],$C933,tblScheduleData[ShiftStart],$D933,tblScheduleData[ShiftEnd],$E933,tblScheduleData[ActivityCode],$F933)&gt;1,"Duplicate","Valid")))))</f>
        <v/>
      </c>
      <c r="K933" s="2" t="n"/>
    </row>
    <row r="934">
      <c r="A934" s="2" t="inlineStr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>
        <f>IF(COUNTA($A934:$F934)=0,"",IF($C934="","MissingDate",IF(OR($A934="",$D934="",$E934="",$D934=$E934),"InvalidSchedule",IF(COUNTIF(ActiveActivityCodes,$F934)=0,"InvalidCode",IF(COUNTIFS(tblScheduleData[EmployeeID],$A934,tblScheduleData[OperationalDate],$C934,tblScheduleData[ShiftStart],$D934,tblScheduleData[ShiftEnd],$E934,tblScheduleData[ActivityCode],$F934)&gt;1,"Duplicate","Valid")))))</f>
        <v/>
      </c>
      <c r="K934" s="2" t="n"/>
    </row>
    <row r="935">
      <c r="A935" s="2" t="inlineStr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>
        <f>IF(COUNTA($A935:$F935)=0,"",IF($C935="","MissingDate",IF(OR($A935="",$D935="",$E935="",$D935=$E935),"InvalidSchedule",IF(COUNTIF(ActiveActivityCodes,$F935)=0,"InvalidCode",IF(COUNTIFS(tblScheduleData[EmployeeID],$A935,tblScheduleData[OperationalDate],$C935,tblScheduleData[ShiftStart],$D935,tblScheduleData[ShiftEnd],$E935,tblScheduleData[ActivityCode],$F935)&gt;1,"Duplicate","Valid")))))</f>
        <v/>
      </c>
      <c r="K935" s="2" t="n"/>
    </row>
    <row r="936">
      <c r="A936" s="2" t="inlineStr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>
        <f>IF(COUNTA($A936:$F936)=0,"",IF($C936="","MissingDate",IF(OR($A936="",$D936="",$E936="",$D936=$E936),"InvalidSchedule",IF(COUNTIF(ActiveActivityCodes,$F936)=0,"InvalidCode",IF(COUNTIFS(tblScheduleData[EmployeeID],$A936,tblScheduleData[OperationalDate],$C936,tblScheduleData[ShiftStart],$D936,tblScheduleData[ShiftEnd],$E936,tblScheduleData[ActivityCode],$F936)&gt;1,"Duplicate","Valid")))))</f>
        <v/>
      </c>
      <c r="K936" s="2" t="n"/>
    </row>
    <row r="937">
      <c r="A937" s="2" t="inlineStr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>
        <f>IF(COUNTA($A937:$F937)=0,"",IF($C937="","MissingDate",IF(OR($A937="",$D937="",$E937="",$D937=$E937),"InvalidSchedule",IF(COUNTIF(ActiveActivityCodes,$F937)=0,"InvalidCode",IF(COUNTIFS(tblScheduleData[EmployeeID],$A937,tblScheduleData[OperationalDate],$C937,tblScheduleData[ShiftStart],$D937,tblScheduleData[ShiftEnd],$E937,tblScheduleData[ActivityCode],$F937)&gt;1,"Duplicate","Valid")))))</f>
        <v/>
      </c>
      <c r="K937" s="2" t="n"/>
    </row>
    <row r="938">
      <c r="A938" s="2" t="inlineStr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>
        <f>IF(COUNTA($A938:$F938)=0,"",IF($C938="","MissingDate",IF(OR($A938="",$D938="",$E938="",$D938=$E938),"InvalidSchedule",IF(COUNTIF(ActiveActivityCodes,$F938)=0,"InvalidCode",IF(COUNTIFS(tblScheduleData[EmployeeID],$A938,tblScheduleData[OperationalDate],$C938,tblScheduleData[ShiftStart],$D938,tblScheduleData[ShiftEnd],$E938,tblScheduleData[ActivityCode],$F938)&gt;1,"Duplicate","Valid")))))</f>
        <v/>
      </c>
      <c r="K938" s="2" t="n"/>
    </row>
    <row r="939">
      <c r="A939" s="2" t="inlineStr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>
        <f>IF(COUNTA($A939:$F939)=0,"",IF($C939="","MissingDate",IF(OR($A939="",$D939="",$E939="",$D939=$E939),"InvalidSchedule",IF(COUNTIF(ActiveActivityCodes,$F939)=0,"InvalidCode",IF(COUNTIFS(tblScheduleData[EmployeeID],$A939,tblScheduleData[OperationalDate],$C939,tblScheduleData[ShiftStart],$D939,tblScheduleData[ShiftEnd],$E939,tblScheduleData[ActivityCode],$F939)&gt;1,"Duplicate","Valid")))))</f>
        <v/>
      </c>
      <c r="K939" s="2" t="n"/>
    </row>
    <row r="940">
      <c r="A940" s="2" t="inlineStr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>
        <f>IF(COUNTA($A940:$F940)=0,"",IF($C940="","MissingDate",IF(OR($A940="",$D940="",$E940="",$D940=$E940),"InvalidSchedule",IF(COUNTIF(ActiveActivityCodes,$F940)=0,"InvalidCode",IF(COUNTIFS(tblScheduleData[EmployeeID],$A940,tblScheduleData[OperationalDate],$C940,tblScheduleData[ShiftStart],$D940,tblScheduleData[ShiftEnd],$E940,tblScheduleData[ActivityCode],$F940)&gt;1,"Duplicate","Valid")))))</f>
        <v/>
      </c>
      <c r="K940" s="2" t="n"/>
    </row>
    <row r="941">
      <c r="A941" s="2" t="inlineStr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>
        <f>IF(COUNTA($A941:$F941)=0,"",IF($C941="","MissingDate",IF(OR($A941="",$D941="",$E941="",$D941=$E941),"InvalidSchedule",IF(COUNTIF(ActiveActivityCodes,$F941)=0,"InvalidCode",IF(COUNTIFS(tblScheduleData[EmployeeID],$A941,tblScheduleData[OperationalDate],$C941,tblScheduleData[ShiftStart],$D941,tblScheduleData[ShiftEnd],$E941,tblScheduleData[ActivityCode],$F941)&gt;1,"Duplicate","Valid")))))</f>
        <v/>
      </c>
      <c r="K941" s="2" t="n"/>
    </row>
    <row r="942">
      <c r="A942" s="2" t="inlineStr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>
        <f>IF(COUNTA($A942:$F942)=0,"",IF($C942="","MissingDate",IF(OR($A942="",$D942="",$E942="",$D942=$E942),"InvalidSchedule",IF(COUNTIF(ActiveActivityCodes,$F942)=0,"InvalidCode",IF(COUNTIFS(tblScheduleData[EmployeeID],$A942,tblScheduleData[OperationalDate],$C942,tblScheduleData[ShiftStart],$D942,tblScheduleData[ShiftEnd],$E942,tblScheduleData[ActivityCode],$F942)&gt;1,"Duplicate","Valid")))))</f>
        <v/>
      </c>
      <c r="K942" s="2" t="n"/>
    </row>
    <row r="943">
      <c r="A943" s="2" t="inlineStr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>
        <f>IF(COUNTA($A943:$F943)=0,"",IF($C943="","MissingDate",IF(OR($A943="",$D943="",$E943="",$D943=$E943),"InvalidSchedule",IF(COUNTIF(ActiveActivityCodes,$F943)=0,"InvalidCode",IF(COUNTIFS(tblScheduleData[EmployeeID],$A943,tblScheduleData[OperationalDate],$C943,tblScheduleData[ShiftStart],$D943,tblScheduleData[ShiftEnd],$E943,tblScheduleData[ActivityCode],$F943)&gt;1,"Duplicate","Valid")))))</f>
        <v/>
      </c>
      <c r="K943" s="2" t="n"/>
    </row>
    <row r="944">
      <c r="A944" s="2" t="inlineStr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>
        <f>IF(COUNTA($A944:$F944)=0,"",IF($C944="","MissingDate",IF(OR($A944="",$D944="",$E944="",$D944=$E944),"InvalidSchedule",IF(COUNTIF(ActiveActivityCodes,$F944)=0,"InvalidCode",IF(COUNTIFS(tblScheduleData[EmployeeID],$A944,tblScheduleData[OperationalDate],$C944,tblScheduleData[ShiftStart],$D944,tblScheduleData[ShiftEnd],$E944,tblScheduleData[ActivityCode],$F944)&gt;1,"Duplicate","Valid")))))</f>
        <v/>
      </c>
      <c r="K944" s="2" t="n"/>
    </row>
    <row r="945">
      <c r="A945" s="2" t="inlineStr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>
        <f>IF(COUNTA($A945:$F945)=0,"",IF($C945="","MissingDate",IF(OR($A945="",$D945="",$E945="",$D945=$E945),"InvalidSchedule",IF(COUNTIF(ActiveActivityCodes,$F945)=0,"InvalidCode",IF(COUNTIFS(tblScheduleData[EmployeeID],$A945,tblScheduleData[OperationalDate],$C945,tblScheduleData[ShiftStart],$D945,tblScheduleData[ShiftEnd],$E945,tblScheduleData[ActivityCode],$F945)&gt;1,"Duplicate","Valid")))))</f>
        <v/>
      </c>
      <c r="K945" s="2" t="n"/>
    </row>
    <row r="946">
      <c r="A946" s="2" t="inlineStr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>
        <f>IF(COUNTA($A946:$F946)=0,"",IF($C946="","MissingDate",IF(OR($A946="",$D946="",$E946="",$D946=$E946),"InvalidSchedule",IF(COUNTIF(ActiveActivityCodes,$F946)=0,"InvalidCode",IF(COUNTIFS(tblScheduleData[EmployeeID],$A946,tblScheduleData[OperationalDate],$C946,tblScheduleData[ShiftStart],$D946,tblScheduleData[ShiftEnd],$E946,tblScheduleData[ActivityCode],$F946)&gt;1,"Duplicate","Valid")))))</f>
        <v/>
      </c>
      <c r="K946" s="2" t="n"/>
    </row>
    <row r="947">
      <c r="A947" s="2" t="inlineStr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>
        <f>IF(COUNTA($A947:$F947)=0,"",IF($C947="","MissingDate",IF(OR($A947="",$D947="",$E947="",$D947=$E947),"InvalidSchedule",IF(COUNTIF(ActiveActivityCodes,$F947)=0,"InvalidCode",IF(COUNTIFS(tblScheduleData[EmployeeID],$A947,tblScheduleData[OperationalDate],$C947,tblScheduleData[ShiftStart],$D947,tblScheduleData[ShiftEnd],$E947,tblScheduleData[ActivityCode],$F947)&gt;1,"Duplicate","Valid")))))</f>
        <v/>
      </c>
      <c r="K947" s="2" t="n"/>
    </row>
    <row r="948">
      <c r="A948" s="2" t="inlineStr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>
        <f>IF(COUNTA($A948:$F948)=0,"",IF($C948="","MissingDate",IF(OR($A948="",$D948="",$E948="",$D948=$E948),"InvalidSchedule",IF(COUNTIF(ActiveActivityCodes,$F948)=0,"InvalidCode",IF(COUNTIFS(tblScheduleData[EmployeeID],$A948,tblScheduleData[OperationalDate],$C948,tblScheduleData[ShiftStart],$D948,tblScheduleData[ShiftEnd],$E948,tblScheduleData[ActivityCode],$F948)&gt;1,"Duplicate","Valid")))))</f>
        <v/>
      </c>
      <c r="K948" s="2" t="n"/>
    </row>
    <row r="949">
      <c r="A949" s="2" t="inlineStr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>
        <f>IF(COUNTA($A949:$F949)=0,"",IF($C949="","MissingDate",IF(OR($A949="",$D949="",$E949="",$D949=$E949),"InvalidSchedule",IF(COUNTIF(ActiveActivityCodes,$F949)=0,"InvalidCode",IF(COUNTIFS(tblScheduleData[EmployeeID],$A949,tblScheduleData[OperationalDate],$C949,tblScheduleData[ShiftStart],$D949,tblScheduleData[ShiftEnd],$E949,tblScheduleData[ActivityCode],$F949)&gt;1,"Duplicate","Valid")))))</f>
        <v/>
      </c>
      <c r="K949" s="2" t="n"/>
    </row>
    <row r="950">
      <c r="A950" s="2" t="inlineStr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>
        <f>IF(COUNTA($A950:$F950)=0,"",IF($C950="","MissingDate",IF(OR($A950="",$D950="",$E950="",$D950=$E950),"InvalidSchedule",IF(COUNTIF(ActiveActivityCodes,$F950)=0,"InvalidCode",IF(COUNTIFS(tblScheduleData[EmployeeID],$A950,tblScheduleData[OperationalDate],$C950,tblScheduleData[ShiftStart],$D950,tblScheduleData[ShiftEnd],$E950,tblScheduleData[ActivityCode],$F950)&gt;1,"Duplicate","Valid")))))</f>
        <v/>
      </c>
      <c r="K950" s="2" t="n"/>
    </row>
    <row r="951">
      <c r="A951" s="2" t="inlineStr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>
        <f>IF(COUNTA($A951:$F951)=0,"",IF($C951="","MissingDate",IF(OR($A951="",$D951="",$E951="",$D951=$E951),"InvalidSchedule",IF(COUNTIF(ActiveActivityCodes,$F951)=0,"InvalidCode",IF(COUNTIFS(tblScheduleData[EmployeeID],$A951,tblScheduleData[OperationalDate],$C951,tblScheduleData[ShiftStart],$D951,tblScheduleData[ShiftEnd],$E951,tblScheduleData[ActivityCode],$F951)&gt;1,"Duplicate","Valid")))))</f>
        <v/>
      </c>
      <c r="K951" s="2" t="n"/>
    </row>
    <row r="952">
      <c r="A952" s="2" t="inlineStr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>
        <f>IF(COUNTA($A952:$F952)=0,"",IF($C952="","MissingDate",IF(OR($A952="",$D952="",$E952="",$D952=$E952),"InvalidSchedule",IF(COUNTIF(ActiveActivityCodes,$F952)=0,"InvalidCode",IF(COUNTIFS(tblScheduleData[EmployeeID],$A952,tblScheduleData[OperationalDate],$C952,tblScheduleData[ShiftStart],$D952,tblScheduleData[ShiftEnd],$E952,tblScheduleData[ActivityCode],$F952)&gt;1,"Duplicate","Valid")))))</f>
        <v/>
      </c>
      <c r="K952" s="2" t="n"/>
    </row>
    <row r="953">
      <c r="A953" s="2" t="inlineStr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>
        <f>IF(COUNTA($A953:$F953)=0,"",IF($C953="","MissingDate",IF(OR($A953="",$D953="",$E953="",$D953=$E953),"InvalidSchedule",IF(COUNTIF(ActiveActivityCodes,$F953)=0,"InvalidCode",IF(COUNTIFS(tblScheduleData[EmployeeID],$A953,tblScheduleData[OperationalDate],$C953,tblScheduleData[ShiftStart],$D953,tblScheduleData[ShiftEnd],$E953,tblScheduleData[ActivityCode],$F953)&gt;1,"Duplicate","Valid")))))</f>
        <v/>
      </c>
      <c r="K953" s="2" t="n"/>
    </row>
    <row r="954">
      <c r="A954" s="2" t="inlineStr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>
        <f>IF(COUNTA($A954:$F954)=0,"",IF($C954="","MissingDate",IF(OR($A954="",$D954="",$E954="",$D954=$E954),"InvalidSchedule",IF(COUNTIF(ActiveActivityCodes,$F954)=0,"InvalidCode",IF(COUNTIFS(tblScheduleData[EmployeeID],$A954,tblScheduleData[OperationalDate],$C954,tblScheduleData[ShiftStart],$D954,tblScheduleData[ShiftEnd],$E954,tblScheduleData[ActivityCode],$F954)&gt;1,"Duplicate","Valid")))))</f>
        <v/>
      </c>
      <c r="K954" s="2" t="n"/>
    </row>
    <row r="955">
      <c r="A955" s="2" t="inlineStr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>
        <f>IF(COUNTA($A955:$F955)=0,"",IF($C955="","MissingDate",IF(OR($A955="",$D955="",$E955="",$D955=$E955),"InvalidSchedule",IF(COUNTIF(ActiveActivityCodes,$F955)=0,"InvalidCode",IF(COUNTIFS(tblScheduleData[EmployeeID],$A955,tblScheduleData[OperationalDate],$C955,tblScheduleData[ShiftStart],$D955,tblScheduleData[ShiftEnd],$E955,tblScheduleData[ActivityCode],$F955)&gt;1,"Duplicate","Valid")))))</f>
        <v/>
      </c>
      <c r="K955" s="2" t="n"/>
    </row>
    <row r="956">
      <c r="A956" s="2" t="inlineStr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>
        <f>IF(COUNTA($A956:$F956)=0,"",IF($C956="","MissingDate",IF(OR($A956="",$D956="",$E956="",$D956=$E956),"InvalidSchedule",IF(COUNTIF(ActiveActivityCodes,$F956)=0,"InvalidCode",IF(COUNTIFS(tblScheduleData[EmployeeID],$A956,tblScheduleData[OperationalDate],$C956,tblScheduleData[ShiftStart],$D956,tblScheduleData[ShiftEnd],$E956,tblScheduleData[ActivityCode],$F956)&gt;1,"Duplicate","Valid")))))</f>
        <v/>
      </c>
      <c r="K956" s="2" t="n"/>
    </row>
    <row r="957">
      <c r="A957" s="2" t="inlineStr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>
        <f>IF(COUNTA($A957:$F957)=0,"",IF($C957="","MissingDate",IF(OR($A957="",$D957="",$E957="",$D957=$E957),"InvalidSchedule",IF(COUNTIF(ActiveActivityCodes,$F957)=0,"InvalidCode",IF(COUNTIFS(tblScheduleData[EmployeeID],$A957,tblScheduleData[OperationalDate],$C957,tblScheduleData[ShiftStart],$D957,tblScheduleData[ShiftEnd],$E957,tblScheduleData[ActivityCode],$F957)&gt;1,"Duplicate","Valid")))))</f>
        <v/>
      </c>
      <c r="K957" s="2" t="n"/>
    </row>
    <row r="958">
      <c r="A958" s="2" t="inlineStr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>
        <f>IF(COUNTA($A958:$F958)=0,"",IF($C958="","MissingDate",IF(OR($A958="",$D958="",$E958="",$D958=$E958),"InvalidSchedule",IF(COUNTIF(ActiveActivityCodes,$F958)=0,"InvalidCode",IF(COUNTIFS(tblScheduleData[EmployeeID],$A958,tblScheduleData[OperationalDate],$C958,tblScheduleData[ShiftStart],$D958,tblScheduleData[ShiftEnd],$E958,tblScheduleData[ActivityCode],$F958)&gt;1,"Duplicate","Valid")))))</f>
        <v/>
      </c>
      <c r="K958" s="2" t="n"/>
    </row>
    <row r="959">
      <c r="A959" s="2" t="inlineStr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>
        <f>IF(COUNTA($A959:$F959)=0,"",IF($C959="","MissingDate",IF(OR($A959="",$D959="",$E959="",$D959=$E959),"InvalidSchedule",IF(COUNTIF(ActiveActivityCodes,$F959)=0,"InvalidCode",IF(COUNTIFS(tblScheduleData[EmployeeID],$A959,tblScheduleData[OperationalDate],$C959,tblScheduleData[ShiftStart],$D959,tblScheduleData[ShiftEnd],$E959,tblScheduleData[ActivityCode],$F959)&gt;1,"Duplicate","Valid")))))</f>
        <v/>
      </c>
      <c r="K959" s="2" t="n"/>
    </row>
    <row r="960">
      <c r="A960" s="2" t="inlineStr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>
        <f>IF(COUNTA($A960:$F960)=0,"",IF($C960="","MissingDate",IF(OR($A960="",$D960="",$E960="",$D960=$E960),"InvalidSchedule",IF(COUNTIF(ActiveActivityCodes,$F960)=0,"InvalidCode",IF(COUNTIFS(tblScheduleData[EmployeeID],$A960,tblScheduleData[OperationalDate],$C960,tblScheduleData[ShiftStart],$D960,tblScheduleData[ShiftEnd],$E960,tblScheduleData[ActivityCode],$F960)&gt;1,"Duplicate","Valid")))))</f>
        <v/>
      </c>
      <c r="K960" s="2" t="n"/>
    </row>
    <row r="961">
      <c r="A961" s="2" t="inlineStr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>
        <f>IF(COUNTA($A961:$F961)=0,"",IF($C961="","MissingDate",IF(OR($A961="",$D961="",$E961="",$D961=$E961),"InvalidSchedule",IF(COUNTIF(ActiveActivityCodes,$F961)=0,"InvalidCode",IF(COUNTIFS(tblScheduleData[EmployeeID],$A961,tblScheduleData[OperationalDate],$C961,tblScheduleData[ShiftStart],$D961,tblScheduleData[ShiftEnd],$E961,tblScheduleData[ActivityCode],$F961)&gt;1,"Duplicate","Valid")))))</f>
        <v/>
      </c>
      <c r="K961" s="2" t="n"/>
    </row>
    <row r="962">
      <c r="A962" s="2" t="inlineStr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>
        <f>IF(COUNTA($A962:$F962)=0,"",IF($C962="","MissingDate",IF(OR($A962="",$D962="",$E962="",$D962=$E962),"InvalidSchedule",IF(COUNTIF(ActiveActivityCodes,$F962)=0,"InvalidCode",IF(COUNTIFS(tblScheduleData[EmployeeID],$A962,tblScheduleData[OperationalDate],$C962,tblScheduleData[ShiftStart],$D962,tblScheduleData[ShiftEnd],$E962,tblScheduleData[ActivityCode],$F962)&gt;1,"Duplicate","Valid")))))</f>
        <v/>
      </c>
      <c r="K962" s="2" t="n"/>
    </row>
    <row r="963">
      <c r="A963" s="2" t="inlineStr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>
        <f>IF(COUNTA($A963:$F963)=0,"",IF($C963="","MissingDate",IF(OR($A963="",$D963="",$E963="",$D963=$E963),"InvalidSchedule",IF(COUNTIF(ActiveActivityCodes,$F963)=0,"InvalidCode",IF(COUNTIFS(tblScheduleData[EmployeeID],$A963,tblScheduleData[OperationalDate],$C963,tblScheduleData[ShiftStart],$D963,tblScheduleData[ShiftEnd],$E963,tblScheduleData[ActivityCode],$F963)&gt;1,"Duplicate","Valid")))))</f>
        <v/>
      </c>
      <c r="K963" s="2" t="n"/>
    </row>
    <row r="964">
      <c r="A964" s="2" t="inlineStr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>
        <f>IF(COUNTA($A964:$F964)=0,"",IF($C964="","MissingDate",IF(OR($A964="",$D964="",$E964="",$D964=$E964),"InvalidSchedule",IF(COUNTIF(ActiveActivityCodes,$F964)=0,"InvalidCode",IF(COUNTIFS(tblScheduleData[EmployeeID],$A964,tblScheduleData[OperationalDate],$C964,tblScheduleData[ShiftStart],$D964,tblScheduleData[ShiftEnd],$E964,tblScheduleData[ActivityCode],$F964)&gt;1,"Duplicate","Valid")))))</f>
        <v/>
      </c>
      <c r="K964" s="2" t="n"/>
    </row>
    <row r="965">
      <c r="A965" s="2" t="inlineStr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>
        <f>IF(COUNTA($A965:$F965)=0,"",IF($C965="","MissingDate",IF(OR($A965="",$D965="",$E965="",$D965=$E965),"InvalidSchedule",IF(COUNTIF(ActiveActivityCodes,$F965)=0,"InvalidCode",IF(COUNTIFS(tblScheduleData[EmployeeID],$A965,tblScheduleData[OperationalDate],$C965,tblScheduleData[ShiftStart],$D965,tblScheduleData[ShiftEnd],$E965,tblScheduleData[ActivityCode],$F965)&gt;1,"Duplicate","Valid")))))</f>
        <v/>
      </c>
      <c r="K965" s="2" t="n"/>
    </row>
    <row r="966">
      <c r="A966" s="2" t="inlineStr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>
        <f>IF(COUNTA($A966:$F966)=0,"",IF($C966="","MissingDate",IF(OR($A966="",$D966="",$E966="",$D966=$E966),"InvalidSchedule",IF(COUNTIF(ActiveActivityCodes,$F966)=0,"InvalidCode",IF(COUNTIFS(tblScheduleData[EmployeeID],$A966,tblScheduleData[OperationalDate],$C966,tblScheduleData[ShiftStart],$D966,tblScheduleData[ShiftEnd],$E966,tblScheduleData[ActivityCode],$F966)&gt;1,"Duplicate","Valid")))))</f>
        <v/>
      </c>
      <c r="K966" s="2" t="n"/>
    </row>
    <row r="967">
      <c r="A967" s="2" t="inlineStr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>
        <f>IF(COUNTA($A967:$F967)=0,"",IF($C967="","MissingDate",IF(OR($A967="",$D967="",$E967="",$D967=$E967),"InvalidSchedule",IF(COUNTIF(ActiveActivityCodes,$F967)=0,"InvalidCode",IF(COUNTIFS(tblScheduleData[EmployeeID],$A967,tblScheduleData[OperationalDate],$C967,tblScheduleData[ShiftStart],$D967,tblScheduleData[ShiftEnd],$E967,tblScheduleData[ActivityCode],$F967)&gt;1,"Duplicate","Valid")))))</f>
        <v/>
      </c>
      <c r="K967" s="2" t="n"/>
    </row>
    <row r="968">
      <c r="A968" s="2" t="inlineStr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>
        <f>IF(COUNTA($A968:$F968)=0,"",IF($C968="","MissingDate",IF(OR($A968="",$D968="",$E968="",$D968=$E968),"InvalidSchedule",IF(COUNTIF(ActiveActivityCodes,$F968)=0,"InvalidCode",IF(COUNTIFS(tblScheduleData[EmployeeID],$A968,tblScheduleData[OperationalDate],$C968,tblScheduleData[ShiftStart],$D968,tblScheduleData[ShiftEnd],$E968,tblScheduleData[ActivityCode],$F968)&gt;1,"Duplicate","Valid")))))</f>
        <v/>
      </c>
      <c r="K968" s="2" t="n"/>
    </row>
    <row r="969">
      <c r="A969" s="2" t="inlineStr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>
        <f>IF(COUNTA($A969:$F969)=0,"",IF($C969="","MissingDate",IF(OR($A969="",$D969="",$E969="",$D969=$E969),"InvalidSchedule",IF(COUNTIF(ActiveActivityCodes,$F969)=0,"InvalidCode",IF(COUNTIFS(tblScheduleData[EmployeeID],$A969,tblScheduleData[OperationalDate],$C969,tblScheduleData[ShiftStart],$D969,tblScheduleData[ShiftEnd],$E969,tblScheduleData[ActivityCode],$F969)&gt;1,"Duplicate","Valid")))))</f>
        <v/>
      </c>
      <c r="K969" s="2" t="n"/>
    </row>
    <row r="970">
      <c r="A970" s="2" t="inlineStr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>
        <f>IF(COUNTA($A970:$F970)=0,"",IF($C970="","MissingDate",IF(OR($A970="",$D970="",$E970="",$D970=$E970),"InvalidSchedule",IF(COUNTIF(ActiveActivityCodes,$F970)=0,"InvalidCode",IF(COUNTIFS(tblScheduleData[EmployeeID],$A970,tblScheduleData[OperationalDate],$C970,tblScheduleData[ShiftStart],$D970,tblScheduleData[ShiftEnd],$E970,tblScheduleData[ActivityCode],$F970)&gt;1,"Duplicate","Valid")))))</f>
        <v/>
      </c>
      <c r="K970" s="2" t="n"/>
    </row>
    <row r="971">
      <c r="A971" s="2" t="inlineStr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>
        <f>IF(COUNTA($A971:$F971)=0,"",IF($C971="","MissingDate",IF(OR($A971="",$D971="",$E971="",$D971=$E971),"InvalidSchedule",IF(COUNTIF(ActiveActivityCodes,$F971)=0,"InvalidCode",IF(COUNTIFS(tblScheduleData[EmployeeID],$A971,tblScheduleData[OperationalDate],$C971,tblScheduleData[ShiftStart],$D971,tblScheduleData[ShiftEnd],$E971,tblScheduleData[ActivityCode],$F971)&gt;1,"Duplicate","Valid")))))</f>
        <v/>
      </c>
      <c r="K971" s="2" t="n"/>
    </row>
    <row r="972">
      <c r="A972" s="2" t="inlineStr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>
        <f>IF(COUNTA($A972:$F972)=0,"",IF($C972="","MissingDate",IF(OR($A972="",$D972="",$E972="",$D972=$E972),"InvalidSchedule",IF(COUNTIF(ActiveActivityCodes,$F972)=0,"InvalidCode",IF(COUNTIFS(tblScheduleData[EmployeeID],$A972,tblScheduleData[OperationalDate],$C972,tblScheduleData[ShiftStart],$D972,tblScheduleData[ShiftEnd],$E972,tblScheduleData[ActivityCode],$F972)&gt;1,"Duplicate","Valid")))))</f>
        <v/>
      </c>
      <c r="K972" s="2" t="n"/>
    </row>
    <row r="973">
      <c r="A973" s="2" t="inlineStr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>
        <f>IF(COUNTA($A973:$F973)=0,"",IF($C973="","MissingDate",IF(OR($A973="",$D973="",$E973="",$D973=$E973),"InvalidSchedule",IF(COUNTIF(ActiveActivityCodes,$F973)=0,"InvalidCode",IF(COUNTIFS(tblScheduleData[EmployeeID],$A973,tblScheduleData[OperationalDate],$C973,tblScheduleData[ShiftStart],$D973,tblScheduleData[ShiftEnd],$E973,tblScheduleData[ActivityCode],$F973)&gt;1,"Duplicate","Valid")))))</f>
        <v/>
      </c>
      <c r="K973" s="2" t="n"/>
    </row>
    <row r="974">
      <c r="A974" s="2" t="inlineStr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>
        <f>IF(COUNTA($A974:$F974)=0,"",IF($C974="","MissingDate",IF(OR($A974="",$D974="",$E974="",$D974=$E974),"InvalidSchedule",IF(COUNTIF(ActiveActivityCodes,$F974)=0,"InvalidCode",IF(COUNTIFS(tblScheduleData[EmployeeID],$A974,tblScheduleData[OperationalDate],$C974,tblScheduleData[ShiftStart],$D974,tblScheduleData[ShiftEnd],$E974,tblScheduleData[ActivityCode],$F974)&gt;1,"Duplicate","Valid")))))</f>
        <v/>
      </c>
      <c r="K974" s="2" t="n"/>
    </row>
    <row r="975">
      <c r="A975" s="2" t="inlineStr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>
        <f>IF(COUNTA($A975:$F975)=0,"",IF($C975="","MissingDate",IF(OR($A975="",$D975="",$E975="",$D975=$E975),"InvalidSchedule",IF(COUNTIF(ActiveActivityCodes,$F975)=0,"InvalidCode",IF(COUNTIFS(tblScheduleData[EmployeeID],$A975,tblScheduleData[OperationalDate],$C975,tblScheduleData[ShiftStart],$D975,tblScheduleData[ShiftEnd],$E975,tblScheduleData[ActivityCode],$F975)&gt;1,"Duplicate","Valid")))))</f>
        <v/>
      </c>
      <c r="K975" s="2" t="n"/>
    </row>
    <row r="976">
      <c r="A976" s="2" t="inlineStr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>
        <f>IF(COUNTA($A976:$F976)=0,"",IF($C976="","MissingDate",IF(OR($A976="",$D976="",$E976="",$D976=$E976),"InvalidSchedule",IF(COUNTIF(ActiveActivityCodes,$F976)=0,"InvalidCode",IF(COUNTIFS(tblScheduleData[EmployeeID],$A976,tblScheduleData[OperationalDate],$C976,tblScheduleData[ShiftStart],$D976,tblScheduleData[ShiftEnd],$E976,tblScheduleData[ActivityCode],$F976)&gt;1,"Duplicate","Valid")))))</f>
        <v/>
      </c>
      <c r="K976" s="2" t="n"/>
    </row>
    <row r="977">
      <c r="A977" s="2" t="inlineStr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>
        <f>IF(COUNTA($A977:$F977)=0,"",IF($C977="","MissingDate",IF(OR($A977="",$D977="",$E977="",$D977=$E977),"InvalidSchedule",IF(COUNTIF(ActiveActivityCodes,$F977)=0,"InvalidCode",IF(COUNTIFS(tblScheduleData[EmployeeID],$A977,tblScheduleData[OperationalDate],$C977,tblScheduleData[ShiftStart],$D977,tblScheduleData[ShiftEnd],$E977,tblScheduleData[ActivityCode],$F977)&gt;1,"Duplicate","Valid")))))</f>
        <v/>
      </c>
      <c r="K977" s="2" t="n"/>
    </row>
    <row r="978">
      <c r="A978" s="2" t="inlineStr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>
        <f>IF(COUNTA($A978:$F978)=0,"",IF($C978="","MissingDate",IF(OR($A978="",$D978="",$E978="",$D978=$E978),"InvalidSchedule",IF(COUNTIF(ActiveActivityCodes,$F978)=0,"InvalidCode",IF(COUNTIFS(tblScheduleData[EmployeeID],$A978,tblScheduleData[OperationalDate],$C978,tblScheduleData[ShiftStart],$D978,tblScheduleData[ShiftEnd],$E978,tblScheduleData[ActivityCode],$F978)&gt;1,"Duplicate","Valid")))))</f>
        <v/>
      </c>
      <c r="K978" s="2" t="n"/>
    </row>
    <row r="979">
      <c r="A979" s="2" t="inlineStr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>
        <f>IF(COUNTA($A979:$F979)=0,"",IF($C979="","MissingDate",IF(OR($A979="",$D979="",$E979="",$D979=$E979),"InvalidSchedule",IF(COUNTIF(ActiveActivityCodes,$F979)=0,"InvalidCode",IF(COUNTIFS(tblScheduleData[EmployeeID],$A979,tblScheduleData[OperationalDate],$C979,tblScheduleData[ShiftStart],$D979,tblScheduleData[ShiftEnd],$E979,tblScheduleData[ActivityCode],$F979)&gt;1,"Duplicate","Valid")))))</f>
        <v/>
      </c>
      <c r="K979" s="2" t="n"/>
    </row>
    <row r="980">
      <c r="A980" s="2" t="inlineStr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>
        <f>IF(COUNTA($A980:$F980)=0,"",IF($C980="","MissingDate",IF(OR($A980="",$D980="",$E980="",$D980=$E980),"InvalidSchedule",IF(COUNTIF(ActiveActivityCodes,$F980)=0,"InvalidCode",IF(COUNTIFS(tblScheduleData[EmployeeID],$A980,tblScheduleData[OperationalDate],$C980,tblScheduleData[ShiftStart],$D980,tblScheduleData[ShiftEnd],$E980,tblScheduleData[ActivityCode],$F980)&gt;1,"Duplicate","Valid")))))</f>
        <v/>
      </c>
      <c r="K980" s="2" t="n"/>
    </row>
    <row r="981">
      <c r="A981" s="2" t="inlineStr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>
        <f>IF(COUNTA($A981:$F981)=0,"",IF($C981="","MissingDate",IF(OR($A981="",$D981="",$E981="",$D981=$E981),"InvalidSchedule",IF(COUNTIF(ActiveActivityCodes,$F981)=0,"InvalidCode",IF(COUNTIFS(tblScheduleData[EmployeeID],$A981,tblScheduleData[OperationalDate],$C981,tblScheduleData[ShiftStart],$D981,tblScheduleData[ShiftEnd],$E981,tblScheduleData[ActivityCode],$F981)&gt;1,"Duplicate","Valid")))))</f>
        <v/>
      </c>
      <c r="K981" s="2" t="n"/>
    </row>
    <row r="982">
      <c r="A982" s="2" t="inlineStr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>
        <f>IF(COUNTA($A982:$F982)=0,"",IF($C982="","MissingDate",IF(OR($A982="",$D982="",$E982="",$D982=$E982),"InvalidSchedule",IF(COUNTIF(ActiveActivityCodes,$F982)=0,"InvalidCode",IF(COUNTIFS(tblScheduleData[EmployeeID],$A982,tblScheduleData[OperationalDate],$C982,tblScheduleData[ShiftStart],$D982,tblScheduleData[ShiftEnd],$E982,tblScheduleData[ActivityCode],$F982)&gt;1,"Duplicate","Valid")))))</f>
        <v/>
      </c>
      <c r="K982" s="2" t="n"/>
    </row>
    <row r="983">
      <c r="A983" s="2" t="inlineStr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>
        <f>IF(COUNTA($A983:$F983)=0,"",IF($C983="","MissingDate",IF(OR($A983="",$D983="",$E983="",$D983=$E983),"InvalidSchedule",IF(COUNTIF(ActiveActivityCodes,$F983)=0,"InvalidCode",IF(COUNTIFS(tblScheduleData[EmployeeID],$A983,tblScheduleData[OperationalDate],$C983,tblScheduleData[ShiftStart],$D983,tblScheduleData[ShiftEnd],$E983,tblScheduleData[ActivityCode],$F983)&gt;1,"Duplicate","Valid")))))</f>
        <v/>
      </c>
      <c r="K983" s="2" t="n"/>
    </row>
    <row r="984">
      <c r="A984" s="2" t="inlineStr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>
        <f>IF(COUNTA($A984:$F984)=0,"",IF($C984="","MissingDate",IF(OR($A984="",$D984="",$E984="",$D984=$E984),"InvalidSchedule",IF(COUNTIF(ActiveActivityCodes,$F984)=0,"InvalidCode",IF(COUNTIFS(tblScheduleData[EmployeeID],$A984,tblScheduleData[OperationalDate],$C984,tblScheduleData[ShiftStart],$D984,tblScheduleData[ShiftEnd],$E984,tblScheduleData[ActivityCode],$F984)&gt;1,"Duplicate","Valid")))))</f>
        <v/>
      </c>
      <c r="K984" s="2" t="n"/>
    </row>
    <row r="985">
      <c r="A985" s="2" t="inlineStr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>
        <f>IF(COUNTA($A985:$F985)=0,"",IF($C985="","MissingDate",IF(OR($A985="",$D985="",$E985="",$D985=$E985),"InvalidSchedule",IF(COUNTIF(ActiveActivityCodes,$F985)=0,"InvalidCode",IF(COUNTIFS(tblScheduleData[EmployeeID],$A985,tblScheduleData[OperationalDate],$C985,tblScheduleData[ShiftStart],$D985,tblScheduleData[ShiftEnd],$E985,tblScheduleData[ActivityCode],$F985)&gt;1,"Duplicate","Valid")))))</f>
        <v/>
      </c>
      <c r="K985" s="2" t="n"/>
    </row>
    <row r="986">
      <c r="A986" s="2" t="inlineStr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>
        <f>IF(COUNTA($A986:$F986)=0,"",IF($C986="","MissingDate",IF(OR($A986="",$D986="",$E986="",$D986=$E986),"InvalidSchedule",IF(COUNTIF(ActiveActivityCodes,$F986)=0,"InvalidCode",IF(COUNTIFS(tblScheduleData[EmployeeID],$A986,tblScheduleData[OperationalDate],$C986,tblScheduleData[ShiftStart],$D986,tblScheduleData[ShiftEnd],$E986,tblScheduleData[ActivityCode],$F986)&gt;1,"Duplicate","Valid")))))</f>
        <v/>
      </c>
      <c r="K986" s="2" t="n"/>
    </row>
    <row r="987">
      <c r="A987" s="2" t="inlineStr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>
        <f>IF(COUNTA($A987:$F987)=0,"",IF($C987="","MissingDate",IF(OR($A987="",$D987="",$E987="",$D987=$E987),"InvalidSchedule",IF(COUNTIF(ActiveActivityCodes,$F987)=0,"InvalidCode",IF(COUNTIFS(tblScheduleData[EmployeeID],$A987,tblScheduleData[OperationalDate],$C987,tblScheduleData[ShiftStart],$D987,tblScheduleData[ShiftEnd],$E987,tblScheduleData[ActivityCode],$F987)&gt;1,"Duplicate","Valid")))))</f>
        <v/>
      </c>
      <c r="K987" s="2" t="n"/>
    </row>
    <row r="988">
      <c r="A988" s="2" t="inlineStr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>
        <f>IF(COUNTA($A988:$F988)=0,"",IF($C988="","MissingDate",IF(OR($A988="",$D988="",$E988="",$D988=$E988),"InvalidSchedule",IF(COUNTIF(ActiveActivityCodes,$F988)=0,"InvalidCode",IF(COUNTIFS(tblScheduleData[EmployeeID],$A988,tblScheduleData[OperationalDate],$C988,tblScheduleData[ShiftStart],$D988,tblScheduleData[ShiftEnd],$E988,tblScheduleData[ActivityCode],$F988)&gt;1,"Duplicate","Valid")))))</f>
        <v/>
      </c>
      <c r="K988" s="2" t="n"/>
    </row>
    <row r="989">
      <c r="A989" s="2" t="inlineStr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>
        <f>IF(COUNTA($A989:$F989)=0,"",IF($C989="","MissingDate",IF(OR($A989="",$D989="",$E989="",$D989=$E989),"InvalidSchedule",IF(COUNTIF(ActiveActivityCodes,$F989)=0,"InvalidCode",IF(COUNTIFS(tblScheduleData[EmployeeID],$A989,tblScheduleData[OperationalDate],$C989,tblScheduleData[ShiftStart],$D989,tblScheduleData[ShiftEnd],$E989,tblScheduleData[ActivityCode],$F989)&gt;1,"Duplicate","Valid")))))</f>
        <v/>
      </c>
      <c r="K989" s="2" t="n"/>
    </row>
    <row r="990">
      <c r="A990" s="2" t="inlineStr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>
        <f>IF(COUNTA($A990:$F990)=0,"",IF($C990="","MissingDate",IF(OR($A990="",$D990="",$E990="",$D990=$E990),"InvalidSchedule",IF(COUNTIF(ActiveActivityCodes,$F990)=0,"InvalidCode",IF(COUNTIFS(tblScheduleData[EmployeeID],$A990,tblScheduleData[OperationalDate],$C990,tblScheduleData[ShiftStart],$D990,tblScheduleData[ShiftEnd],$E990,tblScheduleData[ActivityCode],$F990)&gt;1,"Duplicate","Valid")))))</f>
        <v/>
      </c>
      <c r="K990" s="2" t="n"/>
    </row>
    <row r="991">
      <c r="A991" s="2" t="inlineStr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>
        <f>IF(COUNTA($A991:$F991)=0,"",IF($C991="","MissingDate",IF(OR($A991="",$D991="",$E991="",$D991=$E991),"InvalidSchedule",IF(COUNTIF(ActiveActivityCodes,$F991)=0,"InvalidCode",IF(COUNTIFS(tblScheduleData[EmployeeID],$A991,tblScheduleData[OperationalDate],$C991,tblScheduleData[ShiftStart],$D991,tblScheduleData[ShiftEnd],$E991,tblScheduleData[ActivityCode],$F991)&gt;1,"Duplicate","Valid")))))</f>
        <v/>
      </c>
      <c r="K991" s="2" t="n"/>
    </row>
    <row r="992">
      <c r="A992" s="2" t="inlineStr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>
        <f>IF(COUNTA($A992:$F992)=0,"",IF($C992="","MissingDate",IF(OR($A992="",$D992="",$E992="",$D992=$E992),"InvalidSchedule",IF(COUNTIF(ActiveActivityCodes,$F992)=0,"InvalidCode",IF(COUNTIFS(tblScheduleData[EmployeeID],$A992,tblScheduleData[OperationalDate],$C992,tblScheduleData[ShiftStart],$D992,tblScheduleData[ShiftEnd],$E992,tblScheduleData[ActivityCode],$F992)&gt;1,"Duplicate","Valid")))))</f>
        <v/>
      </c>
      <c r="K992" s="2" t="n"/>
    </row>
    <row r="993">
      <c r="A993" s="2" t="inlineStr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>
        <f>IF(COUNTA($A993:$F993)=0,"",IF($C993="","MissingDate",IF(OR($A993="",$D993="",$E993="",$D993=$E993),"InvalidSchedule",IF(COUNTIF(ActiveActivityCodes,$F993)=0,"InvalidCode",IF(COUNTIFS(tblScheduleData[EmployeeID],$A993,tblScheduleData[OperationalDate],$C993,tblScheduleData[ShiftStart],$D993,tblScheduleData[ShiftEnd],$E993,tblScheduleData[ActivityCode],$F993)&gt;1,"Duplicate","Valid")))))</f>
        <v/>
      </c>
      <c r="K993" s="2" t="n"/>
    </row>
    <row r="994">
      <c r="A994" s="2" t="inlineStr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>
        <f>IF(COUNTA($A994:$F994)=0,"",IF($C994="","MissingDate",IF(OR($A994="",$D994="",$E994="",$D994=$E994),"InvalidSchedule",IF(COUNTIF(ActiveActivityCodes,$F994)=0,"InvalidCode",IF(COUNTIFS(tblScheduleData[EmployeeID],$A994,tblScheduleData[OperationalDate],$C994,tblScheduleData[ShiftStart],$D994,tblScheduleData[ShiftEnd],$E994,tblScheduleData[ActivityCode],$F994)&gt;1,"Duplicate","Valid")))))</f>
        <v/>
      </c>
      <c r="K994" s="2" t="n"/>
    </row>
    <row r="995">
      <c r="A995" s="2" t="inlineStr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>
        <f>IF(COUNTA($A995:$F995)=0,"",IF($C995="","MissingDate",IF(OR($A995="",$D995="",$E995="",$D995=$E995),"InvalidSchedule",IF(COUNTIF(ActiveActivityCodes,$F995)=0,"InvalidCode",IF(COUNTIFS(tblScheduleData[EmployeeID],$A995,tblScheduleData[OperationalDate],$C995,tblScheduleData[ShiftStart],$D995,tblScheduleData[ShiftEnd],$E995,tblScheduleData[ActivityCode],$F995)&gt;1,"Duplicate","Valid")))))</f>
        <v/>
      </c>
      <c r="K995" s="2" t="n"/>
    </row>
    <row r="996">
      <c r="A996" s="2" t="inlineStr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>
        <f>IF(COUNTA($A996:$F996)=0,"",IF($C996="","MissingDate",IF(OR($A996="",$D996="",$E996="",$D996=$E996),"InvalidSchedule",IF(COUNTIF(ActiveActivityCodes,$F996)=0,"InvalidCode",IF(COUNTIFS(tblScheduleData[EmployeeID],$A996,tblScheduleData[OperationalDate],$C996,tblScheduleData[ShiftStart],$D996,tblScheduleData[ShiftEnd],$E996,tblScheduleData[ActivityCode],$F996)&gt;1,"Duplicate","Valid")))))</f>
        <v/>
      </c>
      <c r="K996" s="2" t="n"/>
    </row>
    <row r="997">
      <c r="A997" s="2" t="inlineStr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>
        <f>IF(COUNTA($A997:$F997)=0,"",IF($C997="","MissingDate",IF(OR($A997="",$D997="",$E997="",$D997=$E997),"InvalidSchedule",IF(COUNTIF(ActiveActivityCodes,$F997)=0,"InvalidCode",IF(COUNTIFS(tblScheduleData[EmployeeID],$A997,tblScheduleData[OperationalDate],$C997,tblScheduleData[ShiftStart],$D997,tblScheduleData[ShiftEnd],$E997,tblScheduleData[ActivityCode],$F997)&gt;1,"Duplicate","Valid")))))</f>
        <v/>
      </c>
      <c r="K997" s="2" t="n"/>
    </row>
    <row r="998">
      <c r="A998" s="2" t="inlineStr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>
        <f>IF(COUNTA($A998:$F998)=0,"",IF($C998="","MissingDate",IF(OR($A998="",$D998="",$E998="",$D998=$E998),"InvalidSchedule",IF(COUNTIF(ActiveActivityCodes,$F998)=0,"InvalidCode",IF(COUNTIFS(tblScheduleData[EmployeeID],$A998,tblScheduleData[OperationalDate],$C998,tblScheduleData[ShiftStart],$D998,tblScheduleData[ShiftEnd],$E998,tblScheduleData[ActivityCode],$F998)&gt;1,"Duplicate","Valid")))))</f>
        <v/>
      </c>
      <c r="K998" s="2" t="n"/>
    </row>
    <row r="999">
      <c r="A999" s="2" t="inlineStr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>
        <f>IF(COUNTA($A999:$F999)=0,"",IF($C999="","MissingDate",IF(OR($A999="",$D999="",$E999="",$D999=$E999),"InvalidSchedule",IF(COUNTIF(ActiveActivityCodes,$F999)=0,"InvalidCode",IF(COUNTIFS(tblScheduleData[EmployeeID],$A999,tblScheduleData[OperationalDate],$C999,tblScheduleData[ShiftStart],$D999,tblScheduleData[ShiftEnd],$E999,tblScheduleData[ActivityCode],$F999)&gt;1,"Duplicate","Valid")))))</f>
        <v/>
      </c>
      <c r="K999" s="2" t="n"/>
    </row>
    <row r="1000">
      <c r="A1000" s="2" t="inlineStr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>
        <f>IF(COUNTA($A1000:$F1000)=0,"",IF($C1000="","MissingDate",IF(OR($A1000="",$D1000="",$E1000="",$D1000=$E1000),"InvalidSchedule",IF(COUNTIF(ActiveActivityCodes,$F1000)=0,"InvalidCode",IF(COUNTIFS(tblScheduleData[EmployeeID],$A1000,tblScheduleData[OperationalDate],$C1000,tblScheduleData[ShiftStart],$D1000,tblScheduleData[ShiftEnd],$E1000,tblScheduleData[ActivityCode],$F1000)&gt;1,"Duplicate","Valid")))))</f>
        <v/>
      </c>
      <c r="K1000" s="2" t="n"/>
    </row>
  </sheetData>
  <conditionalFormatting sqref="A2:K1000">
    <cfRule type="expression" priority="1" dxfId="0">
      <formula>$J2="InvalidCode"</formula>
    </cfRule>
    <cfRule type="expression" priority="2" dxfId="1">
      <formula>$J2="InvalidSchedule"</formula>
    </cfRule>
    <cfRule type="expression" priority="3" dxfId="2">
      <formula>$J2="Duplicate"</formula>
    </cfRule>
    <cfRule type="expression" priority="4" dxfId="3">
      <formula>$J2="MissingDate"</formula>
    </cfRule>
  </conditionalFormatting>
  <dataValidations count="1">
    <dataValidation sqref="F2:F1000" showDropDown="0" showInputMessage="0" showErrorMessage="0" allowBlank="1" type="list">
      <formula1>=ActiveActivityCodes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262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hidden="1" width="13" customWidth="1" min="56" max="56"/>
  </cols>
  <sheetData>
    <row r="1">
      <c r="A1" s="1" t="inlineStr">
        <is>
          <t>EmployeeID</t>
        </is>
      </c>
      <c r="B1" s="1" t="inlineStr">
        <is>
          <t>Name</t>
        </is>
      </c>
      <c r="C1" s="1" t="inlineStr">
        <is>
          <t>ContractualHours</t>
        </is>
      </c>
      <c r="D1" s="1" t="inlineStr">
        <is>
          <t>CurrentShift</t>
        </is>
      </c>
      <c r="E1" s="1" t="inlineStr">
        <is>
          <t>TargetDaySelect</t>
        </is>
      </c>
      <c r="F1" s="1" t="inlineStr">
        <is>
          <t>ShiftStart</t>
        </is>
      </c>
      <c r="G1" s="1" t="inlineStr">
        <is>
          <t>ShiftEnd</t>
        </is>
      </c>
      <c r="H1" s="6">
        <f>Schedule_Matrix!H1</f>
        <v/>
      </c>
      <c r="I1" s="6">
        <f>Schedule_Matrix!I1</f>
        <v/>
      </c>
      <c r="J1" s="6">
        <f>Schedule_Matrix!J1</f>
        <v/>
      </c>
      <c r="K1" s="6">
        <f>Schedule_Matrix!K1</f>
        <v/>
      </c>
      <c r="L1" s="6">
        <f>Schedule_Matrix!L1</f>
        <v/>
      </c>
      <c r="M1" s="6">
        <f>Schedule_Matrix!M1</f>
        <v/>
      </c>
      <c r="N1" s="6">
        <f>Schedule_Matrix!N1</f>
        <v/>
      </c>
      <c r="O1" s="6">
        <f>Schedule_Matrix!O1</f>
        <v/>
      </c>
      <c r="P1" s="6">
        <f>Schedule_Matrix!P1</f>
        <v/>
      </c>
      <c r="Q1" s="6">
        <f>Schedule_Matrix!Q1</f>
        <v/>
      </c>
      <c r="R1" s="6">
        <f>Schedule_Matrix!R1</f>
        <v/>
      </c>
      <c r="S1" s="6">
        <f>Schedule_Matrix!S1</f>
        <v/>
      </c>
      <c r="T1" s="6">
        <f>Schedule_Matrix!T1</f>
        <v/>
      </c>
      <c r="U1" s="6">
        <f>Schedule_Matrix!U1</f>
        <v/>
      </c>
      <c r="V1" s="6">
        <f>Schedule_Matrix!V1</f>
        <v/>
      </c>
      <c r="W1" s="6">
        <f>Schedule_Matrix!W1</f>
        <v/>
      </c>
      <c r="X1" s="6">
        <f>Schedule_Matrix!X1</f>
        <v/>
      </c>
      <c r="Y1" s="6">
        <f>Schedule_Matrix!Y1</f>
        <v/>
      </c>
      <c r="Z1" s="6">
        <f>Schedule_Matrix!Z1</f>
        <v/>
      </c>
      <c r="AA1" s="6">
        <f>Schedule_Matrix!AA1</f>
        <v/>
      </c>
      <c r="AB1" s="6">
        <f>Schedule_Matrix!AB1</f>
        <v/>
      </c>
      <c r="AC1" s="6">
        <f>Schedule_Matrix!AC1</f>
        <v/>
      </c>
      <c r="AD1" s="6">
        <f>Schedule_Matrix!AD1</f>
        <v/>
      </c>
      <c r="AE1" s="6">
        <f>Schedule_Matrix!AE1</f>
        <v/>
      </c>
      <c r="AF1" s="6">
        <f>Schedule_Matrix!AF1</f>
        <v/>
      </c>
      <c r="AG1" s="6">
        <f>Schedule_Matrix!AG1</f>
        <v/>
      </c>
      <c r="AH1" s="6">
        <f>Schedule_Matrix!AH1</f>
        <v/>
      </c>
      <c r="AI1" s="6">
        <f>Schedule_Matrix!AI1</f>
        <v/>
      </c>
      <c r="AJ1" s="6">
        <f>Schedule_Matrix!AJ1</f>
        <v/>
      </c>
      <c r="AK1" s="6">
        <f>Schedule_Matrix!AK1</f>
        <v/>
      </c>
      <c r="AL1" s="6">
        <f>Schedule_Matrix!AL1</f>
        <v/>
      </c>
      <c r="AM1" s="6">
        <f>Schedule_Matrix!AM1</f>
        <v/>
      </c>
      <c r="AN1" s="6">
        <f>Schedule_Matrix!AN1</f>
        <v/>
      </c>
      <c r="AO1" s="6">
        <f>Schedule_Matrix!AO1</f>
        <v/>
      </c>
      <c r="AP1" s="6">
        <f>Schedule_Matrix!AP1</f>
        <v/>
      </c>
      <c r="AQ1" s="6">
        <f>Schedule_Matrix!AQ1</f>
        <v/>
      </c>
      <c r="AR1" s="6">
        <f>Schedule_Matrix!AR1</f>
        <v/>
      </c>
      <c r="AS1" s="6">
        <f>Schedule_Matrix!AS1</f>
        <v/>
      </c>
      <c r="AT1" s="6">
        <f>Schedule_Matrix!AT1</f>
        <v/>
      </c>
      <c r="AU1" s="6">
        <f>Schedule_Matrix!AU1</f>
        <v/>
      </c>
      <c r="AV1" s="6">
        <f>Schedule_Matrix!AV1</f>
        <v/>
      </c>
      <c r="AW1" s="6">
        <f>Schedule_Matrix!AW1</f>
        <v/>
      </c>
      <c r="AX1" s="6">
        <f>Schedule_Matrix!AX1</f>
        <v/>
      </c>
      <c r="AY1" s="6">
        <f>Schedule_Matrix!AY1</f>
        <v/>
      </c>
      <c r="AZ1" s="6">
        <f>Schedule_Matrix!AZ1</f>
        <v/>
      </c>
      <c r="BA1" s="6">
        <f>Schedule_Matrix!BA1</f>
        <v/>
      </c>
      <c r="BB1" s="6">
        <f>Schedule_Matrix!BB1</f>
        <v/>
      </c>
      <c r="BC1" s="6">
        <f>Schedule_Matrix!BC1</f>
        <v/>
      </c>
      <c r="BD1" s="1" t="inlineStr">
        <is>
          <t>ValidationState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</row>
    <row r="5">
      <c r="A5" s="1" t="n"/>
      <c r="B5" s="1" t="n"/>
      <c r="C5" s="1" t="n"/>
      <c r="D5" s="1" t="n"/>
      <c r="E5" s="1" t="n"/>
      <c r="F5" s="1" t="n"/>
      <c r="G5" s="1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  <c r="AV5" s="7" t="n"/>
      <c r="AW5" s="7" t="n"/>
      <c r="AX5" s="7" t="n"/>
      <c r="AY5" s="7" t="n"/>
      <c r="AZ5" s="7" t="n"/>
      <c r="BA5" s="7" t="n"/>
      <c r="BB5" s="7" t="n"/>
      <c r="BC5" s="7" t="n"/>
      <c r="BD5" s="1" t="n"/>
    </row>
    <row r="6">
      <c r="A6" s="1" t="n"/>
      <c r="B6" s="1" t="n"/>
      <c r="C6" s="1" t="n"/>
      <c r="D6" s="1" t="n"/>
      <c r="E6" s="1" t="n"/>
      <c r="F6" s="1" t="n"/>
      <c r="G6" s="1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  <c r="AU6" s="7" t="n"/>
      <c r="AV6" s="7" t="n"/>
      <c r="AW6" s="7" t="n"/>
      <c r="AX6" s="7" t="n"/>
      <c r="AY6" s="7" t="n"/>
      <c r="AZ6" s="7" t="n"/>
      <c r="BA6" s="7" t="n"/>
      <c r="BB6" s="7" t="n"/>
      <c r="BC6" s="7" t="n"/>
      <c r="BD6" s="1" t="n"/>
    </row>
    <row r="7">
      <c r="A7" s="1" t="n"/>
      <c r="B7" s="1" t="n"/>
      <c r="C7" s="1" t="n"/>
      <c r="D7" s="1" t="n"/>
      <c r="E7" s="1" t="n"/>
      <c r="F7" s="1" t="n"/>
      <c r="G7" s="1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  <c r="AU7" s="7" t="n"/>
      <c r="AV7" s="7" t="n"/>
      <c r="AW7" s="7" t="n"/>
      <c r="AX7" s="7" t="n"/>
      <c r="AY7" s="7" t="n"/>
      <c r="AZ7" s="7" t="n"/>
      <c r="BA7" s="7" t="n"/>
      <c r="BB7" s="7" t="n"/>
      <c r="BC7" s="7" t="n"/>
      <c r="BD7" s="1" t="n"/>
    </row>
    <row r="8">
      <c r="A8" s="2">
        <f>IFERROR(INDEX(FILTER(tblScheduleData[EmployeeID],tblScheduleData[OperationalDate]=SelectedDate),ROWS($A$8:A8)),"")</f>
        <v/>
      </c>
      <c r="B8" s="2">
        <f>IFERROR(INDEX(FILTER(tblScheduleData[Name],tblScheduleData[OperationalDate]=SelectedDate),ROWS($A$8:A8)),"")</f>
        <v/>
      </c>
      <c r="C8" s="2">
        <f>IFERROR(INDEX(FILTER(tblScheduleData[ContractualHours],tblScheduleData[OperationalDate]=SelectedDate),ROWS($A$8:A8)),"")</f>
        <v/>
      </c>
      <c r="D8" s="2">
        <f>IFERROR(INDEX(FILTER(tblScheduleData[ActivityCode],tblScheduleData[OperationalDate]=SelectedDate),ROWS($A$8:A8)),"")</f>
        <v/>
      </c>
      <c r="E8" s="4">
        <f>IF(Calc_Engine!A8="","",SelectedDate)</f>
        <v/>
      </c>
      <c r="F8" s="5">
        <f>IFERROR(INDEX(FILTER(tblScheduleData[ShiftStart],tblScheduleData[OperationalDate]=SelectedDate),ROWS($A$8:A8)),"")</f>
        <v/>
      </c>
      <c r="G8" s="5">
        <f>IFERROR(INDEX(FILTER(tblScheduleData[ShiftEnd],tblScheduleData[OperationalDate]=SelectedDate),ROWS($A$8:A8)),"")</f>
        <v/>
      </c>
      <c r="H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8" s="2">
        <f>IFERROR(INDEX(FILTER(tblScheduleData[ValidationState],tblScheduleData[OperationalDate]=SelectedDate),ROWS($A$8:A8)),"")</f>
        <v/>
      </c>
    </row>
    <row r="9">
      <c r="A9" s="2">
        <f>IFERROR(INDEX(FILTER(tblScheduleData[EmployeeID],tblScheduleData[OperationalDate]=SelectedDate),ROWS($A$8:A9)),"")</f>
        <v/>
      </c>
      <c r="B9" s="2">
        <f>IFERROR(INDEX(FILTER(tblScheduleData[Name],tblScheduleData[OperationalDate]=SelectedDate),ROWS($A$8:A9)),"")</f>
        <v/>
      </c>
      <c r="C9" s="2">
        <f>IFERROR(INDEX(FILTER(tblScheduleData[ContractualHours],tblScheduleData[OperationalDate]=SelectedDate),ROWS($A$8:A9)),"")</f>
        <v/>
      </c>
      <c r="D9" s="2">
        <f>IFERROR(INDEX(FILTER(tblScheduleData[ActivityCode],tblScheduleData[OperationalDate]=SelectedDate),ROWS($A$8:A9)),"")</f>
        <v/>
      </c>
      <c r="E9" s="4">
        <f>IF(Calc_Engine!A9="","",SelectedDate)</f>
        <v/>
      </c>
      <c r="F9" s="5">
        <f>IFERROR(INDEX(FILTER(tblScheduleData[ShiftStart],tblScheduleData[OperationalDate]=SelectedDate),ROWS($A$8:A9)),"")</f>
        <v/>
      </c>
      <c r="G9" s="5">
        <f>IFERROR(INDEX(FILTER(tblScheduleData[ShiftEnd],tblScheduleData[OperationalDate]=SelectedDate),ROWS($A$8:A9)),"")</f>
        <v/>
      </c>
      <c r="H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9" s="2">
        <f>IFERROR(INDEX(FILTER(tblScheduleData[ValidationState],tblScheduleData[OperationalDate]=SelectedDate),ROWS($A$8:A9)),"")</f>
        <v/>
      </c>
    </row>
    <row r="10">
      <c r="A10" s="2">
        <f>IFERROR(INDEX(FILTER(tblScheduleData[EmployeeID],tblScheduleData[OperationalDate]=SelectedDate),ROWS($A$8:A10)),"")</f>
        <v/>
      </c>
      <c r="B10" s="2">
        <f>IFERROR(INDEX(FILTER(tblScheduleData[Name],tblScheduleData[OperationalDate]=SelectedDate),ROWS($A$8:A10)),"")</f>
        <v/>
      </c>
      <c r="C10" s="2">
        <f>IFERROR(INDEX(FILTER(tblScheduleData[ContractualHours],tblScheduleData[OperationalDate]=SelectedDate),ROWS($A$8:A10)),"")</f>
        <v/>
      </c>
      <c r="D10" s="2">
        <f>IFERROR(INDEX(FILTER(tblScheduleData[ActivityCode],tblScheduleData[OperationalDate]=SelectedDate),ROWS($A$8:A10)),"")</f>
        <v/>
      </c>
      <c r="E10" s="4">
        <f>IF(Calc_Engine!A10="","",SelectedDate)</f>
        <v/>
      </c>
      <c r="F10" s="5">
        <f>IFERROR(INDEX(FILTER(tblScheduleData[ShiftStart],tblScheduleData[OperationalDate]=SelectedDate),ROWS($A$8:A10)),"")</f>
        <v/>
      </c>
      <c r="G10" s="5">
        <f>IFERROR(INDEX(FILTER(tblScheduleData[ShiftEnd],tblScheduleData[OperationalDate]=SelectedDate),ROWS($A$8:A10)),"")</f>
        <v/>
      </c>
      <c r="H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0" s="2">
        <f>IFERROR(INDEX(FILTER(tblScheduleData[ValidationState],tblScheduleData[OperationalDate]=SelectedDate),ROWS($A$8:A10)),"")</f>
        <v/>
      </c>
    </row>
    <row r="11">
      <c r="A11" s="2">
        <f>IFERROR(INDEX(FILTER(tblScheduleData[EmployeeID],tblScheduleData[OperationalDate]=SelectedDate),ROWS($A$8:A11)),"")</f>
        <v/>
      </c>
      <c r="B11" s="2">
        <f>IFERROR(INDEX(FILTER(tblScheduleData[Name],tblScheduleData[OperationalDate]=SelectedDate),ROWS($A$8:A11)),"")</f>
        <v/>
      </c>
      <c r="C11" s="2">
        <f>IFERROR(INDEX(FILTER(tblScheduleData[ContractualHours],tblScheduleData[OperationalDate]=SelectedDate),ROWS($A$8:A11)),"")</f>
        <v/>
      </c>
      <c r="D11" s="2">
        <f>IFERROR(INDEX(FILTER(tblScheduleData[ActivityCode],tblScheduleData[OperationalDate]=SelectedDate),ROWS($A$8:A11)),"")</f>
        <v/>
      </c>
      <c r="E11" s="4">
        <f>IF(Calc_Engine!A11="","",SelectedDate)</f>
        <v/>
      </c>
      <c r="F11" s="5">
        <f>IFERROR(INDEX(FILTER(tblScheduleData[ShiftStart],tblScheduleData[OperationalDate]=SelectedDate),ROWS($A$8:A11)),"")</f>
        <v/>
      </c>
      <c r="G11" s="5">
        <f>IFERROR(INDEX(FILTER(tblScheduleData[ShiftEnd],tblScheduleData[OperationalDate]=SelectedDate),ROWS($A$8:A11)),"")</f>
        <v/>
      </c>
      <c r="H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1" s="2">
        <f>IFERROR(INDEX(FILTER(tblScheduleData[ValidationState],tblScheduleData[OperationalDate]=SelectedDate),ROWS($A$8:A11)),"")</f>
        <v/>
      </c>
    </row>
    <row r="12">
      <c r="A12" s="2">
        <f>IFERROR(INDEX(FILTER(tblScheduleData[EmployeeID],tblScheduleData[OperationalDate]=SelectedDate),ROWS($A$8:A12)),"")</f>
        <v/>
      </c>
      <c r="B12" s="2">
        <f>IFERROR(INDEX(FILTER(tblScheduleData[Name],tblScheduleData[OperationalDate]=SelectedDate),ROWS($A$8:A12)),"")</f>
        <v/>
      </c>
      <c r="C12" s="2">
        <f>IFERROR(INDEX(FILTER(tblScheduleData[ContractualHours],tblScheduleData[OperationalDate]=SelectedDate),ROWS($A$8:A12)),"")</f>
        <v/>
      </c>
      <c r="D12" s="2">
        <f>IFERROR(INDEX(FILTER(tblScheduleData[ActivityCode],tblScheduleData[OperationalDate]=SelectedDate),ROWS($A$8:A12)),"")</f>
        <v/>
      </c>
      <c r="E12" s="4">
        <f>IF(Calc_Engine!A12="","",SelectedDate)</f>
        <v/>
      </c>
      <c r="F12" s="5">
        <f>IFERROR(INDEX(FILTER(tblScheduleData[ShiftStart],tblScheduleData[OperationalDate]=SelectedDate),ROWS($A$8:A12)),"")</f>
        <v/>
      </c>
      <c r="G12" s="5">
        <f>IFERROR(INDEX(FILTER(tblScheduleData[ShiftEnd],tblScheduleData[OperationalDate]=SelectedDate),ROWS($A$8:A12)),"")</f>
        <v/>
      </c>
      <c r="H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2" s="2">
        <f>IFERROR(INDEX(FILTER(tblScheduleData[ValidationState],tblScheduleData[OperationalDate]=SelectedDate),ROWS($A$8:A12)),"")</f>
        <v/>
      </c>
    </row>
    <row r="13">
      <c r="A13" s="2">
        <f>IFERROR(INDEX(FILTER(tblScheduleData[EmployeeID],tblScheduleData[OperationalDate]=SelectedDate),ROWS($A$8:A13)),"")</f>
        <v/>
      </c>
      <c r="B13" s="2">
        <f>IFERROR(INDEX(FILTER(tblScheduleData[Name],tblScheduleData[OperationalDate]=SelectedDate),ROWS($A$8:A13)),"")</f>
        <v/>
      </c>
      <c r="C13" s="2">
        <f>IFERROR(INDEX(FILTER(tblScheduleData[ContractualHours],tblScheduleData[OperationalDate]=SelectedDate),ROWS($A$8:A13)),"")</f>
        <v/>
      </c>
      <c r="D13" s="2">
        <f>IFERROR(INDEX(FILTER(tblScheduleData[ActivityCode],tblScheduleData[OperationalDate]=SelectedDate),ROWS($A$8:A13)),"")</f>
        <v/>
      </c>
      <c r="E13" s="4">
        <f>IF(Calc_Engine!A13="","",SelectedDate)</f>
        <v/>
      </c>
      <c r="F13" s="5">
        <f>IFERROR(INDEX(FILTER(tblScheduleData[ShiftStart],tblScheduleData[OperationalDate]=SelectedDate),ROWS($A$8:A13)),"")</f>
        <v/>
      </c>
      <c r="G13" s="5">
        <f>IFERROR(INDEX(FILTER(tblScheduleData[ShiftEnd],tblScheduleData[OperationalDate]=SelectedDate),ROWS($A$8:A13)),"")</f>
        <v/>
      </c>
      <c r="H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3" s="2">
        <f>IFERROR(INDEX(FILTER(tblScheduleData[ValidationState],tblScheduleData[OperationalDate]=SelectedDate),ROWS($A$8:A13)),"")</f>
        <v/>
      </c>
    </row>
    <row r="14">
      <c r="A14" s="2">
        <f>IFERROR(INDEX(FILTER(tblScheduleData[EmployeeID],tblScheduleData[OperationalDate]=SelectedDate),ROWS($A$8:A14)),"")</f>
        <v/>
      </c>
      <c r="B14" s="2">
        <f>IFERROR(INDEX(FILTER(tblScheduleData[Name],tblScheduleData[OperationalDate]=SelectedDate),ROWS($A$8:A14)),"")</f>
        <v/>
      </c>
      <c r="C14" s="2">
        <f>IFERROR(INDEX(FILTER(tblScheduleData[ContractualHours],tblScheduleData[OperationalDate]=SelectedDate),ROWS($A$8:A14)),"")</f>
        <v/>
      </c>
      <c r="D14" s="2">
        <f>IFERROR(INDEX(FILTER(tblScheduleData[ActivityCode],tblScheduleData[OperationalDate]=SelectedDate),ROWS($A$8:A14)),"")</f>
        <v/>
      </c>
      <c r="E14" s="4">
        <f>IF(Calc_Engine!A14="","",SelectedDate)</f>
        <v/>
      </c>
      <c r="F14" s="5">
        <f>IFERROR(INDEX(FILTER(tblScheduleData[ShiftStart],tblScheduleData[OperationalDate]=SelectedDate),ROWS($A$8:A14)),"")</f>
        <v/>
      </c>
      <c r="G14" s="5">
        <f>IFERROR(INDEX(FILTER(tblScheduleData[ShiftEnd],tblScheduleData[OperationalDate]=SelectedDate),ROWS($A$8:A14)),"")</f>
        <v/>
      </c>
      <c r="H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4" s="2">
        <f>IFERROR(INDEX(FILTER(tblScheduleData[ValidationState],tblScheduleData[OperationalDate]=SelectedDate),ROWS($A$8:A14)),"")</f>
        <v/>
      </c>
    </row>
    <row r="15">
      <c r="A15" s="2">
        <f>IFERROR(INDEX(FILTER(tblScheduleData[EmployeeID],tblScheduleData[OperationalDate]=SelectedDate),ROWS($A$8:A15)),"")</f>
        <v/>
      </c>
      <c r="B15" s="2">
        <f>IFERROR(INDEX(FILTER(tblScheduleData[Name],tblScheduleData[OperationalDate]=SelectedDate),ROWS($A$8:A15)),"")</f>
        <v/>
      </c>
      <c r="C15" s="2">
        <f>IFERROR(INDEX(FILTER(tblScheduleData[ContractualHours],tblScheduleData[OperationalDate]=SelectedDate),ROWS($A$8:A15)),"")</f>
        <v/>
      </c>
      <c r="D15" s="2">
        <f>IFERROR(INDEX(FILTER(tblScheduleData[ActivityCode],tblScheduleData[OperationalDate]=SelectedDate),ROWS($A$8:A15)),"")</f>
        <v/>
      </c>
      <c r="E15" s="4">
        <f>IF(Calc_Engine!A15="","",SelectedDate)</f>
        <v/>
      </c>
      <c r="F15" s="5">
        <f>IFERROR(INDEX(FILTER(tblScheduleData[ShiftStart],tblScheduleData[OperationalDate]=SelectedDate),ROWS($A$8:A15)),"")</f>
        <v/>
      </c>
      <c r="G15" s="5">
        <f>IFERROR(INDEX(FILTER(tblScheduleData[ShiftEnd],tblScheduleData[OperationalDate]=SelectedDate),ROWS($A$8:A15)),"")</f>
        <v/>
      </c>
      <c r="H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5" s="2">
        <f>IFERROR(INDEX(FILTER(tblScheduleData[ValidationState],tblScheduleData[OperationalDate]=SelectedDate),ROWS($A$8:A15)),"")</f>
        <v/>
      </c>
    </row>
    <row r="16">
      <c r="A16" s="2">
        <f>IFERROR(INDEX(FILTER(tblScheduleData[EmployeeID],tblScheduleData[OperationalDate]=SelectedDate),ROWS($A$8:A16)),"")</f>
        <v/>
      </c>
      <c r="B16" s="2">
        <f>IFERROR(INDEX(FILTER(tblScheduleData[Name],tblScheduleData[OperationalDate]=SelectedDate),ROWS($A$8:A16)),"")</f>
        <v/>
      </c>
      <c r="C16" s="2">
        <f>IFERROR(INDEX(FILTER(tblScheduleData[ContractualHours],tblScheduleData[OperationalDate]=SelectedDate),ROWS($A$8:A16)),"")</f>
        <v/>
      </c>
      <c r="D16" s="2">
        <f>IFERROR(INDEX(FILTER(tblScheduleData[ActivityCode],tblScheduleData[OperationalDate]=SelectedDate),ROWS($A$8:A16)),"")</f>
        <v/>
      </c>
      <c r="E16" s="4">
        <f>IF(Calc_Engine!A16="","",SelectedDate)</f>
        <v/>
      </c>
      <c r="F16" s="5">
        <f>IFERROR(INDEX(FILTER(tblScheduleData[ShiftStart],tblScheduleData[OperationalDate]=SelectedDate),ROWS($A$8:A16)),"")</f>
        <v/>
      </c>
      <c r="G16" s="5">
        <f>IFERROR(INDEX(FILTER(tblScheduleData[ShiftEnd],tblScheduleData[OperationalDate]=SelectedDate),ROWS($A$8:A16)),"")</f>
        <v/>
      </c>
      <c r="H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6" s="2">
        <f>IFERROR(INDEX(FILTER(tblScheduleData[ValidationState],tblScheduleData[OperationalDate]=SelectedDate),ROWS($A$8:A16)),"")</f>
        <v/>
      </c>
    </row>
    <row r="17">
      <c r="A17" s="2">
        <f>IFERROR(INDEX(FILTER(tblScheduleData[EmployeeID],tblScheduleData[OperationalDate]=SelectedDate),ROWS($A$8:A17)),"")</f>
        <v/>
      </c>
      <c r="B17" s="2">
        <f>IFERROR(INDEX(FILTER(tblScheduleData[Name],tblScheduleData[OperationalDate]=SelectedDate),ROWS($A$8:A17)),"")</f>
        <v/>
      </c>
      <c r="C17" s="2">
        <f>IFERROR(INDEX(FILTER(tblScheduleData[ContractualHours],tblScheduleData[OperationalDate]=SelectedDate),ROWS($A$8:A17)),"")</f>
        <v/>
      </c>
      <c r="D17" s="2">
        <f>IFERROR(INDEX(FILTER(tblScheduleData[ActivityCode],tblScheduleData[OperationalDate]=SelectedDate),ROWS($A$8:A17)),"")</f>
        <v/>
      </c>
      <c r="E17" s="4">
        <f>IF(Calc_Engine!A17="","",SelectedDate)</f>
        <v/>
      </c>
      <c r="F17" s="5">
        <f>IFERROR(INDEX(FILTER(tblScheduleData[ShiftStart],tblScheduleData[OperationalDate]=SelectedDate),ROWS($A$8:A17)),"")</f>
        <v/>
      </c>
      <c r="G17" s="5">
        <f>IFERROR(INDEX(FILTER(tblScheduleData[ShiftEnd],tblScheduleData[OperationalDate]=SelectedDate),ROWS($A$8:A17)),"")</f>
        <v/>
      </c>
      <c r="H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7" s="2">
        <f>IFERROR(INDEX(FILTER(tblScheduleData[ValidationState],tblScheduleData[OperationalDate]=SelectedDate),ROWS($A$8:A17)),"")</f>
        <v/>
      </c>
    </row>
    <row r="18">
      <c r="A18" s="2">
        <f>IFERROR(INDEX(FILTER(tblScheduleData[EmployeeID],tblScheduleData[OperationalDate]=SelectedDate),ROWS($A$8:A18)),"")</f>
        <v/>
      </c>
      <c r="B18" s="2">
        <f>IFERROR(INDEX(FILTER(tblScheduleData[Name],tblScheduleData[OperationalDate]=SelectedDate),ROWS($A$8:A18)),"")</f>
        <v/>
      </c>
      <c r="C18" s="2">
        <f>IFERROR(INDEX(FILTER(tblScheduleData[ContractualHours],tblScheduleData[OperationalDate]=SelectedDate),ROWS($A$8:A18)),"")</f>
        <v/>
      </c>
      <c r="D18" s="2">
        <f>IFERROR(INDEX(FILTER(tblScheduleData[ActivityCode],tblScheduleData[OperationalDate]=SelectedDate),ROWS($A$8:A18)),"")</f>
        <v/>
      </c>
      <c r="E18" s="4">
        <f>IF(Calc_Engine!A18="","",SelectedDate)</f>
        <v/>
      </c>
      <c r="F18" s="5">
        <f>IFERROR(INDEX(FILTER(tblScheduleData[ShiftStart],tblScheduleData[OperationalDate]=SelectedDate),ROWS($A$8:A18)),"")</f>
        <v/>
      </c>
      <c r="G18" s="5">
        <f>IFERROR(INDEX(FILTER(tblScheduleData[ShiftEnd],tblScheduleData[OperationalDate]=SelectedDate),ROWS($A$8:A18)),"")</f>
        <v/>
      </c>
      <c r="H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8" s="2">
        <f>IFERROR(INDEX(FILTER(tblScheduleData[ValidationState],tblScheduleData[OperationalDate]=SelectedDate),ROWS($A$8:A18)),"")</f>
        <v/>
      </c>
    </row>
    <row r="19">
      <c r="A19" s="2">
        <f>IFERROR(INDEX(FILTER(tblScheduleData[EmployeeID],tblScheduleData[OperationalDate]=SelectedDate),ROWS($A$8:A19)),"")</f>
        <v/>
      </c>
      <c r="B19" s="2">
        <f>IFERROR(INDEX(FILTER(tblScheduleData[Name],tblScheduleData[OperationalDate]=SelectedDate),ROWS($A$8:A19)),"")</f>
        <v/>
      </c>
      <c r="C19" s="2">
        <f>IFERROR(INDEX(FILTER(tblScheduleData[ContractualHours],tblScheduleData[OperationalDate]=SelectedDate),ROWS($A$8:A19)),"")</f>
        <v/>
      </c>
      <c r="D19" s="2">
        <f>IFERROR(INDEX(FILTER(tblScheduleData[ActivityCode],tblScheduleData[OperationalDate]=SelectedDate),ROWS($A$8:A19)),"")</f>
        <v/>
      </c>
      <c r="E19" s="4">
        <f>IF(Calc_Engine!A19="","",SelectedDate)</f>
        <v/>
      </c>
      <c r="F19" s="5">
        <f>IFERROR(INDEX(FILTER(tblScheduleData[ShiftStart],tblScheduleData[OperationalDate]=SelectedDate),ROWS($A$8:A19)),"")</f>
        <v/>
      </c>
      <c r="G19" s="5">
        <f>IFERROR(INDEX(FILTER(tblScheduleData[ShiftEnd],tblScheduleData[OperationalDate]=SelectedDate),ROWS($A$8:A19)),"")</f>
        <v/>
      </c>
      <c r="H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9" s="2">
        <f>IFERROR(INDEX(FILTER(tblScheduleData[ValidationState],tblScheduleData[OperationalDate]=SelectedDate),ROWS($A$8:A19)),"")</f>
        <v/>
      </c>
    </row>
    <row r="20">
      <c r="A20" s="2">
        <f>IFERROR(INDEX(FILTER(tblScheduleData[EmployeeID],tblScheduleData[OperationalDate]=SelectedDate),ROWS($A$8:A20)),"")</f>
        <v/>
      </c>
      <c r="B20" s="2">
        <f>IFERROR(INDEX(FILTER(tblScheduleData[Name],tblScheduleData[OperationalDate]=SelectedDate),ROWS($A$8:A20)),"")</f>
        <v/>
      </c>
      <c r="C20" s="2">
        <f>IFERROR(INDEX(FILTER(tblScheduleData[ContractualHours],tblScheduleData[OperationalDate]=SelectedDate),ROWS($A$8:A20)),"")</f>
        <v/>
      </c>
      <c r="D20" s="2">
        <f>IFERROR(INDEX(FILTER(tblScheduleData[ActivityCode],tblScheduleData[OperationalDate]=SelectedDate),ROWS($A$8:A20)),"")</f>
        <v/>
      </c>
      <c r="E20" s="4">
        <f>IF(Calc_Engine!A20="","",SelectedDate)</f>
        <v/>
      </c>
      <c r="F20" s="5">
        <f>IFERROR(INDEX(FILTER(tblScheduleData[ShiftStart],tblScheduleData[OperationalDate]=SelectedDate),ROWS($A$8:A20)),"")</f>
        <v/>
      </c>
      <c r="G20" s="5">
        <f>IFERROR(INDEX(FILTER(tblScheduleData[ShiftEnd],tblScheduleData[OperationalDate]=SelectedDate),ROWS($A$8:A20)),"")</f>
        <v/>
      </c>
      <c r="H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0" s="2">
        <f>IFERROR(INDEX(FILTER(tblScheduleData[ValidationState],tblScheduleData[OperationalDate]=SelectedDate),ROWS($A$8:A20)),"")</f>
        <v/>
      </c>
    </row>
    <row r="21">
      <c r="A21" s="2">
        <f>IFERROR(INDEX(FILTER(tblScheduleData[EmployeeID],tblScheduleData[OperationalDate]=SelectedDate),ROWS($A$8:A21)),"")</f>
        <v/>
      </c>
      <c r="B21" s="2">
        <f>IFERROR(INDEX(FILTER(tblScheduleData[Name],tblScheduleData[OperationalDate]=SelectedDate),ROWS($A$8:A21)),"")</f>
        <v/>
      </c>
      <c r="C21" s="2">
        <f>IFERROR(INDEX(FILTER(tblScheduleData[ContractualHours],tblScheduleData[OperationalDate]=SelectedDate),ROWS($A$8:A21)),"")</f>
        <v/>
      </c>
      <c r="D21" s="2">
        <f>IFERROR(INDEX(FILTER(tblScheduleData[ActivityCode],tblScheduleData[OperationalDate]=SelectedDate),ROWS($A$8:A21)),"")</f>
        <v/>
      </c>
      <c r="E21" s="4">
        <f>IF(Calc_Engine!A21="","",SelectedDate)</f>
        <v/>
      </c>
      <c r="F21" s="5">
        <f>IFERROR(INDEX(FILTER(tblScheduleData[ShiftStart],tblScheduleData[OperationalDate]=SelectedDate),ROWS($A$8:A21)),"")</f>
        <v/>
      </c>
      <c r="G21" s="5">
        <f>IFERROR(INDEX(FILTER(tblScheduleData[ShiftEnd],tblScheduleData[OperationalDate]=SelectedDate),ROWS($A$8:A21)),"")</f>
        <v/>
      </c>
      <c r="H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1" s="2">
        <f>IFERROR(INDEX(FILTER(tblScheduleData[ValidationState],tblScheduleData[OperationalDate]=SelectedDate),ROWS($A$8:A21)),"")</f>
        <v/>
      </c>
    </row>
    <row r="22">
      <c r="A22" s="2">
        <f>IFERROR(INDEX(FILTER(tblScheduleData[EmployeeID],tblScheduleData[OperationalDate]=SelectedDate),ROWS($A$8:A22)),"")</f>
        <v/>
      </c>
      <c r="B22" s="2">
        <f>IFERROR(INDEX(FILTER(tblScheduleData[Name],tblScheduleData[OperationalDate]=SelectedDate),ROWS($A$8:A22)),"")</f>
        <v/>
      </c>
      <c r="C22" s="2">
        <f>IFERROR(INDEX(FILTER(tblScheduleData[ContractualHours],tblScheduleData[OperationalDate]=SelectedDate),ROWS($A$8:A22)),"")</f>
        <v/>
      </c>
      <c r="D22" s="2">
        <f>IFERROR(INDEX(FILTER(tblScheduleData[ActivityCode],tblScheduleData[OperationalDate]=SelectedDate),ROWS($A$8:A22)),"")</f>
        <v/>
      </c>
      <c r="E22" s="4">
        <f>IF(Calc_Engine!A22="","",SelectedDate)</f>
        <v/>
      </c>
      <c r="F22" s="5">
        <f>IFERROR(INDEX(FILTER(tblScheduleData[ShiftStart],tblScheduleData[OperationalDate]=SelectedDate),ROWS($A$8:A22)),"")</f>
        <v/>
      </c>
      <c r="G22" s="5">
        <f>IFERROR(INDEX(FILTER(tblScheduleData[ShiftEnd],tblScheduleData[OperationalDate]=SelectedDate),ROWS($A$8:A22)),"")</f>
        <v/>
      </c>
      <c r="H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2" s="2">
        <f>IFERROR(INDEX(FILTER(tblScheduleData[ValidationState],tblScheduleData[OperationalDate]=SelectedDate),ROWS($A$8:A22)),"")</f>
        <v/>
      </c>
    </row>
    <row r="23">
      <c r="A23" s="2">
        <f>IFERROR(INDEX(FILTER(tblScheduleData[EmployeeID],tblScheduleData[OperationalDate]=SelectedDate),ROWS($A$8:A23)),"")</f>
        <v/>
      </c>
      <c r="B23" s="2">
        <f>IFERROR(INDEX(FILTER(tblScheduleData[Name],tblScheduleData[OperationalDate]=SelectedDate),ROWS($A$8:A23)),"")</f>
        <v/>
      </c>
      <c r="C23" s="2">
        <f>IFERROR(INDEX(FILTER(tblScheduleData[ContractualHours],tblScheduleData[OperationalDate]=SelectedDate),ROWS($A$8:A23)),"")</f>
        <v/>
      </c>
      <c r="D23" s="2">
        <f>IFERROR(INDEX(FILTER(tblScheduleData[ActivityCode],tblScheduleData[OperationalDate]=SelectedDate),ROWS($A$8:A23)),"")</f>
        <v/>
      </c>
      <c r="E23" s="4">
        <f>IF(Calc_Engine!A23="","",SelectedDate)</f>
        <v/>
      </c>
      <c r="F23" s="5">
        <f>IFERROR(INDEX(FILTER(tblScheduleData[ShiftStart],tblScheduleData[OperationalDate]=SelectedDate),ROWS($A$8:A23)),"")</f>
        <v/>
      </c>
      <c r="G23" s="5">
        <f>IFERROR(INDEX(FILTER(tblScheduleData[ShiftEnd],tblScheduleData[OperationalDate]=SelectedDate),ROWS($A$8:A23)),"")</f>
        <v/>
      </c>
      <c r="H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3" s="2">
        <f>IFERROR(INDEX(FILTER(tblScheduleData[ValidationState],tblScheduleData[OperationalDate]=SelectedDate),ROWS($A$8:A23)),"")</f>
        <v/>
      </c>
    </row>
    <row r="24">
      <c r="A24" s="2">
        <f>IFERROR(INDEX(FILTER(tblScheduleData[EmployeeID],tblScheduleData[OperationalDate]=SelectedDate),ROWS($A$8:A24)),"")</f>
        <v/>
      </c>
      <c r="B24" s="2">
        <f>IFERROR(INDEX(FILTER(tblScheduleData[Name],tblScheduleData[OperationalDate]=SelectedDate),ROWS($A$8:A24)),"")</f>
        <v/>
      </c>
      <c r="C24" s="2">
        <f>IFERROR(INDEX(FILTER(tblScheduleData[ContractualHours],tblScheduleData[OperationalDate]=SelectedDate),ROWS($A$8:A24)),"")</f>
        <v/>
      </c>
      <c r="D24" s="2">
        <f>IFERROR(INDEX(FILTER(tblScheduleData[ActivityCode],tblScheduleData[OperationalDate]=SelectedDate),ROWS($A$8:A24)),"")</f>
        <v/>
      </c>
      <c r="E24" s="4">
        <f>IF(Calc_Engine!A24="","",SelectedDate)</f>
        <v/>
      </c>
      <c r="F24" s="5">
        <f>IFERROR(INDEX(FILTER(tblScheduleData[ShiftStart],tblScheduleData[OperationalDate]=SelectedDate),ROWS($A$8:A24)),"")</f>
        <v/>
      </c>
      <c r="G24" s="5">
        <f>IFERROR(INDEX(FILTER(tblScheduleData[ShiftEnd],tblScheduleData[OperationalDate]=SelectedDate),ROWS($A$8:A24)),"")</f>
        <v/>
      </c>
      <c r="H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4" s="2">
        <f>IFERROR(INDEX(FILTER(tblScheduleData[ValidationState],tblScheduleData[OperationalDate]=SelectedDate),ROWS($A$8:A24)),"")</f>
        <v/>
      </c>
    </row>
    <row r="25">
      <c r="A25" s="2">
        <f>IFERROR(INDEX(FILTER(tblScheduleData[EmployeeID],tblScheduleData[OperationalDate]=SelectedDate),ROWS($A$8:A25)),"")</f>
        <v/>
      </c>
      <c r="B25" s="2">
        <f>IFERROR(INDEX(FILTER(tblScheduleData[Name],tblScheduleData[OperationalDate]=SelectedDate),ROWS($A$8:A25)),"")</f>
        <v/>
      </c>
      <c r="C25" s="2">
        <f>IFERROR(INDEX(FILTER(tblScheduleData[ContractualHours],tblScheduleData[OperationalDate]=SelectedDate),ROWS($A$8:A25)),"")</f>
        <v/>
      </c>
      <c r="D25" s="2">
        <f>IFERROR(INDEX(FILTER(tblScheduleData[ActivityCode],tblScheduleData[OperationalDate]=SelectedDate),ROWS($A$8:A25)),"")</f>
        <v/>
      </c>
      <c r="E25" s="4">
        <f>IF(Calc_Engine!A25="","",SelectedDate)</f>
        <v/>
      </c>
      <c r="F25" s="5">
        <f>IFERROR(INDEX(FILTER(tblScheduleData[ShiftStart],tblScheduleData[OperationalDate]=SelectedDate),ROWS($A$8:A25)),"")</f>
        <v/>
      </c>
      <c r="G25" s="5">
        <f>IFERROR(INDEX(FILTER(tblScheduleData[ShiftEnd],tblScheduleData[OperationalDate]=SelectedDate),ROWS($A$8:A25)),"")</f>
        <v/>
      </c>
      <c r="H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5" s="2">
        <f>IFERROR(INDEX(FILTER(tblScheduleData[ValidationState],tblScheduleData[OperationalDate]=SelectedDate),ROWS($A$8:A25)),"")</f>
        <v/>
      </c>
    </row>
    <row r="26">
      <c r="A26" s="2">
        <f>IFERROR(INDEX(FILTER(tblScheduleData[EmployeeID],tblScheduleData[OperationalDate]=SelectedDate),ROWS($A$8:A26)),"")</f>
        <v/>
      </c>
      <c r="B26" s="2">
        <f>IFERROR(INDEX(FILTER(tblScheduleData[Name],tblScheduleData[OperationalDate]=SelectedDate),ROWS($A$8:A26)),"")</f>
        <v/>
      </c>
      <c r="C26" s="2">
        <f>IFERROR(INDEX(FILTER(tblScheduleData[ContractualHours],tblScheduleData[OperationalDate]=SelectedDate),ROWS($A$8:A26)),"")</f>
        <v/>
      </c>
      <c r="D26" s="2">
        <f>IFERROR(INDEX(FILTER(tblScheduleData[ActivityCode],tblScheduleData[OperationalDate]=SelectedDate),ROWS($A$8:A26)),"")</f>
        <v/>
      </c>
      <c r="E26" s="4">
        <f>IF(Calc_Engine!A26="","",SelectedDate)</f>
        <v/>
      </c>
      <c r="F26" s="5">
        <f>IFERROR(INDEX(FILTER(tblScheduleData[ShiftStart],tblScheduleData[OperationalDate]=SelectedDate),ROWS($A$8:A26)),"")</f>
        <v/>
      </c>
      <c r="G26" s="5">
        <f>IFERROR(INDEX(FILTER(tblScheduleData[ShiftEnd],tblScheduleData[OperationalDate]=SelectedDate),ROWS($A$8:A26)),"")</f>
        <v/>
      </c>
      <c r="H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6" s="2">
        <f>IFERROR(INDEX(FILTER(tblScheduleData[ValidationState],tblScheduleData[OperationalDate]=SelectedDate),ROWS($A$8:A26)),"")</f>
        <v/>
      </c>
    </row>
    <row r="27">
      <c r="A27" s="2">
        <f>IFERROR(INDEX(FILTER(tblScheduleData[EmployeeID],tblScheduleData[OperationalDate]=SelectedDate),ROWS($A$8:A27)),"")</f>
        <v/>
      </c>
      <c r="B27" s="2">
        <f>IFERROR(INDEX(FILTER(tblScheduleData[Name],tblScheduleData[OperationalDate]=SelectedDate),ROWS($A$8:A27)),"")</f>
        <v/>
      </c>
      <c r="C27" s="2">
        <f>IFERROR(INDEX(FILTER(tblScheduleData[ContractualHours],tblScheduleData[OperationalDate]=SelectedDate),ROWS($A$8:A27)),"")</f>
        <v/>
      </c>
      <c r="D27" s="2">
        <f>IFERROR(INDEX(FILTER(tblScheduleData[ActivityCode],tblScheduleData[OperationalDate]=SelectedDate),ROWS($A$8:A27)),"")</f>
        <v/>
      </c>
      <c r="E27" s="4">
        <f>IF(Calc_Engine!A27="","",SelectedDate)</f>
        <v/>
      </c>
      <c r="F27" s="5">
        <f>IFERROR(INDEX(FILTER(tblScheduleData[ShiftStart],tblScheduleData[OperationalDate]=SelectedDate),ROWS($A$8:A27)),"")</f>
        <v/>
      </c>
      <c r="G27" s="5">
        <f>IFERROR(INDEX(FILTER(tblScheduleData[ShiftEnd],tblScheduleData[OperationalDate]=SelectedDate),ROWS($A$8:A27)),"")</f>
        <v/>
      </c>
      <c r="H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7" s="2">
        <f>IFERROR(INDEX(FILTER(tblScheduleData[ValidationState],tblScheduleData[OperationalDate]=SelectedDate),ROWS($A$8:A27)),"")</f>
        <v/>
      </c>
    </row>
    <row r="28">
      <c r="A28" s="2">
        <f>IFERROR(INDEX(FILTER(tblScheduleData[EmployeeID],tblScheduleData[OperationalDate]=SelectedDate),ROWS($A$8:A28)),"")</f>
        <v/>
      </c>
      <c r="B28" s="2">
        <f>IFERROR(INDEX(FILTER(tblScheduleData[Name],tblScheduleData[OperationalDate]=SelectedDate),ROWS($A$8:A28)),"")</f>
        <v/>
      </c>
      <c r="C28" s="2">
        <f>IFERROR(INDEX(FILTER(tblScheduleData[ContractualHours],tblScheduleData[OperationalDate]=SelectedDate),ROWS($A$8:A28)),"")</f>
        <v/>
      </c>
      <c r="D28" s="2">
        <f>IFERROR(INDEX(FILTER(tblScheduleData[ActivityCode],tblScheduleData[OperationalDate]=SelectedDate),ROWS($A$8:A28)),"")</f>
        <v/>
      </c>
      <c r="E28" s="4">
        <f>IF(Calc_Engine!A28="","",SelectedDate)</f>
        <v/>
      </c>
      <c r="F28" s="5">
        <f>IFERROR(INDEX(FILTER(tblScheduleData[ShiftStart],tblScheduleData[OperationalDate]=SelectedDate),ROWS($A$8:A28)),"")</f>
        <v/>
      </c>
      <c r="G28" s="5">
        <f>IFERROR(INDEX(FILTER(tblScheduleData[ShiftEnd],tblScheduleData[OperationalDate]=SelectedDate),ROWS($A$8:A28)),"")</f>
        <v/>
      </c>
      <c r="H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8" s="2">
        <f>IFERROR(INDEX(FILTER(tblScheduleData[ValidationState],tblScheduleData[OperationalDate]=SelectedDate),ROWS($A$8:A28)),"")</f>
        <v/>
      </c>
    </row>
    <row r="29">
      <c r="A29" s="2">
        <f>IFERROR(INDEX(FILTER(tblScheduleData[EmployeeID],tblScheduleData[OperationalDate]=SelectedDate),ROWS($A$8:A29)),"")</f>
        <v/>
      </c>
      <c r="B29" s="2">
        <f>IFERROR(INDEX(FILTER(tblScheduleData[Name],tblScheduleData[OperationalDate]=SelectedDate),ROWS($A$8:A29)),"")</f>
        <v/>
      </c>
      <c r="C29" s="2">
        <f>IFERROR(INDEX(FILTER(tblScheduleData[ContractualHours],tblScheduleData[OperationalDate]=SelectedDate),ROWS($A$8:A29)),"")</f>
        <v/>
      </c>
      <c r="D29" s="2">
        <f>IFERROR(INDEX(FILTER(tblScheduleData[ActivityCode],tblScheduleData[OperationalDate]=SelectedDate),ROWS($A$8:A29)),"")</f>
        <v/>
      </c>
      <c r="E29" s="4">
        <f>IF(Calc_Engine!A29="","",SelectedDate)</f>
        <v/>
      </c>
      <c r="F29" s="5">
        <f>IFERROR(INDEX(FILTER(tblScheduleData[ShiftStart],tblScheduleData[OperationalDate]=SelectedDate),ROWS($A$8:A29)),"")</f>
        <v/>
      </c>
      <c r="G29" s="5">
        <f>IFERROR(INDEX(FILTER(tblScheduleData[ShiftEnd],tblScheduleData[OperationalDate]=SelectedDate),ROWS($A$8:A29)),"")</f>
        <v/>
      </c>
      <c r="H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9" s="2">
        <f>IFERROR(INDEX(FILTER(tblScheduleData[ValidationState],tblScheduleData[OperationalDate]=SelectedDate),ROWS($A$8:A29)),"")</f>
        <v/>
      </c>
    </row>
    <row r="30">
      <c r="A30" s="2">
        <f>IFERROR(INDEX(FILTER(tblScheduleData[EmployeeID],tblScheduleData[OperationalDate]=SelectedDate),ROWS($A$8:A30)),"")</f>
        <v/>
      </c>
      <c r="B30" s="2">
        <f>IFERROR(INDEX(FILTER(tblScheduleData[Name],tblScheduleData[OperationalDate]=SelectedDate),ROWS($A$8:A30)),"")</f>
        <v/>
      </c>
      <c r="C30" s="2">
        <f>IFERROR(INDEX(FILTER(tblScheduleData[ContractualHours],tblScheduleData[OperationalDate]=SelectedDate),ROWS($A$8:A30)),"")</f>
        <v/>
      </c>
      <c r="D30" s="2">
        <f>IFERROR(INDEX(FILTER(tblScheduleData[ActivityCode],tblScheduleData[OperationalDate]=SelectedDate),ROWS($A$8:A30)),"")</f>
        <v/>
      </c>
      <c r="E30" s="4">
        <f>IF(Calc_Engine!A30="","",SelectedDate)</f>
        <v/>
      </c>
      <c r="F30" s="5">
        <f>IFERROR(INDEX(FILTER(tblScheduleData[ShiftStart],tblScheduleData[OperationalDate]=SelectedDate),ROWS($A$8:A30)),"")</f>
        <v/>
      </c>
      <c r="G30" s="5">
        <f>IFERROR(INDEX(FILTER(tblScheduleData[ShiftEnd],tblScheduleData[OperationalDate]=SelectedDate),ROWS($A$8:A30)),"")</f>
        <v/>
      </c>
      <c r="H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30" s="2">
        <f>IFERROR(INDEX(FILTER(tblScheduleData[ValidationState],tblScheduleData[OperationalDate]=SelectedDate),ROWS($A$8:A30)),"")</f>
        <v/>
      </c>
    </row>
    <row r="31">
      <c r="A31" s="2">
        <f>IFERROR(INDEX(FILTER(tblScheduleData[EmployeeID],tblScheduleData[OperationalDate]=SelectedDate),ROWS($A$8:A31)),"")</f>
        <v/>
      </c>
      <c r="B31" s="2">
        <f>IFERROR(INDEX(FILTER(tblScheduleData[Name],tblScheduleData[OperationalDate]=SelectedDate),ROWS($A$8:A31)),"")</f>
        <v/>
      </c>
      <c r="C31" s="2">
        <f>IFERROR(INDEX(FILTER(tblScheduleData[ContractualHours],tblScheduleData[OperationalDate]=SelectedDate),ROWS($A$8:A31)),"")</f>
        <v/>
      </c>
      <c r="D31" s="2">
        <f>IFERROR(INDEX(FILTER(tblScheduleData[ActivityCode],tblScheduleData[OperationalDate]=SelectedDate),ROWS($A$8:A31)),"")</f>
        <v/>
      </c>
      <c r="E31" s="4">
        <f>IF(Calc_Engine!A31="","",SelectedDate)</f>
        <v/>
      </c>
      <c r="F31" s="5">
        <f>IFERROR(INDEX(FILTER(tblScheduleData[ShiftStart],tblScheduleData[OperationalDate]=SelectedDate),ROWS($A$8:A31)),"")</f>
        <v/>
      </c>
      <c r="G31" s="5">
        <f>IFERROR(INDEX(FILTER(tblScheduleData[ShiftEnd],tblScheduleData[OperationalDate]=SelectedDate),ROWS($A$8:A31)),"")</f>
        <v/>
      </c>
      <c r="H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31" s="2">
        <f>IFERROR(INDEX(FILTER(tblScheduleData[ValidationState],tblScheduleData[OperationalDate]=SelectedDate),ROWS($A$8:A31)),"")</f>
        <v/>
      </c>
    </row>
    <row r="32">
      <c r="A32" s="2">
        <f>IFERROR(INDEX(FILTER(tblScheduleData[EmployeeID],tblScheduleData[OperationalDate]=SelectedDate),ROWS($A$8:A32)),"")</f>
        <v/>
      </c>
      <c r="B32" s="2">
        <f>IFERROR(INDEX(FILTER(tblScheduleData[Name],tblScheduleData[OperationalDate]=SelectedDate),ROWS($A$8:A32)),"")</f>
        <v/>
      </c>
      <c r="C32" s="2">
        <f>IFERROR(INDEX(FILTER(tblScheduleData[ContractualHours],tblScheduleData[OperationalDate]=SelectedDate),ROWS($A$8:A32)),"")</f>
        <v/>
      </c>
      <c r="D32" s="2">
        <f>IFERROR(INDEX(FILTER(tblScheduleData[ActivityCode],tblScheduleData[OperationalDate]=SelectedDate),ROWS($A$8:A32)),"")</f>
        <v/>
      </c>
      <c r="E32" s="4">
        <f>IF(Calc_Engine!A32="","",SelectedDate)</f>
        <v/>
      </c>
      <c r="F32" s="5">
        <f>IFERROR(INDEX(FILTER(tblScheduleData[ShiftStart],tblScheduleData[OperationalDate]=SelectedDate),ROWS($A$8:A32)),"")</f>
        <v/>
      </c>
      <c r="G32" s="5">
        <f>IFERROR(INDEX(FILTER(tblScheduleData[ShiftEnd],tblScheduleData[OperationalDate]=SelectedDate),ROWS($A$8:A32)),"")</f>
        <v/>
      </c>
      <c r="H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32" s="2">
        <f>IFERROR(INDEX(FILTER(tblScheduleData[ValidationState],tblScheduleData[OperationalDate]=SelectedDate),ROWS($A$8:A32)),"")</f>
        <v/>
      </c>
    </row>
    <row r="33">
      <c r="A33" s="2">
        <f>IFERROR(INDEX(FILTER(tblScheduleData[EmployeeID],tblScheduleData[OperationalDate]=SelectedDate),ROWS($A$8:A33)),"")</f>
        <v/>
      </c>
      <c r="B33" s="2">
        <f>IFERROR(INDEX(FILTER(tblScheduleData[Name],tblScheduleData[OperationalDate]=SelectedDate),ROWS($A$8:A33)),"")</f>
        <v/>
      </c>
      <c r="C33" s="2">
        <f>IFERROR(INDEX(FILTER(tblScheduleData[ContractualHours],tblScheduleData[OperationalDate]=SelectedDate),ROWS($A$8:A33)),"")</f>
        <v/>
      </c>
      <c r="D33" s="2">
        <f>IFERROR(INDEX(FILTER(tblScheduleData[ActivityCode],tblScheduleData[OperationalDate]=SelectedDate),ROWS($A$8:A33)),"")</f>
        <v/>
      </c>
      <c r="E33" s="4">
        <f>IF(Calc_Engine!A33="","",SelectedDate)</f>
        <v/>
      </c>
      <c r="F33" s="5">
        <f>IFERROR(INDEX(FILTER(tblScheduleData[ShiftStart],tblScheduleData[OperationalDate]=SelectedDate),ROWS($A$8:A33)),"")</f>
        <v/>
      </c>
      <c r="G33" s="5">
        <f>IFERROR(INDEX(FILTER(tblScheduleData[ShiftEnd],tblScheduleData[OperationalDate]=SelectedDate),ROWS($A$8:A33)),"")</f>
        <v/>
      </c>
      <c r="H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33" s="2">
        <f>IFERROR(INDEX(FILTER(tblScheduleData[ValidationState],tblScheduleData[OperationalDate]=SelectedDate),ROWS($A$8:A33)),"")</f>
        <v/>
      </c>
    </row>
    <row r="34">
      <c r="A34" s="2">
        <f>IFERROR(INDEX(FILTER(tblScheduleData[EmployeeID],tblScheduleData[OperationalDate]=SelectedDate),ROWS($A$8:A34)),"")</f>
        <v/>
      </c>
      <c r="B34" s="2">
        <f>IFERROR(INDEX(FILTER(tblScheduleData[Name],tblScheduleData[OperationalDate]=SelectedDate),ROWS($A$8:A34)),"")</f>
        <v/>
      </c>
      <c r="C34" s="2">
        <f>IFERROR(INDEX(FILTER(tblScheduleData[ContractualHours],tblScheduleData[OperationalDate]=SelectedDate),ROWS($A$8:A34)),"")</f>
        <v/>
      </c>
      <c r="D34" s="2">
        <f>IFERROR(INDEX(FILTER(tblScheduleData[ActivityCode],tblScheduleData[OperationalDate]=SelectedDate),ROWS($A$8:A34)),"")</f>
        <v/>
      </c>
      <c r="E34" s="4">
        <f>IF(Calc_Engine!A34="","",SelectedDate)</f>
        <v/>
      </c>
      <c r="F34" s="5">
        <f>IFERROR(INDEX(FILTER(tblScheduleData[ShiftStart],tblScheduleData[OperationalDate]=SelectedDate),ROWS($A$8:A34)),"")</f>
        <v/>
      </c>
      <c r="G34" s="5">
        <f>IFERROR(INDEX(FILTER(tblScheduleData[ShiftEnd],tblScheduleData[OperationalDate]=SelectedDate),ROWS($A$8:A34)),"")</f>
        <v/>
      </c>
      <c r="H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34" s="2">
        <f>IFERROR(INDEX(FILTER(tblScheduleData[ValidationState],tblScheduleData[OperationalDate]=SelectedDate),ROWS($A$8:A34)),"")</f>
        <v/>
      </c>
    </row>
    <row r="35">
      <c r="A35" s="2">
        <f>IFERROR(INDEX(FILTER(tblScheduleData[EmployeeID],tblScheduleData[OperationalDate]=SelectedDate),ROWS($A$8:A35)),"")</f>
        <v/>
      </c>
      <c r="B35" s="2">
        <f>IFERROR(INDEX(FILTER(tblScheduleData[Name],tblScheduleData[OperationalDate]=SelectedDate),ROWS($A$8:A35)),"")</f>
        <v/>
      </c>
      <c r="C35" s="2">
        <f>IFERROR(INDEX(FILTER(tblScheduleData[ContractualHours],tblScheduleData[OperationalDate]=SelectedDate),ROWS($A$8:A35)),"")</f>
        <v/>
      </c>
      <c r="D35" s="2">
        <f>IFERROR(INDEX(FILTER(tblScheduleData[ActivityCode],tblScheduleData[OperationalDate]=SelectedDate),ROWS($A$8:A35)),"")</f>
        <v/>
      </c>
      <c r="E35" s="4">
        <f>IF(Calc_Engine!A35="","",SelectedDate)</f>
        <v/>
      </c>
      <c r="F35" s="5">
        <f>IFERROR(INDEX(FILTER(tblScheduleData[ShiftStart],tblScheduleData[OperationalDate]=SelectedDate),ROWS($A$8:A35)),"")</f>
        <v/>
      </c>
      <c r="G35" s="5">
        <f>IFERROR(INDEX(FILTER(tblScheduleData[ShiftEnd],tblScheduleData[OperationalDate]=SelectedDate),ROWS($A$8:A35)),"")</f>
        <v/>
      </c>
      <c r="H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35" s="2">
        <f>IFERROR(INDEX(FILTER(tblScheduleData[ValidationState],tblScheduleData[OperationalDate]=SelectedDate),ROWS($A$8:A35)),"")</f>
        <v/>
      </c>
    </row>
    <row r="36">
      <c r="A36" s="2">
        <f>IFERROR(INDEX(FILTER(tblScheduleData[EmployeeID],tblScheduleData[OperationalDate]=SelectedDate),ROWS($A$8:A36)),"")</f>
        <v/>
      </c>
      <c r="B36" s="2">
        <f>IFERROR(INDEX(FILTER(tblScheduleData[Name],tblScheduleData[OperationalDate]=SelectedDate),ROWS($A$8:A36)),"")</f>
        <v/>
      </c>
      <c r="C36" s="2">
        <f>IFERROR(INDEX(FILTER(tblScheduleData[ContractualHours],tblScheduleData[OperationalDate]=SelectedDate),ROWS($A$8:A36)),"")</f>
        <v/>
      </c>
      <c r="D36" s="2">
        <f>IFERROR(INDEX(FILTER(tblScheduleData[ActivityCode],tblScheduleData[OperationalDate]=SelectedDate),ROWS($A$8:A36)),"")</f>
        <v/>
      </c>
      <c r="E36" s="4">
        <f>IF(Calc_Engine!A36="","",SelectedDate)</f>
        <v/>
      </c>
      <c r="F36" s="5">
        <f>IFERROR(INDEX(FILTER(tblScheduleData[ShiftStart],tblScheduleData[OperationalDate]=SelectedDate),ROWS($A$8:A36)),"")</f>
        <v/>
      </c>
      <c r="G36" s="5">
        <f>IFERROR(INDEX(FILTER(tblScheduleData[ShiftEnd],tblScheduleData[OperationalDate]=SelectedDate),ROWS($A$8:A36)),"")</f>
        <v/>
      </c>
      <c r="H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36" s="2">
        <f>IFERROR(INDEX(FILTER(tblScheduleData[ValidationState],tblScheduleData[OperationalDate]=SelectedDate),ROWS($A$8:A36)),"")</f>
        <v/>
      </c>
    </row>
    <row r="37">
      <c r="A37" s="2">
        <f>IFERROR(INDEX(FILTER(tblScheduleData[EmployeeID],tblScheduleData[OperationalDate]=SelectedDate),ROWS($A$8:A37)),"")</f>
        <v/>
      </c>
      <c r="B37" s="2">
        <f>IFERROR(INDEX(FILTER(tblScheduleData[Name],tblScheduleData[OperationalDate]=SelectedDate),ROWS($A$8:A37)),"")</f>
        <v/>
      </c>
      <c r="C37" s="2">
        <f>IFERROR(INDEX(FILTER(tblScheduleData[ContractualHours],tblScheduleData[OperationalDate]=SelectedDate),ROWS($A$8:A37)),"")</f>
        <v/>
      </c>
      <c r="D37" s="2">
        <f>IFERROR(INDEX(FILTER(tblScheduleData[ActivityCode],tblScheduleData[OperationalDate]=SelectedDate),ROWS($A$8:A37)),"")</f>
        <v/>
      </c>
      <c r="E37" s="4">
        <f>IF(Calc_Engine!A37="","",SelectedDate)</f>
        <v/>
      </c>
      <c r="F37" s="5">
        <f>IFERROR(INDEX(FILTER(tblScheduleData[ShiftStart],tblScheduleData[OperationalDate]=SelectedDate),ROWS($A$8:A37)),"")</f>
        <v/>
      </c>
      <c r="G37" s="5">
        <f>IFERROR(INDEX(FILTER(tblScheduleData[ShiftEnd],tblScheduleData[OperationalDate]=SelectedDate),ROWS($A$8:A37)),"")</f>
        <v/>
      </c>
      <c r="H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37" s="2">
        <f>IFERROR(INDEX(FILTER(tblScheduleData[ValidationState],tblScheduleData[OperationalDate]=SelectedDate),ROWS($A$8:A37)),"")</f>
        <v/>
      </c>
    </row>
    <row r="38">
      <c r="A38" s="2">
        <f>IFERROR(INDEX(FILTER(tblScheduleData[EmployeeID],tblScheduleData[OperationalDate]=SelectedDate),ROWS($A$8:A38)),"")</f>
        <v/>
      </c>
      <c r="B38" s="2">
        <f>IFERROR(INDEX(FILTER(tblScheduleData[Name],tblScheduleData[OperationalDate]=SelectedDate),ROWS($A$8:A38)),"")</f>
        <v/>
      </c>
      <c r="C38" s="2">
        <f>IFERROR(INDEX(FILTER(tblScheduleData[ContractualHours],tblScheduleData[OperationalDate]=SelectedDate),ROWS($A$8:A38)),"")</f>
        <v/>
      </c>
      <c r="D38" s="2">
        <f>IFERROR(INDEX(FILTER(tblScheduleData[ActivityCode],tblScheduleData[OperationalDate]=SelectedDate),ROWS($A$8:A38)),"")</f>
        <v/>
      </c>
      <c r="E38" s="4">
        <f>IF(Calc_Engine!A38="","",SelectedDate)</f>
        <v/>
      </c>
      <c r="F38" s="5">
        <f>IFERROR(INDEX(FILTER(tblScheduleData[ShiftStart],tblScheduleData[OperationalDate]=SelectedDate),ROWS($A$8:A38)),"")</f>
        <v/>
      </c>
      <c r="G38" s="5">
        <f>IFERROR(INDEX(FILTER(tblScheduleData[ShiftEnd],tblScheduleData[OperationalDate]=SelectedDate),ROWS($A$8:A38)),"")</f>
        <v/>
      </c>
      <c r="H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38" s="2">
        <f>IFERROR(INDEX(FILTER(tblScheduleData[ValidationState],tblScheduleData[OperationalDate]=SelectedDate),ROWS($A$8:A38)),"")</f>
        <v/>
      </c>
    </row>
    <row r="39">
      <c r="A39" s="2">
        <f>IFERROR(INDEX(FILTER(tblScheduleData[EmployeeID],tblScheduleData[OperationalDate]=SelectedDate),ROWS($A$8:A39)),"")</f>
        <v/>
      </c>
      <c r="B39" s="2">
        <f>IFERROR(INDEX(FILTER(tblScheduleData[Name],tblScheduleData[OperationalDate]=SelectedDate),ROWS($A$8:A39)),"")</f>
        <v/>
      </c>
      <c r="C39" s="2">
        <f>IFERROR(INDEX(FILTER(tblScheduleData[ContractualHours],tblScheduleData[OperationalDate]=SelectedDate),ROWS($A$8:A39)),"")</f>
        <v/>
      </c>
      <c r="D39" s="2">
        <f>IFERROR(INDEX(FILTER(tblScheduleData[ActivityCode],tblScheduleData[OperationalDate]=SelectedDate),ROWS($A$8:A39)),"")</f>
        <v/>
      </c>
      <c r="E39" s="4">
        <f>IF(Calc_Engine!A39="","",SelectedDate)</f>
        <v/>
      </c>
      <c r="F39" s="5">
        <f>IFERROR(INDEX(FILTER(tblScheduleData[ShiftStart],tblScheduleData[OperationalDate]=SelectedDate),ROWS($A$8:A39)),"")</f>
        <v/>
      </c>
      <c r="G39" s="5">
        <f>IFERROR(INDEX(FILTER(tblScheduleData[ShiftEnd],tblScheduleData[OperationalDate]=SelectedDate),ROWS($A$8:A39)),"")</f>
        <v/>
      </c>
      <c r="H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39" s="2">
        <f>IFERROR(INDEX(FILTER(tblScheduleData[ValidationState],tblScheduleData[OperationalDate]=SelectedDate),ROWS($A$8:A39)),"")</f>
        <v/>
      </c>
    </row>
    <row r="40">
      <c r="A40" s="2">
        <f>IFERROR(INDEX(FILTER(tblScheduleData[EmployeeID],tblScheduleData[OperationalDate]=SelectedDate),ROWS($A$8:A40)),"")</f>
        <v/>
      </c>
      <c r="B40" s="2">
        <f>IFERROR(INDEX(FILTER(tblScheduleData[Name],tblScheduleData[OperationalDate]=SelectedDate),ROWS($A$8:A40)),"")</f>
        <v/>
      </c>
      <c r="C40" s="2">
        <f>IFERROR(INDEX(FILTER(tblScheduleData[ContractualHours],tblScheduleData[OperationalDate]=SelectedDate),ROWS($A$8:A40)),"")</f>
        <v/>
      </c>
      <c r="D40" s="2">
        <f>IFERROR(INDEX(FILTER(tblScheduleData[ActivityCode],tblScheduleData[OperationalDate]=SelectedDate),ROWS($A$8:A40)),"")</f>
        <v/>
      </c>
      <c r="E40" s="4">
        <f>IF(Calc_Engine!A40="","",SelectedDate)</f>
        <v/>
      </c>
      <c r="F40" s="5">
        <f>IFERROR(INDEX(FILTER(tblScheduleData[ShiftStart],tblScheduleData[OperationalDate]=SelectedDate),ROWS($A$8:A40)),"")</f>
        <v/>
      </c>
      <c r="G40" s="5">
        <f>IFERROR(INDEX(FILTER(tblScheduleData[ShiftEnd],tblScheduleData[OperationalDate]=SelectedDate),ROWS($A$8:A40)),"")</f>
        <v/>
      </c>
      <c r="H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40" s="2">
        <f>IFERROR(INDEX(FILTER(tblScheduleData[ValidationState],tblScheduleData[OperationalDate]=SelectedDate),ROWS($A$8:A40)),"")</f>
        <v/>
      </c>
    </row>
    <row r="41">
      <c r="A41" s="2">
        <f>IFERROR(INDEX(FILTER(tblScheduleData[EmployeeID],tblScheduleData[OperationalDate]=SelectedDate),ROWS($A$8:A41)),"")</f>
        <v/>
      </c>
      <c r="B41" s="2">
        <f>IFERROR(INDEX(FILTER(tblScheduleData[Name],tblScheduleData[OperationalDate]=SelectedDate),ROWS($A$8:A41)),"")</f>
        <v/>
      </c>
      <c r="C41" s="2">
        <f>IFERROR(INDEX(FILTER(tblScheduleData[ContractualHours],tblScheduleData[OperationalDate]=SelectedDate),ROWS($A$8:A41)),"")</f>
        <v/>
      </c>
      <c r="D41" s="2">
        <f>IFERROR(INDEX(FILTER(tblScheduleData[ActivityCode],tblScheduleData[OperationalDate]=SelectedDate),ROWS($A$8:A41)),"")</f>
        <v/>
      </c>
      <c r="E41" s="4">
        <f>IF(Calc_Engine!A41="","",SelectedDate)</f>
        <v/>
      </c>
      <c r="F41" s="5">
        <f>IFERROR(INDEX(FILTER(tblScheduleData[ShiftStart],tblScheduleData[OperationalDate]=SelectedDate),ROWS($A$8:A41)),"")</f>
        <v/>
      </c>
      <c r="G41" s="5">
        <f>IFERROR(INDEX(FILTER(tblScheduleData[ShiftEnd],tblScheduleData[OperationalDate]=SelectedDate),ROWS($A$8:A41)),"")</f>
        <v/>
      </c>
      <c r="H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41" s="2">
        <f>IFERROR(INDEX(FILTER(tblScheduleData[ValidationState],tblScheduleData[OperationalDate]=SelectedDate),ROWS($A$8:A41)),"")</f>
        <v/>
      </c>
    </row>
    <row r="42">
      <c r="A42" s="2">
        <f>IFERROR(INDEX(FILTER(tblScheduleData[EmployeeID],tblScheduleData[OperationalDate]=SelectedDate),ROWS($A$8:A42)),"")</f>
        <v/>
      </c>
      <c r="B42" s="2">
        <f>IFERROR(INDEX(FILTER(tblScheduleData[Name],tblScheduleData[OperationalDate]=SelectedDate),ROWS($A$8:A42)),"")</f>
        <v/>
      </c>
      <c r="C42" s="2">
        <f>IFERROR(INDEX(FILTER(tblScheduleData[ContractualHours],tblScheduleData[OperationalDate]=SelectedDate),ROWS($A$8:A42)),"")</f>
        <v/>
      </c>
      <c r="D42" s="2">
        <f>IFERROR(INDEX(FILTER(tblScheduleData[ActivityCode],tblScheduleData[OperationalDate]=SelectedDate),ROWS($A$8:A42)),"")</f>
        <v/>
      </c>
      <c r="E42" s="4">
        <f>IF(Calc_Engine!A42="","",SelectedDate)</f>
        <v/>
      </c>
      <c r="F42" s="5">
        <f>IFERROR(INDEX(FILTER(tblScheduleData[ShiftStart],tblScheduleData[OperationalDate]=SelectedDate),ROWS($A$8:A42)),"")</f>
        <v/>
      </c>
      <c r="G42" s="5">
        <f>IFERROR(INDEX(FILTER(tblScheduleData[ShiftEnd],tblScheduleData[OperationalDate]=SelectedDate),ROWS($A$8:A42)),"")</f>
        <v/>
      </c>
      <c r="H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42" s="2">
        <f>IFERROR(INDEX(FILTER(tblScheduleData[ValidationState],tblScheduleData[OperationalDate]=SelectedDate),ROWS($A$8:A42)),"")</f>
        <v/>
      </c>
    </row>
    <row r="43">
      <c r="A43" s="2">
        <f>IFERROR(INDEX(FILTER(tblScheduleData[EmployeeID],tblScheduleData[OperationalDate]=SelectedDate),ROWS($A$8:A43)),"")</f>
        <v/>
      </c>
      <c r="B43" s="2">
        <f>IFERROR(INDEX(FILTER(tblScheduleData[Name],tblScheduleData[OperationalDate]=SelectedDate),ROWS($A$8:A43)),"")</f>
        <v/>
      </c>
      <c r="C43" s="2">
        <f>IFERROR(INDEX(FILTER(tblScheduleData[ContractualHours],tblScheduleData[OperationalDate]=SelectedDate),ROWS($A$8:A43)),"")</f>
        <v/>
      </c>
      <c r="D43" s="2">
        <f>IFERROR(INDEX(FILTER(tblScheduleData[ActivityCode],tblScheduleData[OperationalDate]=SelectedDate),ROWS($A$8:A43)),"")</f>
        <v/>
      </c>
      <c r="E43" s="4">
        <f>IF(Calc_Engine!A43="","",SelectedDate)</f>
        <v/>
      </c>
      <c r="F43" s="5">
        <f>IFERROR(INDEX(FILTER(tblScheduleData[ShiftStart],tblScheduleData[OperationalDate]=SelectedDate),ROWS($A$8:A43)),"")</f>
        <v/>
      </c>
      <c r="G43" s="5">
        <f>IFERROR(INDEX(FILTER(tblScheduleData[ShiftEnd],tblScheduleData[OperationalDate]=SelectedDate),ROWS($A$8:A43)),"")</f>
        <v/>
      </c>
      <c r="H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43" s="2">
        <f>IFERROR(INDEX(FILTER(tblScheduleData[ValidationState],tblScheduleData[OperationalDate]=SelectedDate),ROWS($A$8:A43)),"")</f>
        <v/>
      </c>
    </row>
    <row r="44">
      <c r="A44" s="2">
        <f>IFERROR(INDEX(FILTER(tblScheduleData[EmployeeID],tblScheduleData[OperationalDate]=SelectedDate),ROWS($A$8:A44)),"")</f>
        <v/>
      </c>
      <c r="B44" s="2">
        <f>IFERROR(INDEX(FILTER(tblScheduleData[Name],tblScheduleData[OperationalDate]=SelectedDate),ROWS($A$8:A44)),"")</f>
        <v/>
      </c>
      <c r="C44" s="2">
        <f>IFERROR(INDEX(FILTER(tblScheduleData[ContractualHours],tblScheduleData[OperationalDate]=SelectedDate),ROWS($A$8:A44)),"")</f>
        <v/>
      </c>
      <c r="D44" s="2">
        <f>IFERROR(INDEX(FILTER(tblScheduleData[ActivityCode],tblScheduleData[OperationalDate]=SelectedDate),ROWS($A$8:A44)),"")</f>
        <v/>
      </c>
      <c r="E44" s="4">
        <f>IF(Calc_Engine!A44="","",SelectedDate)</f>
        <v/>
      </c>
      <c r="F44" s="5">
        <f>IFERROR(INDEX(FILTER(tblScheduleData[ShiftStart],tblScheduleData[OperationalDate]=SelectedDate),ROWS($A$8:A44)),"")</f>
        <v/>
      </c>
      <c r="G44" s="5">
        <f>IFERROR(INDEX(FILTER(tblScheduleData[ShiftEnd],tblScheduleData[OperationalDate]=SelectedDate),ROWS($A$8:A44)),"")</f>
        <v/>
      </c>
      <c r="H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44" s="2">
        <f>IFERROR(INDEX(FILTER(tblScheduleData[ValidationState],tblScheduleData[OperationalDate]=SelectedDate),ROWS($A$8:A44)),"")</f>
        <v/>
      </c>
    </row>
    <row r="45">
      <c r="A45" s="2">
        <f>IFERROR(INDEX(FILTER(tblScheduleData[EmployeeID],tblScheduleData[OperationalDate]=SelectedDate),ROWS($A$8:A45)),"")</f>
        <v/>
      </c>
      <c r="B45" s="2">
        <f>IFERROR(INDEX(FILTER(tblScheduleData[Name],tblScheduleData[OperationalDate]=SelectedDate),ROWS($A$8:A45)),"")</f>
        <v/>
      </c>
      <c r="C45" s="2">
        <f>IFERROR(INDEX(FILTER(tblScheduleData[ContractualHours],tblScheduleData[OperationalDate]=SelectedDate),ROWS($A$8:A45)),"")</f>
        <v/>
      </c>
      <c r="D45" s="2">
        <f>IFERROR(INDEX(FILTER(tblScheduleData[ActivityCode],tblScheduleData[OperationalDate]=SelectedDate),ROWS($A$8:A45)),"")</f>
        <v/>
      </c>
      <c r="E45" s="4">
        <f>IF(Calc_Engine!A45="","",SelectedDate)</f>
        <v/>
      </c>
      <c r="F45" s="5">
        <f>IFERROR(INDEX(FILTER(tblScheduleData[ShiftStart],tblScheduleData[OperationalDate]=SelectedDate),ROWS($A$8:A45)),"")</f>
        <v/>
      </c>
      <c r="G45" s="5">
        <f>IFERROR(INDEX(FILTER(tblScheduleData[ShiftEnd],tblScheduleData[OperationalDate]=SelectedDate),ROWS($A$8:A45)),"")</f>
        <v/>
      </c>
      <c r="H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45" s="2">
        <f>IFERROR(INDEX(FILTER(tblScheduleData[ValidationState],tblScheduleData[OperationalDate]=SelectedDate),ROWS($A$8:A45)),"")</f>
        <v/>
      </c>
    </row>
    <row r="46">
      <c r="A46" s="2">
        <f>IFERROR(INDEX(FILTER(tblScheduleData[EmployeeID],tblScheduleData[OperationalDate]=SelectedDate),ROWS($A$8:A46)),"")</f>
        <v/>
      </c>
      <c r="B46" s="2">
        <f>IFERROR(INDEX(FILTER(tblScheduleData[Name],tblScheduleData[OperationalDate]=SelectedDate),ROWS($A$8:A46)),"")</f>
        <v/>
      </c>
      <c r="C46" s="2">
        <f>IFERROR(INDEX(FILTER(tblScheduleData[ContractualHours],tblScheduleData[OperationalDate]=SelectedDate),ROWS($A$8:A46)),"")</f>
        <v/>
      </c>
      <c r="D46" s="2">
        <f>IFERROR(INDEX(FILTER(tblScheduleData[ActivityCode],tblScheduleData[OperationalDate]=SelectedDate),ROWS($A$8:A46)),"")</f>
        <v/>
      </c>
      <c r="E46" s="4">
        <f>IF(Calc_Engine!A46="","",SelectedDate)</f>
        <v/>
      </c>
      <c r="F46" s="5">
        <f>IFERROR(INDEX(FILTER(tblScheduleData[ShiftStart],tblScheduleData[OperationalDate]=SelectedDate),ROWS($A$8:A46)),"")</f>
        <v/>
      </c>
      <c r="G46" s="5">
        <f>IFERROR(INDEX(FILTER(tblScheduleData[ShiftEnd],tblScheduleData[OperationalDate]=SelectedDate),ROWS($A$8:A46)),"")</f>
        <v/>
      </c>
      <c r="H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46" s="2">
        <f>IFERROR(INDEX(FILTER(tblScheduleData[ValidationState],tblScheduleData[OperationalDate]=SelectedDate),ROWS($A$8:A46)),"")</f>
        <v/>
      </c>
    </row>
    <row r="47">
      <c r="A47" s="2">
        <f>IFERROR(INDEX(FILTER(tblScheduleData[EmployeeID],tblScheduleData[OperationalDate]=SelectedDate),ROWS($A$8:A47)),"")</f>
        <v/>
      </c>
      <c r="B47" s="2">
        <f>IFERROR(INDEX(FILTER(tblScheduleData[Name],tblScheduleData[OperationalDate]=SelectedDate),ROWS($A$8:A47)),"")</f>
        <v/>
      </c>
      <c r="C47" s="2">
        <f>IFERROR(INDEX(FILTER(tblScheduleData[ContractualHours],tblScheduleData[OperationalDate]=SelectedDate),ROWS($A$8:A47)),"")</f>
        <v/>
      </c>
      <c r="D47" s="2">
        <f>IFERROR(INDEX(FILTER(tblScheduleData[ActivityCode],tblScheduleData[OperationalDate]=SelectedDate),ROWS($A$8:A47)),"")</f>
        <v/>
      </c>
      <c r="E47" s="4">
        <f>IF(Calc_Engine!A47="","",SelectedDate)</f>
        <v/>
      </c>
      <c r="F47" s="5">
        <f>IFERROR(INDEX(FILTER(tblScheduleData[ShiftStart],tblScheduleData[OperationalDate]=SelectedDate),ROWS($A$8:A47)),"")</f>
        <v/>
      </c>
      <c r="G47" s="5">
        <f>IFERROR(INDEX(FILTER(tblScheduleData[ShiftEnd],tblScheduleData[OperationalDate]=SelectedDate),ROWS($A$8:A47)),"")</f>
        <v/>
      </c>
      <c r="H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47" s="2">
        <f>IFERROR(INDEX(FILTER(tblScheduleData[ValidationState],tblScheduleData[OperationalDate]=SelectedDate),ROWS($A$8:A47)),"")</f>
        <v/>
      </c>
    </row>
    <row r="48">
      <c r="A48" s="2">
        <f>IFERROR(INDEX(FILTER(tblScheduleData[EmployeeID],tblScheduleData[OperationalDate]=SelectedDate),ROWS($A$8:A48)),"")</f>
        <v/>
      </c>
      <c r="B48" s="2">
        <f>IFERROR(INDEX(FILTER(tblScheduleData[Name],tblScheduleData[OperationalDate]=SelectedDate),ROWS($A$8:A48)),"")</f>
        <v/>
      </c>
      <c r="C48" s="2">
        <f>IFERROR(INDEX(FILTER(tblScheduleData[ContractualHours],tblScheduleData[OperationalDate]=SelectedDate),ROWS($A$8:A48)),"")</f>
        <v/>
      </c>
      <c r="D48" s="2">
        <f>IFERROR(INDEX(FILTER(tblScheduleData[ActivityCode],tblScheduleData[OperationalDate]=SelectedDate),ROWS($A$8:A48)),"")</f>
        <v/>
      </c>
      <c r="E48" s="4">
        <f>IF(Calc_Engine!A48="","",SelectedDate)</f>
        <v/>
      </c>
      <c r="F48" s="5">
        <f>IFERROR(INDEX(FILTER(tblScheduleData[ShiftStart],tblScheduleData[OperationalDate]=SelectedDate),ROWS($A$8:A48)),"")</f>
        <v/>
      </c>
      <c r="G48" s="5">
        <f>IFERROR(INDEX(FILTER(tblScheduleData[ShiftEnd],tblScheduleData[OperationalDate]=SelectedDate),ROWS($A$8:A48)),"")</f>
        <v/>
      </c>
      <c r="H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48" s="2">
        <f>IFERROR(INDEX(FILTER(tblScheduleData[ValidationState],tblScheduleData[OperationalDate]=SelectedDate),ROWS($A$8:A48)),"")</f>
        <v/>
      </c>
    </row>
    <row r="49">
      <c r="A49" s="2">
        <f>IFERROR(INDEX(FILTER(tblScheduleData[EmployeeID],tblScheduleData[OperationalDate]=SelectedDate),ROWS($A$8:A49)),"")</f>
        <v/>
      </c>
      <c r="B49" s="2">
        <f>IFERROR(INDEX(FILTER(tblScheduleData[Name],tblScheduleData[OperationalDate]=SelectedDate),ROWS($A$8:A49)),"")</f>
        <v/>
      </c>
      <c r="C49" s="2">
        <f>IFERROR(INDEX(FILTER(tblScheduleData[ContractualHours],tblScheduleData[OperationalDate]=SelectedDate),ROWS($A$8:A49)),"")</f>
        <v/>
      </c>
      <c r="D49" s="2">
        <f>IFERROR(INDEX(FILTER(tblScheduleData[ActivityCode],tblScheduleData[OperationalDate]=SelectedDate),ROWS($A$8:A49)),"")</f>
        <v/>
      </c>
      <c r="E49" s="4">
        <f>IF(Calc_Engine!A49="","",SelectedDate)</f>
        <v/>
      </c>
      <c r="F49" s="5">
        <f>IFERROR(INDEX(FILTER(tblScheduleData[ShiftStart],tblScheduleData[OperationalDate]=SelectedDate),ROWS($A$8:A49)),"")</f>
        <v/>
      </c>
      <c r="G49" s="5">
        <f>IFERROR(INDEX(FILTER(tblScheduleData[ShiftEnd],tblScheduleData[OperationalDate]=SelectedDate),ROWS($A$8:A49)),"")</f>
        <v/>
      </c>
      <c r="H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49" s="2">
        <f>IFERROR(INDEX(FILTER(tblScheduleData[ValidationState],tblScheduleData[OperationalDate]=SelectedDate),ROWS($A$8:A49)),"")</f>
        <v/>
      </c>
    </row>
    <row r="50">
      <c r="A50" s="2">
        <f>IFERROR(INDEX(FILTER(tblScheduleData[EmployeeID],tblScheduleData[OperationalDate]=SelectedDate),ROWS($A$8:A50)),"")</f>
        <v/>
      </c>
      <c r="B50" s="2">
        <f>IFERROR(INDEX(FILTER(tblScheduleData[Name],tblScheduleData[OperationalDate]=SelectedDate),ROWS($A$8:A50)),"")</f>
        <v/>
      </c>
      <c r="C50" s="2">
        <f>IFERROR(INDEX(FILTER(tblScheduleData[ContractualHours],tblScheduleData[OperationalDate]=SelectedDate),ROWS($A$8:A50)),"")</f>
        <v/>
      </c>
      <c r="D50" s="2">
        <f>IFERROR(INDEX(FILTER(tblScheduleData[ActivityCode],tblScheduleData[OperationalDate]=SelectedDate),ROWS($A$8:A50)),"")</f>
        <v/>
      </c>
      <c r="E50" s="4">
        <f>IF(Calc_Engine!A50="","",SelectedDate)</f>
        <v/>
      </c>
      <c r="F50" s="5">
        <f>IFERROR(INDEX(FILTER(tblScheduleData[ShiftStart],tblScheduleData[OperationalDate]=SelectedDate),ROWS($A$8:A50)),"")</f>
        <v/>
      </c>
      <c r="G50" s="5">
        <f>IFERROR(INDEX(FILTER(tblScheduleData[ShiftEnd],tblScheduleData[OperationalDate]=SelectedDate),ROWS($A$8:A50)),"")</f>
        <v/>
      </c>
      <c r="H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50" s="2">
        <f>IFERROR(INDEX(FILTER(tblScheduleData[ValidationState],tblScheduleData[OperationalDate]=SelectedDate),ROWS($A$8:A50)),"")</f>
        <v/>
      </c>
    </row>
    <row r="51">
      <c r="A51" s="2">
        <f>IFERROR(INDEX(FILTER(tblScheduleData[EmployeeID],tblScheduleData[OperationalDate]=SelectedDate),ROWS($A$8:A51)),"")</f>
        <v/>
      </c>
      <c r="B51" s="2">
        <f>IFERROR(INDEX(FILTER(tblScheduleData[Name],tblScheduleData[OperationalDate]=SelectedDate),ROWS($A$8:A51)),"")</f>
        <v/>
      </c>
      <c r="C51" s="2">
        <f>IFERROR(INDEX(FILTER(tblScheduleData[ContractualHours],tblScheduleData[OperationalDate]=SelectedDate),ROWS($A$8:A51)),"")</f>
        <v/>
      </c>
      <c r="D51" s="2">
        <f>IFERROR(INDEX(FILTER(tblScheduleData[ActivityCode],tblScheduleData[OperationalDate]=SelectedDate),ROWS($A$8:A51)),"")</f>
        <v/>
      </c>
      <c r="E51" s="4">
        <f>IF(Calc_Engine!A51="","",SelectedDate)</f>
        <v/>
      </c>
      <c r="F51" s="5">
        <f>IFERROR(INDEX(FILTER(tblScheduleData[ShiftStart],tblScheduleData[OperationalDate]=SelectedDate),ROWS($A$8:A51)),"")</f>
        <v/>
      </c>
      <c r="G51" s="5">
        <f>IFERROR(INDEX(FILTER(tblScheduleData[ShiftEnd],tblScheduleData[OperationalDate]=SelectedDate),ROWS($A$8:A51)),"")</f>
        <v/>
      </c>
      <c r="H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51" s="2">
        <f>IFERROR(INDEX(FILTER(tblScheduleData[ValidationState],tblScheduleData[OperationalDate]=SelectedDate),ROWS($A$8:A51)),"")</f>
        <v/>
      </c>
    </row>
    <row r="52">
      <c r="A52" s="2">
        <f>IFERROR(INDEX(FILTER(tblScheduleData[EmployeeID],tblScheduleData[OperationalDate]=SelectedDate),ROWS($A$8:A52)),"")</f>
        <v/>
      </c>
      <c r="B52" s="2">
        <f>IFERROR(INDEX(FILTER(tblScheduleData[Name],tblScheduleData[OperationalDate]=SelectedDate),ROWS($A$8:A52)),"")</f>
        <v/>
      </c>
      <c r="C52" s="2">
        <f>IFERROR(INDEX(FILTER(tblScheduleData[ContractualHours],tblScheduleData[OperationalDate]=SelectedDate),ROWS($A$8:A52)),"")</f>
        <v/>
      </c>
      <c r="D52" s="2">
        <f>IFERROR(INDEX(FILTER(tblScheduleData[ActivityCode],tblScheduleData[OperationalDate]=SelectedDate),ROWS($A$8:A52)),"")</f>
        <v/>
      </c>
      <c r="E52" s="4">
        <f>IF(Calc_Engine!A52="","",SelectedDate)</f>
        <v/>
      </c>
      <c r="F52" s="5">
        <f>IFERROR(INDEX(FILTER(tblScheduleData[ShiftStart],tblScheduleData[OperationalDate]=SelectedDate),ROWS($A$8:A52)),"")</f>
        <v/>
      </c>
      <c r="G52" s="5">
        <f>IFERROR(INDEX(FILTER(tblScheduleData[ShiftEnd],tblScheduleData[OperationalDate]=SelectedDate),ROWS($A$8:A52)),"")</f>
        <v/>
      </c>
      <c r="H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52" s="2">
        <f>IFERROR(INDEX(FILTER(tblScheduleData[ValidationState],tblScheduleData[OperationalDate]=SelectedDate),ROWS($A$8:A52)),"")</f>
        <v/>
      </c>
    </row>
    <row r="53">
      <c r="A53" s="2">
        <f>IFERROR(INDEX(FILTER(tblScheduleData[EmployeeID],tblScheduleData[OperationalDate]=SelectedDate),ROWS($A$8:A53)),"")</f>
        <v/>
      </c>
      <c r="B53" s="2">
        <f>IFERROR(INDEX(FILTER(tblScheduleData[Name],tblScheduleData[OperationalDate]=SelectedDate),ROWS($A$8:A53)),"")</f>
        <v/>
      </c>
      <c r="C53" s="2">
        <f>IFERROR(INDEX(FILTER(tblScheduleData[ContractualHours],tblScheduleData[OperationalDate]=SelectedDate),ROWS($A$8:A53)),"")</f>
        <v/>
      </c>
      <c r="D53" s="2">
        <f>IFERROR(INDEX(FILTER(tblScheduleData[ActivityCode],tblScheduleData[OperationalDate]=SelectedDate),ROWS($A$8:A53)),"")</f>
        <v/>
      </c>
      <c r="E53" s="4">
        <f>IF(Calc_Engine!A53="","",SelectedDate)</f>
        <v/>
      </c>
      <c r="F53" s="5">
        <f>IFERROR(INDEX(FILTER(tblScheduleData[ShiftStart],tblScheduleData[OperationalDate]=SelectedDate),ROWS($A$8:A53)),"")</f>
        <v/>
      </c>
      <c r="G53" s="5">
        <f>IFERROR(INDEX(FILTER(tblScheduleData[ShiftEnd],tblScheduleData[OperationalDate]=SelectedDate),ROWS($A$8:A53)),"")</f>
        <v/>
      </c>
      <c r="H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53" s="2">
        <f>IFERROR(INDEX(FILTER(tblScheduleData[ValidationState],tblScheduleData[OperationalDate]=SelectedDate),ROWS($A$8:A53)),"")</f>
        <v/>
      </c>
    </row>
    <row r="54">
      <c r="A54" s="2">
        <f>IFERROR(INDEX(FILTER(tblScheduleData[EmployeeID],tblScheduleData[OperationalDate]=SelectedDate),ROWS($A$8:A54)),"")</f>
        <v/>
      </c>
      <c r="B54" s="2">
        <f>IFERROR(INDEX(FILTER(tblScheduleData[Name],tblScheduleData[OperationalDate]=SelectedDate),ROWS($A$8:A54)),"")</f>
        <v/>
      </c>
      <c r="C54" s="2">
        <f>IFERROR(INDEX(FILTER(tblScheduleData[ContractualHours],tblScheduleData[OperationalDate]=SelectedDate),ROWS($A$8:A54)),"")</f>
        <v/>
      </c>
      <c r="D54" s="2">
        <f>IFERROR(INDEX(FILTER(tblScheduleData[ActivityCode],tblScheduleData[OperationalDate]=SelectedDate),ROWS($A$8:A54)),"")</f>
        <v/>
      </c>
      <c r="E54" s="4">
        <f>IF(Calc_Engine!A54="","",SelectedDate)</f>
        <v/>
      </c>
      <c r="F54" s="5">
        <f>IFERROR(INDEX(FILTER(tblScheduleData[ShiftStart],tblScheduleData[OperationalDate]=SelectedDate),ROWS($A$8:A54)),"")</f>
        <v/>
      </c>
      <c r="G54" s="5">
        <f>IFERROR(INDEX(FILTER(tblScheduleData[ShiftEnd],tblScheduleData[OperationalDate]=SelectedDate),ROWS($A$8:A54)),"")</f>
        <v/>
      </c>
      <c r="H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54" s="2">
        <f>IFERROR(INDEX(FILTER(tblScheduleData[ValidationState],tblScheduleData[OperationalDate]=SelectedDate),ROWS($A$8:A54)),"")</f>
        <v/>
      </c>
    </row>
    <row r="55">
      <c r="A55" s="2">
        <f>IFERROR(INDEX(FILTER(tblScheduleData[EmployeeID],tblScheduleData[OperationalDate]=SelectedDate),ROWS($A$8:A55)),"")</f>
        <v/>
      </c>
      <c r="B55" s="2">
        <f>IFERROR(INDEX(FILTER(tblScheduleData[Name],tblScheduleData[OperationalDate]=SelectedDate),ROWS($A$8:A55)),"")</f>
        <v/>
      </c>
      <c r="C55" s="2">
        <f>IFERROR(INDEX(FILTER(tblScheduleData[ContractualHours],tblScheduleData[OperationalDate]=SelectedDate),ROWS($A$8:A55)),"")</f>
        <v/>
      </c>
      <c r="D55" s="2">
        <f>IFERROR(INDEX(FILTER(tblScheduleData[ActivityCode],tblScheduleData[OperationalDate]=SelectedDate),ROWS($A$8:A55)),"")</f>
        <v/>
      </c>
      <c r="E55" s="4">
        <f>IF(Calc_Engine!A55="","",SelectedDate)</f>
        <v/>
      </c>
      <c r="F55" s="5">
        <f>IFERROR(INDEX(FILTER(tblScheduleData[ShiftStart],tblScheduleData[OperationalDate]=SelectedDate),ROWS($A$8:A55)),"")</f>
        <v/>
      </c>
      <c r="G55" s="5">
        <f>IFERROR(INDEX(FILTER(tblScheduleData[ShiftEnd],tblScheduleData[OperationalDate]=SelectedDate),ROWS($A$8:A55)),"")</f>
        <v/>
      </c>
      <c r="H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55" s="2">
        <f>IFERROR(INDEX(FILTER(tblScheduleData[ValidationState],tblScheduleData[OperationalDate]=SelectedDate),ROWS($A$8:A55)),"")</f>
        <v/>
      </c>
    </row>
    <row r="56">
      <c r="A56" s="2">
        <f>IFERROR(INDEX(FILTER(tblScheduleData[EmployeeID],tblScheduleData[OperationalDate]=SelectedDate),ROWS($A$8:A56)),"")</f>
        <v/>
      </c>
      <c r="B56" s="2">
        <f>IFERROR(INDEX(FILTER(tblScheduleData[Name],tblScheduleData[OperationalDate]=SelectedDate),ROWS($A$8:A56)),"")</f>
        <v/>
      </c>
      <c r="C56" s="2">
        <f>IFERROR(INDEX(FILTER(tblScheduleData[ContractualHours],tblScheduleData[OperationalDate]=SelectedDate),ROWS($A$8:A56)),"")</f>
        <v/>
      </c>
      <c r="D56" s="2">
        <f>IFERROR(INDEX(FILTER(tblScheduleData[ActivityCode],tblScheduleData[OperationalDate]=SelectedDate),ROWS($A$8:A56)),"")</f>
        <v/>
      </c>
      <c r="E56" s="4">
        <f>IF(Calc_Engine!A56="","",SelectedDate)</f>
        <v/>
      </c>
      <c r="F56" s="5">
        <f>IFERROR(INDEX(FILTER(tblScheduleData[ShiftStart],tblScheduleData[OperationalDate]=SelectedDate),ROWS($A$8:A56)),"")</f>
        <v/>
      </c>
      <c r="G56" s="5">
        <f>IFERROR(INDEX(FILTER(tblScheduleData[ShiftEnd],tblScheduleData[OperationalDate]=SelectedDate),ROWS($A$8:A56)),"")</f>
        <v/>
      </c>
      <c r="H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56" s="2">
        <f>IFERROR(INDEX(FILTER(tblScheduleData[ValidationState],tblScheduleData[OperationalDate]=SelectedDate),ROWS($A$8:A56)),"")</f>
        <v/>
      </c>
    </row>
    <row r="57">
      <c r="A57" s="2">
        <f>IFERROR(INDEX(FILTER(tblScheduleData[EmployeeID],tblScheduleData[OperationalDate]=SelectedDate),ROWS($A$8:A57)),"")</f>
        <v/>
      </c>
      <c r="B57" s="2">
        <f>IFERROR(INDEX(FILTER(tblScheduleData[Name],tblScheduleData[OperationalDate]=SelectedDate),ROWS($A$8:A57)),"")</f>
        <v/>
      </c>
      <c r="C57" s="2">
        <f>IFERROR(INDEX(FILTER(tblScheduleData[ContractualHours],tblScheduleData[OperationalDate]=SelectedDate),ROWS($A$8:A57)),"")</f>
        <v/>
      </c>
      <c r="D57" s="2">
        <f>IFERROR(INDEX(FILTER(tblScheduleData[ActivityCode],tblScheduleData[OperationalDate]=SelectedDate),ROWS($A$8:A57)),"")</f>
        <v/>
      </c>
      <c r="E57" s="4">
        <f>IF(Calc_Engine!A57="","",SelectedDate)</f>
        <v/>
      </c>
      <c r="F57" s="5">
        <f>IFERROR(INDEX(FILTER(tblScheduleData[ShiftStart],tblScheduleData[OperationalDate]=SelectedDate),ROWS($A$8:A57)),"")</f>
        <v/>
      </c>
      <c r="G57" s="5">
        <f>IFERROR(INDEX(FILTER(tblScheduleData[ShiftEnd],tblScheduleData[OperationalDate]=SelectedDate),ROWS($A$8:A57)),"")</f>
        <v/>
      </c>
      <c r="H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57" s="2">
        <f>IFERROR(INDEX(FILTER(tblScheduleData[ValidationState],tblScheduleData[OperationalDate]=SelectedDate),ROWS($A$8:A57)),"")</f>
        <v/>
      </c>
    </row>
    <row r="58">
      <c r="A58" s="2">
        <f>IFERROR(INDEX(FILTER(tblScheduleData[EmployeeID],tblScheduleData[OperationalDate]=SelectedDate),ROWS($A$8:A58)),"")</f>
        <v/>
      </c>
      <c r="B58" s="2">
        <f>IFERROR(INDEX(FILTER(tblScheduleData[Name],tblScheduleData[OperationalDate]=SelectedDate),ROWS($A$8:A58)),"")</f>
        <v/>
      </c>
      <c r="C58" s="2">
        <f>IFERROR(INDEX(FILTER(tblScheduleData[ContractualHours],tblScheduleData[OperationalDate]=SelectedDate),ROWS($A$8:A58)),"")</f>
        <v/>
      </c>
      <c r="D58" s="2">
        <f>IFERROR(INDEX(FILTER(tblScheduleData[ActivityCode],tblScheduleData[OperationalDate]=SelectedDate),ROWS($A$8:A58)),"")</f>
        <v/>
      </c>
      <c r="E58" s="4">
        <f>IF(Calc_Engine!A58="","",SelectedDate)</f>
        <v/>
      </c>
      <c r="F58" s="5">
        <f>IFERROR(INDEX(FILTER(tblScheduleData[ShiftStart],tblScheduleData[OperationalDate]=SelectedDate),ROWS($A$8:A58)),"")</f>
        <v/>
      </c>
      <c r="G58" s="5">
        <f>IFERROR(INDEX(FILTER(tblScheduleData[ShiftEnd],tblScheduleData[OperationalDate]=SelectedDate),ROWS($A$8:A58)),"")</f>
        <v/>
      </c>
      <c r="H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58" s="2">
        <f>IFERROR(INDEX(FILTER(tblScheduleData[ValidationState],tblScheduleData[OperationalDate]=SelectedDate),ROWS($A$8:A58)),"")</f>
        <v/>
      </c>
    </row>
    <row r="59">
      <c r="A59" s="2">
        <f>IFERROR(INDEX(FILTER(tblScheduleData[EmployeeID],tblScheduleData[OperationalDate]=SelectedDate),ROWS($A$8:A59)),"")</f>
        <v/>
      </c>
      <c r="B59" s="2">
        <f>IFERROR(INDEX(FILTER(tblScheduleData[Name],tblScheduleData[OperationalDate]=SelectedDate),ROWS($A$8:A59)),"")</f>
        <v/>
      </c>
      <c r="C59" s="2">
        <f>IFERROR(INDEX(FILTER(tblScheduleData[ContractualHours],tblScheduleData[OperationalDate]=SelectedDate),ROWS($A$8:A59)),"")</f>
        <v/>
      </c>
      <c r="D59" s="2">
        <f>IFERROR(INDEX(FILTER(tblScheduleData[ActivityCode],tblScheduleData[OperationalDate]=SelectedDate),ROWS($A$8:A59)),"")</f>
        <v/>
      </c>
      <c r="E59" s="4">
        <f>IF(Calc_Engine!A59="","",SelectedDate)</f>
        <v/>
      </c>
      <c r="F59" s="5">
        <f>IFERROR(INDEX(FILTER(tblScheduleData[ShiftStart],tblScheduleData[OperationalDate]=SelectedDate),ROWS($A$8:A59)),"")</f>
        <v/>
      </c>
      <c r="G59" s="5">
        <f>IFERROR(INDEX(FILTER(tblScheduleData[ShiftEnd],tblScheduleData[OperationalDate]=SelectedDate),ROWS($A$8:A59)),"")</f>
        <v/>
      </c>
      <c r="H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59" s="2">
        <f>IFERROR(INDEX(FILTER(tblScheduleData[ValidationState],tblScheduleData[OperationalDate]=SelectedDate),ROWS($A$8:A59)),"")</f>
        <v/>
      </c>
    </row>
    <row r="60">
      <c r="A60" s="2">
        <f>IFERROR(INDEX(FILTER(tblScheduleData[EmployeeID],tblScheduleData[OperationalDate]=SelectedDate),ROWS($A$8:A60)),"")</f>
        <v/>
      </c>
      <c r="B60" s="2">
        <f>IFERROR(INDEX(FILTER(tblScheduleData[Name],tblScheduleData[OperationalDate]=SelectedDate),ROWS($A$8:A60)),"")</f>
        <v/>
      </c>
      <c r="C60" s="2">
        <f>IFERROR(INDEX(FILTER(tblScheduleData[ContractualHours],tblScheduleData[OperationalDate]=SelectedDate),ROWS($A$8:A60)),"")</f>
        <v/>
      </c>
      <c r="D60" s="2">
        <f>IFERROR(INDEX(FILTER(tblScheduleData[ActivityCode],tblScheduleData[OperationalDate]=SelectedDate),ROWS($A$8:A60)),"")</f>
        <v/>
      </c>
      <c r="E60" s="4">
        <f>IF(Calc_Engine!A60="","",SelectedDate)</f>
        <v/>
      </c>
      <c r="F60" s="5">
        <f>IFERROR(INDEX(FILTER(tblScheduleData[ShiftStart],tblScheduleData[OperationalDate]=SelectedDate),ROWS($A$8:A60)),"")</f>
        <v/>
      </c>
      <c r="G60" s="5">
        <f>IFERROR(INDEX(FILTER(tblScheduleData[ShiftEnd],tblScheduleData[OperationalDate]=SelectedDate),ROWS($A$8:A60)),"")</f>
        <v/>
      </c>
      <c r="H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60" s="2">
        <f>IFERROR(INDEX(FILTER(tblScheduleData[ValidationState],tblScheduleData[OperationalDate]=SelectedDate),ROWS($A$8:A60)),"")</f>
        <v/>
      </c>
    </row>
    <row r="61">
      <c r="A61" s="2">
        <f>IFERROR(INDEX(FILTER(tblScheduleData[EmployeeID],tblScheduleData[OperationalDate]=SelectedDate),ROWS($A$8:A61)),"")</f>
        <v/>
      </c>
      <c r="B61" s="2">
        <f>IFERROR(INDEX(FILTER(tblScheduleData[Name],tblScheduleData[OperationalDate]=SelectedDate),ROWS($A$8:A61)),"")</f>
        <v/>
      </c>
      <c r="C61" s="2">
        <f>IFERROR(INDEX(FILTER(tblScheduleData[ContractualHours],tblScheduleData[OperationalDate]=SelectedDate),ROWS($A$8:A61)),"")</f>
        <v/>
      </c>
      <c r="D61" s="2">
        <f>IFERROR(INDEX(FILTER(tblScheduleData[ActivityCode],tblScheduleData[OperationalDate]=SelectedDate),ROWS($A$8:A61)),"")</f>
        <v/>
      </c>
      <c r="E61" s="4">
        <f>IF(Calc_Engine!A61="","",SelectedDate)</f>
        <v/>
      </c>
      <c r="F61" s="5">
        <f>IFERROR(INDEX(FILTER(tblScheduleData[ShiftStart],tblScheduleData[OperationalDate]=SelectedDate),ROWS($A$8:A61)),"")</f>
        <v/>
      </c>
      <c r="G61" s="5">
        <f>IFERROR(INDEX(FILTER(tblScheduleData[ShiftEnd],tblScheduleData[OperationalDate]=SelectedDate),ROWS($A$8:A61)),"")</f>
        <v/>
      </c>
      <c r="H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61" s="2">
        <f>IFERROR(INDEX(FILTER(tblScheduleData[ValidationState],tblScheduleData[OperationalDate]=SelectedDate),ROWS($A$8:A61)),"")</f>
        <v/>
      </c>
    </row>
    <row r="62">
      <c r="A62" s="2">
        <f>IFERROR(INDEX(FILTER(tblScheduleData[EmployeeID],tblScheduleData[OperationalDate]=SelectedDate),ROWS($A$8:A62)),"")</f>
        <v/>
      </c>
      <c r="B62" s="2">
        <f>IFERROR(INDEX(FILTER(tblScheduleData[Name],tblScheduleData[OperationalDate]=SelectedDate),ROWS($A$8:A62)),"")</f>
        <v/>
      </c>
      <c r="C62" s="2">
        <f>IFERROR(INDEX(FILTER(tblScheduleData[ContractualHours],tblScheduleData[OperationalDate]=SelectedDate),ROWS($A$8:A62)),"")</f>
        <v/>
      </c>
      <c r="D62" s="2">
        <f>IFERROR(INDEX(FILTER(tblScheduleData[ActivityCode],tblScheduleData[OperationalDate]=SelectedDate),ROWS($A$8:A62)),"")</f>
        <v/>
      </c>
      <c r="E62" s="4">
        <f>IF(Calc_Engine!A62="","",SelectedDate)</f>
        <v/>
      </c>
      <c r="F62" s="5">
        <f>IFERROR(INDEX(FILTER(tblScheduleData[ShiftStart],tblScheduleData[OperationalDate]=SelectedDate),ROWS($A$8:A62)),"")</f>
        <v/>
      </c>
      <c r="G62" s="5">
        <f>IFERROR(INDEX(FILTER(tblScheduleData[ShiftEnd],tblScheduleData[OperationalDate]=SelectedDate),ROWS($A$8:A62)),"")</f>
        <v/>
      </c>
      <c r="H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62" s="2">
        <f>IFERROR(INDEX(FILTER(tblScheduleData[ValidationState],tblScheduleData[OperationalDate]=SelectedDate),ROWS($A$8:A62)),"")</f>
        <v/>
      </c>
    </row>
    <row r="63">
      <c r="A63" s="2">
        <f>IFERROR(INDEX(FILTER(tblScheduleData[EmployeeID],tblScheduleData[OperationalDate]=SelectedDate),ROWS($A$8:A63)),"")</f>
        <v/>
      </c>
      <c r="B63" s="2">
        <f>IFERROR(INDEX(FILTER(tblScheduleData[Name],tblScheduleData[OperationalDate]=SelectedDate),ROWS($A$8:A63)),"")</f>
        <v/>
      </c>
      <c r="C63" s="2">
        <f>IFERROR(INDEX(FILTER(tblScheduleData[ContractualHours],tblScheduleData[OperationalDate]=SelectedDate),ROWS($A$8:A63)),"")</f>
        <v/>
      </c>
      <c r="D63" s="2">
        <f>IFERROR(INDEX(FILTER(tblScheduleData[ActivityCode],tblScheduleData[OperationalDate]=SelectedDate),ROWS($A$8:A63)),"")</f>
        <v/>
      </c>
      <c r="E63" s="4">
        <f>IF(Calc_Engine!A63="","",SelectedDate)</f>
        <v/>
      </c>
      <c r="F63" s="5">
        <f>IFERROR(INDEX(FILTER(tblScheduleData[ShiftStart],tblScheduleData[OperationalDate]=SelectedDate),ROWS($A$8:A63)),"")</f>
        <v/>
      </c>
      <c r="G63" s="5">
        <f>IFERROR(INDEX(FILTER(tblScheduleData[ShiftEnd],tblScheduleData[OperationalDate]=SelectedDate),ROWS($A$8:A63)),"")</f>
        <v/>
      </c>
      <c r="H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63" s="2">
        <f>IFERROR(INDEX(FILTER(tblScheduleData[ValidationState],tblScheduleData[OperationalDate]=SelectedDate),ROWS($A$8:A63)),"")</f>
        <v/>
      </c>
    </row>
    <row r="64">
      <c r="A64" s="2">
        <f>IFERROR(INDEX(FILTER(tblScheduleData[EmployeeID],tblScheduleData[OperationalDate]=SelectedDate),ROWS($A$8:A64)),"")</f>
        <v/>
      </c>
      <c r="B64" s="2">
        <f>IFERROR(INDEX(FILTER(tblScheduleData[Name],tblScheduleData[OperationalDate]=SelectedDate),ROWS($A$8:A64)),"")</f>
        <v/>
      </c>
      <c r="C64" s="2">
        <f>IFERROR(INDEX(FILTER(tblScheduleData[ContractualHours],tblScheduleData[OperationalDate]=SelectedDate),ROWS($A$8:A64)),"")</f>
        <v/>
      </c>
      <c r="D64" s="2">
        <f>IFERROR(INDEX(FILTER(tblScheduleData[ActivityCode],tblScheduleData[OperationalDate]=SelectedDate),ROWS($A$8:A64)),"")</f>
        <v/>
      </c>
      <c r="E64" s="4">
        <f>IF(Calc_Engine!A64="","",SelectedDate)</f>
        <v/>
      </c>
      <c r="F64" s="5">
        <f>IFERROR(INDEX(FILTER(tblScheduleData[ShiftStart],tblScheduleData[OperationalDate]=SelectedDate),ROWS($A$8:A64)),"")</f>
        <v/>
      </c>
      <c r="G64" s="5">
        <f>IFERROR(INDEX(FILTER(tblScheduleData[ShiftEnd],tblScheduleData[OperationalDate]=SelectedDate),ROWS($A$8:A64)),"")</f>
        <v/>
      </c>
      <c r="H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64" s="2">
        <f>IFERROR(INDEX(FILTER(tblScheduleData[ValidationState],tblScheduleData[OperationalDate]=SelectedDate),ROWS($A$8:A64)),"")</f>
        <v/>
      </c>
    </row>
    <row r="65">
      <c r="A65" s="2">
        <f>IFERROR(INDEX(FILTER(tblScheduleData[EmployeeID],tblScheduleData[OperationalDate]=SelectedDate),ROWS($A$8:A65)),"")</f>
        <v/>
      </c>
      <c r="B65" s="2">
        <f>IFERROR(INDEX(FILTER(tblScheduleData[Name],tblScheduleData[OperationalDate]=SelectedDate),ROWS($A$8:A65)),"")</f>
        <v/>
      </c>
      <c r="C65" s="2">
        <f>IFERROR(INDEX(FILTER(tblScheduleData[ContractualHours],tblScheduleData[OperationalDate]=SelectedDate),ROWS($A$8:A65)),"")</f>
        <v/>
      </c>
      <c r="D65" s="2">
        <f>IFERROR(INDEX(FILTER(tblScheduleData[ActivityCode],tblScheduleData[OperationalDate]=SelectedDate),ROWS($A$8:A65)),"")</f>
        <v/>
      </c>
      <c r="E65" s="4">
        <f>IF(Calc_Engine!A65="","",SelectedDate)</f>
        <v/>
      </c>
      <c r="F65" s="5">
        <f>IFERROR(INDEX(FILTER(tblScheduleData[ShiftStart],tblScheduleData[OperationalDate]=SelectedDate),ROWS($A$8:A65)),"")</f>
        <v/>
      </c>
      <c r="G65" s="5">
        <f>IFERROR(INDEX(FILTER(tblScheduleData[ShiftEnd],tblScheduleData[OperationalDate]=SelectedDate),ROWS($A$8:A65)),"")</f>
        <v/>
      </c>
      <c r="H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65" s="2">
        <f>IFERROR(INDEX(FILTER(tblScheduleData[ValidationState],tblScheduleData[OperationalDate]=SelectedDate),ROWS($A$8:A65)),"")</f>
        <v/>
      </c>
    </row>
    <row r="66">
      <c r="A66" s="2">
        <f>IFERROR(INDEX(FILTER(tblScheduleData[EmployeeID],tblScheduleData[OperationalDate]=SelectedDate),ROWS($A$8:A66)),"")</f>
        <v/>
      </c>
      <c r="B66" s="2">
        <f>IFERROR(INDEX(FILTER(tblScheduleData[Name],tblScheduleData[OperationalDate]=SelectedDate),ROWS($A$8:A66)),"")</f>
        <v/>
      </c>
      <c r="C66" s="2">
        <f>IFERROR(INDEX(FILTER(tblScheduleData[ContractualHours],tblScheduleData[OperationalDate]=SelectedDate),ROWS($A$8:A66)),"")</f>
        <v/>
      </c>
      <c r="D66" s="2">
        <f>IFERROR(INDEX(FILTER(tblScheduleData[ActivityCode],tblScheduleData[OperationalDate]=SelectedDate),ROWS($A$8:A66)),"")</f>
        <v/>
      </c>
      <c r="E66" s="4">
        <f>IF(Calc_Engine!A66="","",SelectedDate)</f>
        <v/>
      </c>
      <c r="F66" s="5">
        <f>IFERROR(INDEX(FILTER(tblScheduleData[ShiftStart],tblScheduleData[OperationalDate]=SelectedDate),ROWS($A$8:A66)),"")</f>
        <v/>
      </c>
      <c r="G66" s="5">
        <f>IFERROR(INDEX(FILTER(tblScheduleData[ShiftEnd],tblScheduleData[OperationalDate]=SelectedDate),ROWS($A$8:A66)),"")</f>
        <v/>
      </c>
      <c r="H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66" s="2">
        <f>IFERROR(INDEX(FILTER(tblScheduleData[ValidationState],tblScheduleData[OperationalDate]=SelectedDate),ROWS($A$8:A66)),"")</f>
        <v/>
      </c>
    </row>
    <row r="67">
      <c r="A67" s="2">
        <f>IFERROR(INDEX(FILTER(tblScheduleData[EmployeeID],tblScheduleData[OperationalDate]=SelectedDate),ROWS($A$8:A67)),"")</f>
        <v/>
      </c>
      <c r="B67" s="2">
        <f>IFERROR(INDEX(FILTER(tblScheduleData[Name],tblScheduleData[OperationalDate]=SelectedDate),ROWS($A$8:A67)),"")</f>
        <v/>
      </c>
      <c r="C67" s="2">
        <f>IFERROR(INDEX(FILTER(tblScheduleData[ContractualHours],tblScheduleData[OperationalDate]=SelectedDate),ROWS($A$8:A67)),"")</f>
        <v/>
      </c>
      <c r="D67" s="2">
        <f>IFERROR(INDEX(FILTER(tblScheduleData[ActivityCode],tblScheduleData[OperationalDate]=SelectedDate),ROWS($A$8:A67)),"")</f>
        <v/>
      </c>
      <c r="E67" s="4">
        <f>IF(Calc_Engine!A67="","",SelectedDate)</f>
        <v/>
      </c>
      <c r="F67" s="5">
        <f>IFERROR(INDEX(FILTER(tblScheduleData[ShiftStart],tblScheduleData[OperationalDate]=SelectedDate),ROWS($A$8:A67)),"")</f>
        <v/>
      </c>
      <c r="G67" s="5">
        <f>IFERROR(INDEX(FILTER(tblScheduleData[ShiftEnd],tblScheduleData[OperationalDate]=SelectedDate),ROWS($A$8:A67)),"")</f>
        <v/>
      </c>
      <c r="H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67" s="2">
        <f>IFERROR(INDEX(FILTER(tblScheduleData[ValidationState],tblScheduleData[OperationalDate]=SelectedDate),ROWS($A$8:A67)),"")</f>
        <v/>
      </c>
    </row>
    <row r="68">
      <c r="A68" s="2">
        <f>IFERROR(INDEX(FILTER(tblScheduleData[EmployeeID],tblScheduleData[OperationalDate]=SelectedDate),ROWS($A$8:A68)),"")</f>
        <v/>
      </c>
      <c r="B68" s="2">
        <f>IFERROR(INDEX(FILTER(tblScheduleData[Name],tblScheduleData[OperationalDate]=SelectedDate),ROWS($A$8:A68)),"")</f>
        <v/>
      </c>
      <c r="C68" s="2">
        <f>IFERROR(INDEX(FILTER(tblScheduleData[ContractualHours],tblScheduleData[OperationalDate]=SelectedDate),ROWS($A$8:A68)),"")</f>
        <v/>
      </c>
      <c r="D68" s="2">
        <f>IFERROR(INDEX(FILTER(tblScheduleData[ActivityCode],tblScheduleData[OperationalDate]=SelectedDate),ROWS($A$8:A68)),"")</f>
        <v/>
      </c>
      <c r="E68" s="4">
        <f>IF(Calc_Engine!A68="","",SelectedDate)</f>
        <v/>
      </c>
      <c r="F68" s="5">
        <f>IFERROR(INDEX(FILTER(tblScheduleData[ShiftStart],tblScheduleData[OperationalDate]=SelectedDate),ROWS($A$8:A68)),"")</f>
        <v/>
      </c>
      <c r="G68" s="5">
        <f>IFERROR(INDEX(FILTER(tblScheduleData[ShiftEnd],tblScheduleData[OperationalDate]=SelectedDate),ROWS($A$8:A68)),"")</f>
        <v/>
      </c>
      <c r="H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68" s="2">
        <f>IFERROR(INDEX(FILTER(tblScheduleData[ValidationState],tblScheduleData[OperationalDate]=SelectedDate),ROWS($A$8:A68)),"")</f>
        <v/>
      </c>
    </row>
    <row r="69">
      <c r="A69" s="2">
        <f>IFERROR(INDEX(FILTER(tblScheduleData[EmployeeID],tblScheduleData[OperationalDate]=SelectedDate),ROWS($A$8:A69)),"")</f>
        <v/>
      </c>
      <c r="B69" s="2">
        <f>IFERROR(INDEX(FILTER(tblScheduleData[Name],tblScheduleData[OperationalDate]=SelectedDate),ROWS($A$8:A69)),"")</f>
        <v/>
      </c>
      <c r="C69" s="2">
        <f>IFERROR(INDEX(FILTER(tblScheduleData[ContractualHours],tblScheduleData[OperationalDate]=SelectedDate),ROWS($A$8:A69)),"")</f>
        <v/>
      </c>
      <c r="D69" s="2">
        <f>IFERROR(INDEX(FILTER(tblScheduleData[ActivityCode],tblScheduleData[OperationalDate]=SelectedDate),ROWS($A$8:A69)),"")</f>
        <v/>
      </c>
      <c r="E69" s="4">
        <f>IF(Calc_Engine!A69="","",SelectedDate)</f>
        <v/>
      </c>
      <c r="F69" s="5">
        <f>IFERROR(INDEX(FILTER(tblScheduleData[ShiftStart],tblScheduleData[OperationalDate]=SelectedDate),ROWS($A$8:A69)),"")</f>
        <v/>
      </c>
      <c r="G69" s="5">
        <f>IFERROR(INDEX(FILTER(tblScheduleData[ShiftEnd],tblScheduleData[OperationalDate]=SelectedDate),ROWS($A$8:A69)),"")</f>
        <v/>
      </c>
      <c r="H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69" s="2">
        <f>IFERROR(INDEX(FILTER(tblScheduleData[ValidationState],tblScheduleData[OperationalDate]=SelectedDate),ROWS($A$8:A69)),"")</f>
        <v/>
      </c>
    </row>
    <row r="70">
      <c r="A70" s="2">
        <f>IFERROR(INDEX(FILTER(tblScheduleData[EmployeeID],tblScheduleData[OperationalDate]=SelectedDate),ROWS($A$8:A70)),"")</f>
        <v/>
      </c>
      <c r="B70" s="2">
        <f>IFERROR(INDEX(FILTER(tblScheduleData[Name],tblScheduleData[OperationalDate]=SelectedDate),ROWS($A$8:A70)),"")</f>
        <v/>
      </c>
      <c r="C70" s="2">
        <f>IFERROR(INDEX(FILTER(tblScheduleData[ContractualHours],tblScheduleData[OperationalDate]=SelectedDate),ROWS($A$8:A70)),"")</f>
        <v/>
      </c>
      <c r="D70" s="2">
        <f>IFERROR(INDEX(FILTER(tblScheduleData[ActivityCode],tblScheduleData[OperationalDate]=SelectedDate),ROWS($A$8:A70)),"")</f>
        <v/>
      </c>
      <c r="E70" s="4">
        <f>IF(Calc_Engine!A70="","",SelectedDate)</f>
        <v/>
      </c>
      <c r="F70" s="5">
        <f>IFERROR(INDEX(FILTER(tblScheduleData[ShiftStart],tblScheduleData[OperationalDate]=SelectedDate),ROWS($A$8:A70)),"")</f>
        <v/>
      </c>
      <c r="G70" s="5">
        <f>IFERROR(INDEX(FILTER(tblScheduleData[ShiftEnd],tblScheduleData[OperationalDate]=SelectedDate),ROWS($A$8:A70)),"")</f>
        <v/>
      </c>
      <c r="H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70" s="2">
        <f>IFERROR(INDEX(FILTER(tblScheduleData[ValidationState],tblScheduleData[OperationalDate]=SelectedDate),ROWS($A$8:A70)),"")</f>
        <v/>
      </c>
    </row>
    <row r="71">
      <c r="A71" s="2">
        <f>IFERROR(INDEX(FILTER(tblScheduleData[EmployeeID],tblScheduleData[OperationalDate]=SelectedDate),ROWS($A$8:A71)),"")</f>
        <v/>
      </c>
      <c r="B71" s="2">
        <f>IFERROR(INDEX(FILTER(tblScheduleData[Name],tblScheduleData[OperationalDate]=SelectedDate),ROWS($A$8:A71)),"")</f>
        <v/>
      </c>
      <c r="C71" s="2">
        <f>IFERROR(INDEX(FILTER(tblScheduleData[ContractualHours],tblScheduleData[OperationalDate]=SelectedDate),ROWS($A$8:A71)),"")</f>
        <v/>
      </c>
      <c r="D71" s="2">
        <f>IFERROR(INDEX(FILTER(tblScheduleData[ActivityCode],tblScheduleData[OperationalDate]=SelectedDate),ROWS($A$8:A71)),"")</f>
        <v/>
      </c>
      <c r="E71" s="4">
        <f>IF(Calc_Engine!A71="","",SelectedDate)</f>
        <v/>
      </c>
      <c r="F71" s="5">
        <f>IFERROR(INDEX(FILTER(tblScheduleData[ShiftStart],tblScheduleData[OperationalDate]=SelectedDate),ROWS($A$8:A71)),"")</f>
        <v/>
      </c>
      <c r="G71" s="5">
        <f>IFERROR(INDEX(FILTER(tblScheduleData[ShiftEnd],tblScheduleData[OperationalDate]=SelectedDate),ROWS($A$8:A71)),"")</f>
        <v/>
      </c>
      <c r="H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71" s="2">
        <f>IFERROR(INDEX(FILTER(tblScheduleData[ValidationState],tblScheduleData[OperationalDate]=SelectedDate),ROWS($A$8:A71)),"")</f>
        <v/>
      </c>
    </row>
    <row r="72">
      <c r="A72" s="2">
        <f>IFERROR(INDEX(FILTER(tblScheduleData[EmployeeID],tblScheduleData[OperationalDate]=SelectedDate),ROWS($A$8:A72)),"")</f>
        <v/>
      </c>
      <c r="B72" s="2">
        <f>IFERROR(INDEX(FILTER(tblScheduleData[Name],tblScheduleData[OperationalDate]=SelectedDate),ROWS($A$8:A72)),"")</f>
        <v/>
      </c>
      <c r="C72" s="2">
        <f>IFERROR(INDEX(FILTER(tblScheduleData[ContractualHours],tblScheduleData[OperationalDate]=SelectedDate),ROWS($A$8:A72)),"")</f>
        <v/>
      </c>
      <c r="D72" s="2">
        <f>IFERROR(INDEX(FILTER(tblScheduleData[ActivityCode],tblScheduleData[OperationalDate]=SelectedDate),ROWS($A$8:A72)),"")</f>
        <v/>
      </c>
      <c r="E72" s="4">
        <f>IF(Calc_Engine!A72="","",SelectedDate)</f>
        <v/>
      </c>
      <c r="F72" s="5">
        <f>IFERROR(INDEX(FILTER(tblScheduleData[ShiftStart],tblScheduleData[OperationalDate]=SelectedDate),ROWS($A$8:A72)),"")</f>
        <v/>
      </c>
      <c r="G72" s="5">
        <f>IFERROR(INDEX(FILTER(tblScheduleData[ShiftEnd],tblScheduleData[OperationalDate]=SelectedDate),ROWS($A$8:A72)),"")</f>
        <v/>
      </c>
      <c r="H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72" s="2">
        <f>IFERROR(INDEX(FILTER(tblScheduleData[ValidationState],tblScheduleData[OperationalDate]=SelectedDate),ROWS($A$8:A72)),"")</f>
        <v/>
      </c>
    </row>
    <row r="73">
      <c r="A73" s="2">
        <f>IFERROR(INDEX(FILTER(tblScheduleData[EmployeeID],tblScheduleData[OperationalDate]=SelectedDate),ROWS($A$8:A73)),"")</f>
        <v/>
      </c>
      <c r="B73" s="2">
        <f>IFERROR(INDEX(FILTER(tblScheduleData[Name],tblScheduleData[OperationalDate]=SelectedDate),ROWS($A$8:A73)),"")</f>
        <v/>
      </c>
      <c r="C73" s="2">
        <f>IFERROR(INDEX(FILTER(tblScheduleData[ContractualHours],tblScheduleData[OperationalDate]=SelectedDate),ROWS($A$8:A73)),"")</f>
        <v/>
      </c>
      <c r="D73" s="2">
        <f>IFERROR(INDEX(FILTER(tblScheduleData[ActivityCode],tblScheduleData[OperationalDate]=SelectedDate),ROWS($A$8:A73)),"")</f>
        <v/>
      </c>
      <c r="E73" s="4">
        <f>IF(Calc_Engine!A73="","",SelectedDate)</f>
        <v/>
      </c>
      <c r="F73" s="5">
        <f>IFERROR(INDEX(FILTER(tblScheduleData[ShiftStart],tblScheduleData[OperationalDate]=SelectedDate),ROWS($A$8:A73)),"")</f>
        <v/>
      </c>
      <c r="G73" s="5">
        <f>IFERROR(INDEX(FILTER(tblScheduleData[ShiftEnd],tblScheduleData[OperationalDate]=SelectedDate),ROWS($A$8:A73)),"")</f>
        <v/>
      </c>
      <c r="H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73" s="2">
        <f>IFERROR(INDEX(FILTER(tblScheduleData[ValidationState],tblScheduleData[OperationalDate]=SelectedDate),ROWS($A$8:A73)),"")</f>
        <v/>
      </c>
    </row>
    <row r="74">
      <c r="A74" s="2">
        <f>IFERROR(INDEX(FILTER(tblScheduleData[EmployeeID],tblScheduleData[OperationalDate]=SelectedDate),ROWS($A$8:A74)),"")</f>
        <v/>
      </c>
      <c r="B74" s="2">
        <f>IFERROR(INDEX(FILTER(tblScheduleData[Name],tblScheduleData[OperationalDate]=SelectedDate),ROWS($A$8:A74)),"")</f>
        <v/>
      </c>
      <c r="C74" s="2">
        <f>IFERROR(INDEX(FILTER(tblScheduleData[ContractualHours],tblScheduleData[OperationalDate]=SelectedDate),ROWS($A$8:A74)),"")</f>
        <v/>
      </c>
      <c r="D74" s="2">
        <f>IFERROR(INDEX(FILTER(tblScheduleData[ActivityCode],tblScheduleData[OperationalDate]=SelectedDate),ROWS($A$8:A74)),"")</f>
        <v/>
      </c>
      <c r="E74" s="4">
        <f>IF(Calc_Engine!A74="","",SelectedDate)</f>
        <v/>
      </c>
      <c r="F74" s="5">
        <f>IFERROR(INDEX(FILTER(tblScheduleData[ShiftStart],tblScheduleData[OperationalDate]=SelectedDate),ROWS($A$8:A74)),"")</f>
        <v/>
      </c>
      <c r="G74" s="5">
        <f>IFERROR(INDEX(FILTER(tblScheduleData[ShiftEnd],tblScheduleData[OperationalDate]=SelectedDate),ROWS($A$8:A74)),"")</f>
        <v/>
      </c>
      <c r="H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74" s="2">
        <f>IFERROR(INDEX(FILTER(tblScheduleData[ValidationState],tblScheduleData[OperationalDate]=SelectedDate),ROWS($A$8:A74)),"")</f>
        <v/>
      </c>
    </row>
    <row r="75">
      <c r="A75" s="2">
        <f>IFERROR(INDEX(FILTER(tblScheduleData[EmployeeID],tblScheduleData[OperationalDate]=SelectedDate),ROWS($A$8:A75)),"")</f>
        <v/>
      </c>
      <c r="B75" s="2">
        <f>IFERROR(INDEX(FILTER(tblScheduleData[Name],tblScheduleData[OperationalDate]=SelectedDate),ROWS($A$8:A75)),"")</f>
        <v/>
      </c>
      <c r="C75" s="2">
        <f>IFERROR(INDEX(FILTER(tblScheduleData[ContractualHours],tblScheduleData[OperationalDate]=SelectedDate),ROWS($A$8:A75)),"")</f>
        <v/>
      </c>
      <c r="D75" s="2">
        <f>IFERROR(INDEX(FILTER(tblScheduleData[ActivityCode],tblScheduleData[OperationalDate]=SelectedDate),ROWS($A$8:A75)),"")</f>
        <v/>
      </c>
      <c r="E75" s="4">
        <f>IF(Calc_Engine!A75="","",SelectedDate)</f>
        <v/>
      </c>
      <c r="F75" s="5">
        <f>IFERROR(INDEX(FILTER(tblScheduleData[ShiftStart],tblScheduleData[OperationalDate]=SelectedDate),ROWS($A$8:A75)),"")</f>
        <v/>
      </c>
      <c r="G75" s="5">
        <f>IFERROR(INDEX(FILTER(tblScheduleData[ShiftEnd],tblScheduleData[OperationalDate]=SelectedDate),ROWS($A$8:A75)),"")</f>
        <v/>
      </c>
      <c r="H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75" s="2">
        <f>IFERROR(INDEX(FILTER(tblScheduleData[ValidationState],tblScheduleData[OperationalDate]=SelectedDate),ROWS($A$8:A75)),"")</f>
        <v/>
      </c>
    </row>
    <row r="76">
      <c r="A76" s="2">
        <f>IFERROR(INDEX(FILTER(tblScheduleData[EmployeeID],tblScheduleData[OperationalDate]=SelectedDate),ROWS($A$8:A76)),"")</f>
        <v/>
      </c>
      <c r="B76" s="2">
        <f>IFERROR(INDEX(FILTER(tblScheduleData[Name],tblScheduleData[OperationalDate]=SelectedDate),ROWS($A$8:A76)),"")</f>
        <v/>
      </c>
      <c r="C76" s="2">
        <f>IFERROR(INDEX(FILTER(tblScheduleData[ContractualHours],tblScheduleData[OperationalDate]=SelectedDate),ROWS($A$8:A76)),"")</f>
        <v/>
      </c>
      <c r="D76" s="2">
        <f>IFERROR(INDEX(FILTER(tblScheduleData[ActivityCode],tblScheduleData[OperationalDate]=SelectedDate),ROWS($A$8:A76)),"")</f>
        <v/>
      </c>
      <c r="E76" s="4">
        <f>IF(Calc_Engine!A76="","",SelectedDate)</f>
        <v/>
      </c>
      <c r="F76" s="5">
        <f>IFERROR(INDEX(FILTER(tblScheduleData[ShiftStart],tblScheduleData[OperationalDate]=SelectedDate),ROWS($A$8:A76)),"")</f>
        <v/>
      </c>
      <c r="G76" s="5">
        <f>IFERROR(INDEX(FILTER(tblScheduleData[ShiftEnd],tblScheduleData[OperationalDate]=SelectedDate),ROWS($A$8:A76)),"")</f>
        <v/>
      </c>
      <c r="H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76" s="2">
        <f>IFERROR(INDEX(FILTER(tblScheduleData[ValidationState],tblScheduleData[OperationalDate]=SelectedDate),ROWS($A$8:A76)),"")</f>
        <v/>
      </c>
    </row>
    <row r="77">
      <c r="A77" s="2">
        <f>IFERROR(INDEX(FILTER(tblScheduleData[EmployeeID],tblScheduleData[OperationalDate]=SelectedDate),ROWS($A$8:A77)),"")</f>
        <v/>
      </c>
      <c r="B77" s="2">
        <f>IFERROR(INDEX(FILTER(tblScheduleData[Name],tblScheduleData[OperationalDate]=SelectedDate),ROWS($A$8:A77)),"")</f>
        <v/>
      </c>
      <c r="C77" s="2">
        <f>IFERROR(INDEX(FILTER(tblScheduleData[ContractualHours],tblScheduleData[OperationalDate]=SelectedDate),ROWS($A$8:A77)),"")</f>
        <v/>
      </c>
      <c r="D77" s="2">
        <f>IFERROR(INDEX(FILTER(tblScheduleData[ActivityCode],tblScheduleData[OperationalDate]=SelectedDate),ROWS($A$8:A77)),"")</f>
        <v/>
      </c>
      <c r="E77" s="4">
        <f>IF(Calc_Engine!A77="","",SelectedDate)</f>
        <v/>
      </c>
      <c r="F77" s="5">
        <f>IFERROR(INDEX(FILTER(tblScheduleData[ShiftStart],tblScheduleData[OperationalDate]=SelectedDate),ROWS($A$8:A77)),"")</f>
        <v/>
      </c>
      <c r="G77" s="5">
        <f>IFERROR(INDEX(FILTER(tblScheduleData[ShiftEnd],tblScheduleData[OperationalDate]=SelectedDate),ROWS($A$8:A77)),"")</f>
        <v/>
      </c>
      <c r="H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77" s="2">
        <f>IFERROR(INDEX(FILTER(tblScheduleData[ValidationState],tblScheduleData[OperationalDate]=SelectedDate),ROWS($A$8:A77)),"")</f>
        <v/>
      </c>
    </row>
    <row r="78">
      <c r="A78" s="2">
        <f>IFERROR(INDEX(FILTER(tblScheduleData[EmployeeID],tblScheduleData[OperationalDate]=SelectedDate),ROWS($A$8:A78)),"")</f>
        <v/>
      </c>
      <c r="B78" s="2">
        <f>IFERROR(INDEX(FILTER(tblScheduleData[Name],tblScheduleData[OperationalDate]=SelectedDate),ROWS($A$8:A78)),"")</f>
        <v/>
      </c>
      <c r="C78" s="2">
        <f>IFERROR(INDEX(FILTER(tblScheduleData[ContractualHours],tblScheduleData[OperationalDate]=SelectedDate),ROWS($A$8:A78)),"")</f>
        <v/>
      </c>
      <c r="D78" s="2">
        <f>IFERROR(INDEX(FILTER(tblScheduleData[ActivityCode],tblScheduleData[OperationalDate]=SelectedDate),ROWS($A$8:A78)),"")</f>
        <v/>
      </c>
      <c r="E78" s="4">
        <f>IF(Calc_Engine!A78="","",SelectedDate)</f>
        <v/>
      </c>
      <c r="F78" s="5">
        <f>IFERROR(INDEX(FILTER(tblScheduleData[ShiftStart],tblScheduleData[OperationalDate]=SelectedDate),ROWS($A$8:A78)),"")</f>
        <v/>
      </c>
      <c r="G78" s="5">
        <f>IFERROR(INDEX(FILTER(tblScheduleData[ShiftEnd],tblScheduleData[OperationalDate]=SelectedDate),ROWS($A$8:A78)),"")</f>
        <v/>
      </c>
      <c r="H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78" s="2">
        <f>IFERROR(INDEX(FILTER(tblScheduleData[ValidationState],tblScheduleData[OperationalDate]=SelectedDate),ROWS($A$8:A78)),"")</f>
        <v/>
      </c>
    </row>
    <row r="79">
      <c r="A79" s="2">
        <f>IFERROR(INDEX(FILTER(tblScheduleData[EmployeeID],tblScheduleData[OperationalDate]=SelectedDate),ROWS($A$8:A79)),"")</f>
        <v/>
      </c>
      <c r="B79" s="2">
        <f>IFERROR(INDEX(FILTER(tblScheduleData[Name],tblScheduleData[OperationalDate]=SelectedDate),ROWS($A$8:A79)),"")</f>
        <v/>
      </c>
      <c r="C79" s="2">
        <f>IFERROR(INDEX(FILTER(tblScheduleData[ContractualHours],tblScheduleData[OperationalDate]=SelectedDate),ROWS($A$8:A79)),"")</f>
        <v/>
      </c>
      <c r="D79" s="2">
        <f>IFERROR(INDEX(FILTER(tblScheduleData[ActivityCode],tblScheduleData[OperationalDate]=SelectedDate),ROWS($A$8:A79)),"")</f>
        <v/>
      </c>
      <c r="E79" s="4">
        <f>IF(Calc_Engine!A79="","",SelectedDate)</f>
        <v/>
      </c>
      <c r="F79" s="5">
        <f>IFERROR(INDEX(FILTER(tblScheduleData[ShiftStart],tblScheduleData[OperationalDate]=SelectedDate),ROWS($A$8:A79)),"")</f>
        <v/>
      </c>
      <c r="G79" s="5">
        <f>IFERROR(INDEX(FILTER(tblScheduleData[ShiftEnd],tblScheduleData[OperationalDate]=SelectedDate),ROWS($A$8:A79)),"")</f>
        <v/>
      </c>
      <c r="H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79" s="2">
        <f>IFERROR(INDEX(FILTER(tblScheduleData[ValidationState],tblScheduleData[OperationalDate]=SelectedDate),ROWS($A$8:A79)),"")</f>
        <v/>
      </c>
    </row>
    <row r="80">
      <c r="A80" s="2">
        <f>IFERROR(INDEX(FILTER(tblScheduleData[EmployeeID],tblScheduleData[OperationalDate]=SelectedDate),ROWS($A$8:A80)),"")</f>
        <v/>
      </c>
      <c r="B80" s="2">
        <f>IFERROR(INDEX(FILTER(tblScheduleData[Name],tblScheduleData[OperationalDate]=SelectedDate),ROWS($A$8:A80)),"")</f>
        <v/>
      </c>
      <c r="C80" s="2">
        <f>IFERROR(INDEX(FILTER(tblScheduleData[ContractualHours],tblScheduleData[OperationalDate]=SelectedDate),ROWS($A$8:A80)),"")</f>
        <v/>
      </c>
      <c r="D80" s="2">
        <f>IFERROR(INDEX(FILTER(tblScheduleData[ActivityCode],tblScheduleData[OperationalDate]=SelectedDate),ROWS($A$8:A80)),"")</f>
        <v/>
      </c>
      <c r="E80" s="4">
        <f>IF(Calc_Engine!A80="","",SelectedDate)</f>
        <v/>
      </c>
      <c r="F80" s="5">
        <f>IFERROR(INDEX(FILTER(tblScheduleData[ShiftStart],tblScheduleData[OperationalDate]=SelectedDate),ROWS($A$8:A80)),"")</f>
        <v/>
      </c>
      <c r="G80" s="5">
        <f>IFERROR(INDEX(FILTER(tblScheduleData[ShiftEnd],tblScheduleData[OperationalDate]=SelectedDate),ROWS($A$8:A80)),"")</f>
        <v/>
      </c>
      <c r="H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80" s="2">
        <f>IFERROR(INDEX(FILTER(tblScheduleData[ValidationState],tblScheduleData[OperationalDate]=SelectedDate),ROWS($A$8:A80)),"")</f>
        <v/>
      </c>
    </row>
    <row r="81">
      <c r="A81" s="2">
        <f>IFERROR(INDEX(FILTER(tblScheduleData[EmployeeID],tblScheduleData[OperationalDate]=SelectedDate),ROWS($A$8:A81)),"")</f>
        <v/>
      </c>
      <c r="B81" s="2">
        <f>IFERROR(INDEX(FILTER(tblScheduleData[Name],tblScheduleData[OperationalDate]=SelectedDate),ROWS($A$8:A81)),"")</f>
        <v/>
      </c>
      <c r="C81" s="2">
        <f>IFERROR(INDEX(FILTER(tblScheduleData[ContractualHours],tblScheduleData[OperationalDate]=SelectedDate),ROWS($A$8:A81)),"")</f>
        <v/>
      </c>
      <c r="D81" s="2">
        <f>IFERROR(INDEX(FILTER(tblScheduleData[ActivityCode],tblScheduleData[OperationalDate]=SelectedDate),ROWS($A$8:A81)),"")</f>
        <v/>
      </c>
      <c r="E81" s="4">
        <f>IF(Calc_Engine!A81="","",SelectedDate)</f>
        <v/>
      </c>
      <c r="F81" s="5">
        <f>IFERROR(INDEX(FILTER(tblScheduleData[ShiftStart],tblScheduleData[OperationalDate]=SelectedDate),ROWS($A$8:A81)),"")</f>
        <v/>
      </c>
      <c r="G81" s="5">
        <f>IFERROR(INDEX(FILTER(tblScheduleData[ShiftEnd],tblScheduleData[OperationalDate]=SelectedDate),ROWS($A$8:A81)),"")</f>
        <v/>
      </c>
      <c r="H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81" s="2">
        <f>IFERROR(INDEX(FILTER(tblScheduleData[ValidationState],tblScheduleData[OperationalDate]=SelectedDate),ROWS($A$8:A81)),"")</f>
        <v/>
      </c>
    </row>
    <row r="82">
      <c r="A82" s="2">
        <f>IFERROR(INDEX(FILTER(tblScheduleData[EmployeeID],tblScheduleData[OperationalDate]=SelectedDate),ROWS($A$8:A82)),"")</f>
        <v/>
      </c>
      <c r="B82" s="2">
        <f>IFERROR(INDEX(FILTER(tblScheduleData[Name],tblScheduleData[OperationalDate]=SelectedDate),ROWS($A$8:A82)),"")</f>
        <v/>
      </c>
      <c r="C82" s="2">
        <f>IFERROR(INDEX(FILTER(tblScheduleData[ContractualHours],tblScheduleData[OperationalDate]=SelectedDate),ROWS($A$8:A82)),"")</f>
        <v/>
      </c>
      <c r="D82" s="2">
        <f>IFERROR(INDEX(FILTER(tblScheduleData[ActivityCode],tblScheduleData[OperationalDate]=SelectedDate),ROWS($A$8:A82)),"")</f>
        <v/>
      </c>
      <c r="E82" s="4">
        <f>IF(Calc_Engine!A82="","",SelectedDate)</f>
        <v/>
      </c>
      <c r="F82" s="5">
        <f>IFERROR(INDEX(FILTER(tblScheduleData[ShiftStart],tblScheduleData[OperationalDate]=SelectedDate),ROWS($A$8:A82)),"")</f>
        <v/>
      </c>
      <c r="G82" s="5">
        <f>IFERROR(INDEX(FILTER(tblScheduleData[ShiftEnd],tblScheduleData[OperationalDate]=SelectedDate),ROWS($A$8:A82)),"")</f>
        <v/>
      </c>
      <c r="H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82" s="2">
        <f>IFERROR(INDEX(FILTER(tblScheduleData[ValidationState],tblScheduleData[OperationalDate]=SelectedDate),ROWS($A$8:A82)),"")</f>
        <v/>
      </c>
    </row>
    <row r="83">
      <c r="A83" s="2">
        <f>IFERROR(INDEX(FILTER(tblScheduleData[EmployeeID],tblScheduleData[OperationalDate]=SelectedDate),ROWS($A$8:A83)),"")</f>
        <v/>
      </c>
      <c r="B83" s="2">
        <f>IFERROR(INDEX(FILTER(tblScheduleData[Name],tblScheduleData[OperationalDate]=SelectedDate),ROWS($A$8:A83)),"")</f>
        <v/>
      </c>
      <c r="C83" s="2">
        <f>IFERROR(INDEX(FILTER(tblScheduleData[ContractualHours],tblScheduleData[OperationalDate]=SelectedDate),ROWS($A$8:A83)),"")</f>
        <v/>
      </c>
      <c r="D83" s="2">
        <f>IFERROR(INDEX(FILTER(tblScheduleData[ActivityCode],tblScheduleData[OperationalDate]=SelectedDate),ROWS($A$8:A83)),"")</f>
        <v/>
      </c>
      <c r="E83" s="4">
        <f>IF(Calc_Engine!A83="","",SelectedDate)</f>
        <v/>
      </c>
      <c r="F83" s="5">
        <f>IFERROR(INDEX(FILTER(tblScheduleData[ShiftStart],tblScheduleData[OperationalDate]=SelectedDate),ROWS($A$8:A83)),"")</f>
        <v/>
      </c>
      <c r="G83" s="5">
        <f>IFERROR(INDEX(FILTER(tblScheduleData[ShiftEnd],tblScheduleData[OperationalDate]=SelectedDate),ROWS($A$8:A83)),"")</f>
        <v/>
      </c>
      <c r="H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83" s="2">
        <f>IFERROR(INDEX(FILTER(tblScheduleData[ValidationState],tblScheduleData[OperationalDate]=SelectedDate),ROWS($A$8:A83)),"")</f>
        <v/>
      </c>
    </row>
    <row r="84">
      <c r="A84" s="2">
        <f>IFERROR(INDEX(FILTER(tblScheduleData[EmployeeID],tblScheduleData[OperationalDate]=SelectedDate),ROWS($A$8:A84)),"")</f>
        <v/>
      </c>
      <c r="B84" s="2">
        <f>IFERROR(INDEX(FILTER(tblScheduleData[Name],tblScheduleData[OperationalDate]=SelectedDate),ROWS($A$8:A84)),"")</f>
        <v/>
      </c>
      <c r="C84" s="2">
        <f>IFERROR(INDEX(FILTER(tblScheduleData[ContractualHours],tblScheduleData[OperationalDate]=SelectedDate),ROWS($A$8:A84)),"")</f>
        <v/>
      </c>
      <c r="D84" s="2">
        <f>IFERROR(INDEX(FILTER(tblScheduleData[ActivityCode],tblScheduleData[OperationalDate]=SelectedDate),ROWS($A$8:A84)),"")</f>
        <v/>
      </c>
      <c r="E84" s="4">
        <f>IF(Calc_Engine!A84="","",SelectedDate)</f>
        <v/>
      </c>
      <c r="F84" s="5">
        <f>IFERROR(INDEX(FILTER(tblScheduleData[ShiftStart],tblScheduleData[OperationalDate]=SelectedDate),ROWS($A$8:A84)),"")</f>
        <v/>
      </c>
      <c r="G84" s="5">
        <f>IFERROR(INDEX(FILTER(tblScheduleData[ShiftEnd],tblScheduleData[OperationalDate]=SelectedDate),ROWS($A$8:A84)),"")</f>
        <v/>
      </c>
      <c r="H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84" s="2">
        <f>IFERROR(INDEX(FILTER(tblScheduleData[ValidationState],tblScheduleData[OperationalDate]=SelectedDate),ROWS($A$8:A84)),"")</f>
        <v/>
      </c>
    </row>
    <row r="85">
      <c r="A85" s="2">
        <f>IFERROR(INDEX(FILTER(tblScheduleData[EmployeeID],tblScheduleData[OperationalDate]=SelectedDate),ROWS($A$8:A85)),"")</f>
        <v/>
      </c>
      <c r="B85" s="2">
        <f>IFERROR(INDEX(FILTER(tblScheduleData[Name],tblScheduleData[OperationalDate]=SelectedDate),ROWS($A$8:A85)),"")</f>
        <v/>
      </c>
      <c r="C85" s="2">
        <f>IFERROR(INDEX(FILTER(tblScheduleData[ContractualHours],tblScheduleData[OperationalDate]=SelectedDate),ROWS($A$8:A85)),"")</f>
        <v/>
      </c>
      <c r="D85" s="2">
        <f>IFERROR(INDEX(FILTER(tblScheduleData[ActivityCode],tblScheduleData[OperationalDate]=SelectedDate),ROWS($A$8:A85)),"")</f>
        <v/>
      </c>
      <c r="E85" s="4">
        <f>IF(Calc_Engine!A85="","",SelectedDate)</f>
        <v/>
      </c>
      <c r="F85" s="5">
        <f>IFERROR(INDEX(FILTER(tblScheduleData[ShiftStart],tblScheduleData[OperationalDate]=SelectedDate),ROWS($A$8:A85)),"")</f>
        <v/>
      </c>
      <c r="G85" s="5">
        <f>IFERROR(INDEX(FILTER(tblScheduleData[ShiftEnd],tblScheduleData[OperationalDate]=SelectedDate),ROWS($A$8:A85)),"")</f>
        <v/>
      </c>
      <c r="H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85" s="2">
        <f>IFERROR(INDEX(FILTER(tblScheduleData[ValidationState],tblScheduleData[OperationalDate]=SelectedDate),ROWS($A$8:A85)),"")</f>
        <v/>
      </c>
    </row>
    <row r="86">
      <c r="A86" s="2">
        <f>IFERROR(INDEX(FILTER(tblScheduleData[EmployeeID],tblScheduleData[OperationalDate]=SelectedDate),ROWS($A$8:A86)),"")</f>
        <v/>
      </c>
      <c r="B86" s="2">
        <f>IFERROR(INDEX(FILTER(tblScheduleData[Name],tblScheduleData[OperationalDate]=SelectedDate),ROWS($A$8:A86)),"")</f>
        <v/>
      </c>
      <c r="C86" s="2">
        <f>IFERROR(INDEX(FILTER(tblScheduleData[ContractualHours],tblScheduleData[OperationalDate]=SelectedDate),ROWS($A$8:A86)),"")</f>
        <v/>
      </c>
      <c r="D86" s="2">
        <f>IFERROR(INDEX(FILTER(tblScheduleData[ActivityCode],tblScheduleData[OperationalDate]=SelectedDate),ROWS($A$8:A86)),"")</f>
        <v/>
      </c>
      <c r="E86" s="4">
        <f>IF(Calc_Engine!A86="","",SelectedDate)</f>
        <v/>
      </c>
      <c r="F86" s="5">
        <f>IFERROR(INDEX(FILTER(tblScheduleData[ShiftStart],tblScheduleData[OperationalDate]=SelectedDate),ROWS($A$8:A86)),"")</f>
        <v/>
      </c>
      <c r="G86" s="5">
        <f>IFERROR(INDEX(FILTER(tblScheduleData[ShiftEnd],tblScheduleData[OperationalDate]=SelectedDate),ROWS($A$8:A86)),"")</f>
        <v/>
      </c>
      <c r="H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86" s="2">
        <f>IFERROR(INDEX(FILTER(tblScheduleData[ValidationState],tblScheduleData[OperationalDate]=SelectedDate),ROWS($A$8:A86)),"")</f>
        <v/>
      </c>
    </row>
    <row r="87">
      <c r="A87" s="2">
        <f>IFERROR(INDEX(FILTER(tblScheduleData[EmployeeID],tblScheduleData[OperationalDate]=SelectedDate),ROWS($A$8:A87)),"")</f>
        <v/>
      </c>
      <c r="B87" s="2">
        <f>IFERROR(INDEX(FILTER(tblScheduleData[Name],tblScheduleData[OperationalDate]=SelectedDate),ROWS($A$8:A87)),"")</f>
        <v/>
      </c>
      <c r="C87" s="2">
        <f>IFERROR(INDEX(FILTER(tblScheduleData[ContractualHours],tblScheduleData[OperationalDate]=SelectedDate),ROWS($A$8:A87)),"")</f>
        <v/>
      </c>
      <c r="D87" s="2">
        <f>IFERROR(INDEX(FILTER(tblScheduleData[ActivityCode],tblScheduleData[OperationalDate]=SelectedDate),ROWS($A$8:A87)),"")</f>
        <v/>
      </c>
      <c r="E87" s="4">
        <f>IF(Calc_Engine!A87="","",SelectedDate)</f>
        <v/>
      </c>
      <c r="F87" s="5">
        <f>IFERROR(INDEX(FILTER(tblScheduleData[ShiftStart],tblScheduleData[OperationalDate]=SelectedDate),ROWS($A$8:A87)),"")</f>
        <v/>
      </c>
      <c r="G87" s="5">
        <f>IFERROR(INDEX(FILTER(tblScheduleData[ShiftEnd],tblScheduleData[OperationalDate]=SelectedDate),ROWS($A$8:A87)),"")</f>
        <v/>
      </c>
      <c r="H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87" s="2">
        <f>IFERROR(INDEX(FILTER(tblScheduleData[ValidationState],tblScheduleData[OperationalDate]=SelectedDate),ROWS($A$8:A87)),"")</f>
        <v/>
      </c>
    </row>
    <row r="88">
      <c r="A88" s="2">
        <f>IFERROR(INDEX(FILTER(tblScheduleData[EmployeeID],tblScheduleData[OperationalDate]=SelectedDate),ROWS($A$8:A88)),"")</f>
        <v/>
      </c>
      <c r="B88" s="2">
        <f>IFERROR(INDEX(FILTER(tblScheduleData[Name],tblScheduleData[OperationalDate]=SelectedDate),ROWS($A$8:A88)),"")</f>
        <v/>
      </c>
      <c r="C88" s="2">
        <f>IFERROR(INDEX(FILTER(tblScheduleData[ContractualHours],tblScheduleData[OperationalDate]=SelectedDate),ROWS($A$8:A88)),"")</f>
        <v/>
      </c>
      <c r="D88" s="2">
        <f>IFERROR(INDEX(FILTER(tblScheduleData[ActivityCode],tblScheduleData[OperationalDate]=SelectedDate),ROWS($A$8:A88)),"")</f>
        <v/>
      </c>
      <c r="E88" s="4">
        <f>IF(Calc_Engine!A88="","",SelectedDate)</f>
        <v/>
      </c>
      <c r="F88" s="5">
        <f>IFERROR(INDEX(FILTER(tblScheduleData[ShiftStart],tblScheduleData[OperationalDate]=SelectedDate),ROWS($A$8:A88)),"")</f>
        <v/>
      </c>
      <c r="G88" s="5">
        <f>IFERROR(INDEX(FILTER(tblScheduleData[ShiftEnd],tblScheduleData[OperationalDate]=SelectedDate),ROWS($A$8:A88)),"")</f>
        <v/>
      </c>
      <c r="H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88" s="2">
        <f>IFERROR(INDEX(FILTER(tblScheduleData[ValidationState],tblScheduleData[OperationalDate]=SelectedDate),ROWS($A$8:A88)),"")</f>
        <v/>
      </c>
    </row>
    <row r="89">
      <c r="A89" s="2">
        <f>IFERROR(INDEX(FILTER(tblScheduleData[EmployeeID],tblScheduleData[OperationalDate]=SelectedDate),ROWS($A$8:A89)),"")</f>
        <v/>
      </c>
      <c r="B89" s="2">
        <f>IFERROR(INDEX(FILTER(tblScheduleData[Name],tblScheduleData[OperationalDate]=SelectedDate),ROWS($A$8:A89)),"")</f>
        <v/>
      </c>
      <c r="C89" s="2">
        <f>IFERROR(INDEX(FILTER(tblScheduleData[ContractualHours],tblScheduleData[OperationalDate]=SelectedDate),ROWS($A$8:A89)),"")</f>
        <v/>
      </c>
      <c r="D89" s="2">
        <f>IFERROR(INDEX(FILTER(tblScheduleData[ActivityCode],tblScheduleData[OperationalDate]=SelectedDate),ROWS($A$8:A89)),"")</f>
        <v/>
      </c>
      <c r="E89" s="4">
        <f>IF(Calc_Engine!A89="","",SelectedDate)</f>
        <v/>
      </c>
      <c r="F89" s="5">
        <f>IFERROR(INDEX(FILTER(tblScheduleData[ShiftStart],tblScheduleData[OperationalDate]=SelectedDate),ROWS($A$8:A89)),"")</f>
        <v/>
      </c>
      <c r="G89" s="5">
        <f>IFERROR(INDEX(FILTER(tblScheduleData[ShiftEnd],tblScheduleData[OperationalDate]=SelectedDate),ROWS($A$8:A89)),"")</f>
        <v/>
      </c>
      <c r="H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89" s="2">
        <f>IFERROR(INDEX(FILTER(tblScheduleData[ValidationState],tblScheduleData[OperationalDate]=SelectedDate),ROWS($A$8:A89)),"")</f>
        <v/>
      </c>
    </row>
    <row r="90">
      <c r="A90" s="2">
        <f>IFERROR(INDEX(FILTER(tblScheduleData[EmployeeID],tblScheduleData[OperationalDate]=SelectedDate),ROWS($A$8:A90)),"")</f>
        <v/>
      </c>
      <c r="B90" s="2">
        <f>IFERROR(INDEX(FILTER(tblScheduleData[Name],tblScheduleData[OperationalDate]=SelectedDate),ROWS($A$8:A90)),"")</f>
        <v/>
      </c>
      <c r="C90" s="2">
        <f>IFERROR(INDEX(FILTER(tblScheduleData[ContractualHours],tblScheduleData[OperationalDate]=SelectedDate),ROWS($A$8:A90)),"")</f>
        <v/>
      </c>
      <c r="D90" s="2">
        <f>IFERROR(INDEX(FILTER(tblScheduleData[ActivityCode],tblScheduleData[OperationalDate]=SelectedDate),ROWS($A$8:A90)),"")</f>
        <v/>
      </c>
      <c r="E90" s="4">
        <f>IF(Calc_Engine!A90="","",SelectedDate)</f>
        <v/>
      </c>
      <c r="F90" s="5">
        <f>IFERROR(INDEX(FILTER(tblScheduleData[ShiftStart],tblScheduleData[OperationalDate]=SelectedDate),ROWS($A$8:A90)),"")</f>
        <v/>
      </c>
      <c r="G90" s="5">
        <f>IFERROR(INDEX(FILTER(tblScheduleData[ShiftEnd],tblScheduleData[OperationalDate]=SelectedDate),ROWS($A$8:A90)),"")</f>
        <v/>
      </c>
      <c r="H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90" s="2">
        <f>IFERROR(INDEX(FILTER(tblScheduleData[ValidationState],tblScheduleData[OperationalDate]=SelectedDate),ROWS($A$8:A90)),"")</f>
        <v/>
      </c>
    </row>
    <row r="91">
      <c r="A91" s="2">
        <f>IFERROR(INDEX(FILTER(tblScheduleData[EmployeeID],tblScheduleData[OperationalDate]=SelectedDate),ROWS($A$8:A91)),"")</f>
        <v/>
      </c>
      <c r="B91" s="2">
        <f>IFERROR(INDEX(FILTER(tblScheduleData[Name],tblScheduleData[OperationalDate]=SelectedDate),ROWS($A$8:A91)),"")</f>
        <v/>
      </c>
      <c r="C91" s="2">
        <f>IFERROR(INDEX(FILTER(tblScheduleData[ContractualHours],tblScheduleData[OperationalDate]=SelectedDate),ROWS($A$8:A91)),"")</f>
        <v/>
      </c>
      <c r="D91" s="2">
        <f>IFERROR(INDEX(FILTER(tblScheduleData[ActivityCode],tblScheduleData[OperationalDate]=SelectedDate),ROWS($A$8:A91)),"")</f>
        <v/>
      </c>
      <c r="E91" s="4">
        <f>IF(Calc_Engine!A91="","",SelectedDate)</f>
        <v/>
      </c>
      <c r="F91" s="5">
        <f>IFERROR(INDEX(FILTER(tblScheduleData[ShiftStart],tblScheduleData[OperationalDate]=SelectedDate),ROWS($A$8:A91)),"")</f>
        <v/>
      </c>
      <c r="G91" s="5">
        <f>IFERROR(INDEX(FILTER(tblScheduleData[ShiftEnd],tblScheduleData[OperationalDate]=SelectedDate),ROWS($A$8:A91)),"")</f>
        <v/>
      </c>
      <c r="H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91" s="2">
        <f>IFERROR(INDEX(FILTER(tblScheduleData[ValidationState],tblScheduleData[OperationalDate]=SelectedDate),ROWS($A$8:A91)),"")</f>
        <v/>
      </c>
    </row>
    <row r="92">
      <c r="A92" s="2">
        <f>IFERROR(INDEX(FILTER(tblScheduleData[EmployeeID],tblScheduleData[OperationalDate]=SelectedDate),ROWS($A$8:A92)),"")</f>
        <v/>
      </c>
      <c r="B92" s="2">
        <f>IFERROR(INDEX(FILTER(tblScheduleData[Name],tblScheduleData[OperationalDate]=SelectedDate),ROWS($A$8:A92)),"")</f>
        <v/>
      </c>
      <c r="C92" s="2">
        <f>IFERROR(INDEX(FILTER(tblScheduleData[ContractualHours],tblScheduleData[OperationalDate]=SelectedDate),ROWS($A$8:A92)),"")</f>
        <v/>
      </c>
      <c r="D92" s="2">
        <f>IFERROR(INDEX(FILTER(tblScheduleData[ActivityCode],tblScheduleData[OperationalDate]=SelectedDate),ROWS($A$8:A92)),"")</f>
        <v/>
      </c>
      <c r="E92" s="4">
        <f>IF(Calc_Engine!A92="","",SelectedDate)</f>
        <v/>
      </c>
      <c r="F92" s="5">
        <f>IFERROR(INDEX(FILTER(tblScheduleData[ShiftStart],tblScheduleData[OperationalDate]=SelectedDate),ROWS($A$8:A92)),"")</f>
        <v/>
      </c>
      <c r="G92" s="5">
        <f>IFERROR(INDEX(FILTER(tblScheduleData[ShiftEnd],tblScheduleData[OperationalDate]=SelectedDate),ROWS($A$8:A92)),"")</f>
        <v/>
      </c>
      <c r="H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92" s="2">
        <f>IFERROR(INDEX(FILTER(tblScheduleData[ValidationState],tblScheduleData[OperationalDate]=SelectedDate),ROWS($A$8:A92)),"")</f>
        <v/>
      </c>
    </row>
    <row r="93">
      <c r="A93" s="2">
        <f>IFERROR(INDEX(FILTER(tblScheduleData[EmployeeID],tblScheduleData[OperationalDate]=SelectedDate),ROWS($A$8:A93)),"")</f>
        <v/>
      </c>
      <c r="B93" s="2">
        <f>IFERROR(INDEX(FILTER(tblScheduleData[Name],tblScheduleData[OperationalDate]=SelectedDate),ROWS($A$8:A93)),"")</f>
        <v/>
      </c>
      <c r="C93" s="2">
        <f>IFERROR(INDEX(FILTER(tblScheduleData[ContractualHours],tblScheduleData[OperationalDate]=SelectedDate),ROWS($A$8:A93)),"")</f>
        <v/>
      </c>
      <c r="D93" s="2">
        <f>IFERROR(INDEX(FILTER(tblScheduleData[ActivityCode],tblScheduleData[OperationalDate]=SelectedDate),ROWS($A$8:A93)),"")</f>
        <v/>
      </c>
      <c r="E93" s="4">
        <f>IF(Calc_Engine!A93="","",SelectedDate)</f>
        <v/>
      </c>
      <c r="F93" s="5">
        <f>IFERROR(INDEX(FILTER(tblScheduleData[ShiftStart],tblScheduleData[OperationalDate]=SelectedDate),ROWS($A$8:A93)),"")</f>
        <v/>
      </c>
      <c r="G93" s="5">
        <f>IFERROR(INDEX(FILTER(tblScheduleData[ShiftEnd],tblScheduleData[OperationalDate]=SelectedDate),ROWS($A$8:A93)),"")</f>
        <v/>
      </c>
      <c r="H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93" s="2">
        <f>IFERROR(INDEX(FILTER(tblScheduleData[ValidationState],tblScheduleData[OperationalDate]=SelectedDate),ROWS($A$8:A93)),"")</f>
        <v/>
      </c>
    </row>
    <row r="94">
      <c r="A94" s="2">
        <f>IFERROR(INDEX(FILTER(tblScheduleData[EmployeeID],tblScheduleData[OperationalDate]=SelectedDate),ROWS($A$8:A94)),"")</f>
        <v/>
      </c>
      <c r="B94" s="2">
        <f>IFERROR(INDEX(FILTER(tblScheduleData[Name],tblScheduleData[OperationalDate]=SelectedDate),ROWS($A$8:A94)),"")</f>
        <v/>
      </c>
      <c r="C94" s="2">
        <f>IFERROR(INDEX(FILTER(tblScheduleData[ContractualHours],tblScheduleData[OperationalDate]=SelectedDate),ROWS($A$8:A94)),"")</f>
        <v/>
      </c>
      <c r="D94" s="2">
        <f>IFERROR(INDEX(FILTER(tblScheduleData[ActivityCode],tblScheduleData[OperationalDate]=SelectedDate),ROWS($A$8:A94)),"")</f>
        <v/>
      </c>
      <c r="E94" s="4">
        <f>IF(Calc_Engine!A94="","",SelectedDate)</f>
        <v/>
      </c>
      <c r="F94" s="5">
        <f>IFERROR(INDEX(FILTER(tblScheduleData[ShiftStart],tblScheduleData[OperationalDate]=SelectedDate),ROWS($A$8:A94)),"")</f>
        <v/>
      </c>
      <c r="G94" s="5">
        <f>IFERROR(INDEX(FILTER(tblScheduleData[ShiftEnd],tblScheduleData[OperationalDate]=SelectedDate),ROWS($A$8:A94)),"")</f>
        <v/>
      </c>
      <c r="H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94" s="2">
        <f>IFERROR(INDEX(FILTER(tblScheduleData[ValidationState],tblScheduleData[OperationalDate]=SelectedDate),ROWS($A$8:A94)),"")</f>
        <v/>
      </c>
    </row>
    <row r="95">
      <c r="A95" s="2">
        <f>IFERROR(INDEX(FILTER(tblScheduleData[EmployeeID],tblScheduleData[OperationalDate]=SelectedDate),ROWS($A$8:A95)),"")</f>
        <v/>
      </c>
      <c r="B95" s="2">
        <f>IFERROR(INDEX(FILTER(tblScheduleData[Name],tblScheduleData[OperationalDate]=SelectedDate),ROWS($A$8:A95)),"")</f>
        <v/>
      </c>
      <c r="C95" s="2">
        <f>IFERROR(INDEX(FILTER(tblScheduleData[ContractualHours],tblScheduleData[OperationalDate]=SelectedDate),ROWS($A$8:A95)),"")</f>
        <v/>
      </c>
      <c r="D95" s="2">
        <f>IFERROR(INDEX(FILTER(tblScheduleData[ActivityCode],tblScheduleData[OperationalDate]=SelectedDate),ROWS($A$8:A95)),"")</f>
        <v/>
      </c>
      <c r="E95" s="4">
        <f>IF(Calc_Engine!A95="","",SelectedDate)</f>
        <v/>
      </c>
      <c r="F95" s="5">
        <f>IFERROR(INDEX(FILTER(tblScheduleData[ShiftStart],tblScheduleData[OperationalDate]=SelectedDate),ROWS($A$8:A95)),"")</f>
        <v/>
      </c>
      <c r="G95" s="5">
        <f>IFERROR(INDEX(FILTER(tblScheduleData[ShiftEnd],tblScheduleData[OperationalDate]=SelectedDate),ROWS($A$8:A95)),"")</f>
        <v/>
      </c>
      <c r="H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95" s="2">
        <f>IFERROR(INDEX(FILTER(tblScheduleData[ValidationState],tblScheduleData[OperationalDate]=SelectedDate),ROWS($A$8:A95)),"")</f>
        <v/>
      </c>
    </row>
    <row r="96">
      <c r="A96" s="2">
        <f>IFERROR(INDEX(FILTER(tblScheduleData[EmployeeID],tblScheduleData[OperationalDate]=SelectedDate),ROWS($A$8:A96)),"")</f>
        <v/>
      </c>
      <c r="B96" s="2">
        <f>IFERROR(INDEX(FILTER(tblScheduleData[Name],tblScheduleData[OperationalDate]=SelectedDate),ROWS($A$8:A96)),"")</f>
        <v/>
      </c>
      <c r="C96" s="2">
        <f>IFERROR(INDEX(FILTER(tblScheduleData[ContractualHours],tblScheduleData[OperationalDate]=SelectedDate),ROWS($A$8:A96)),"")</f>
        <v/>
      </c>
      <c r="D96" s="2">
        <f>IFERROR(INDEX(FILTER(tblScheduleData[ActivityCode],tblScheduleData[OperationalDate]=SelectedDate),ROWS($A$8:A96)),"")</f>
        <v/>
      </c>
      <c r="E96" s="4">
        <f>IF(Calc_Engine!A96="","",SelectedDate)</f>
        <v/>
      </c>
      <c r="F96" s="5">
        <f>IFERROR(INDEX(FILTER(tblScheduleData[ShiftStart],tblScheduleData[OperationalDate]=SelectedDate),ROWS($A$8:A96)),"")</f>
        <v/>
      </c>
      <c r="G96" s="5">
        <f>IFERROR(INDEX(FILTER(tblScheduleData[ShiftEnd],tblScheduleData[OperationalDate]=SelectedDate),ROWS($A$8:A96)),"")</f>
        <v/>
      </c>
      <c r="H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96" s="2">
        <f>IFERROR(INDEX(FILTER(tblScheduleData[ValidationState],tblScheduleData[OperationalDate]=SelectedDate),ROWS($A$8:A96)),"")</f>
        <v/>
      </c>
    </row>
    <row r="97">
      <c r="A97" s="2">
        <f>IFERROR(INDEX(FILTER(tblScheduleData[EmployeeID],tblScheduleData[OperationalDate]=SelectedDate),ROWS($A$8:A97)),"")</f>
        <v/>
      </c>
      <c r="B97" s="2">
        <f>IFERROR(INDEX(FILTER(tblScheduleData[Name],tblScheduleData[OperationalDate]=SelectedDate),ROWS($A$8:A97)),"")</f>
        <v/>
      </c>
      <c r="C97" s="2">
        <f>IFERROR(INDEX(FILTER(tblScheduleData[ContractualHours],tblScheduleData[OperationalDate]=SelectedDate),ROWS($A$8:A97)),"")</f>
        <v/>
      </c>
      <c r="D97" s="2">
        <f>IFERROR(INDEX(FILTER(tblScheduleData[ActivityCode],tblScheduleData[OperationalDate]=SelectedDate),ROWS($A$8:A97)),"")</f>
        <v/>
      </c>
      <c r="E97" s="4">
        <f>IF(Calc_Engine!A97="","",SelectedDate)</f>
        <v/>
      </c>
      <c r="F97" s="5">
        <f>IFERROR(INDEX(FILTER(tblScheduleData[ShiftStart],tblScheduleData[OperationalDate]=SelectedDate),ROWS($A$8:A97)),"")</f>
        <v/>
      </c>
      <c r="G97" s="5">
        <f>IFERROR(INDEX(FILTER(tblScheduleData[ShiftEnd],tblScheduleData[OperationalDate]=SelectedDate),ROWS($A$8:A97)),"")</f>
        <v/>
      </c>
      <c r="H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97" s="2">
        <f>IFERROR(INDEX(FILTER(tblScheduleData[ValidationState],tblScheduleData[OperationalDate]=SelectedDate),ROWS($A$8:A97)),"")</f>
        <v/>
      </c>
    </row>
    <row r="98">
      <c r="A98" s="2">
        <f>IFERROR(INDEX(FILTER(tblScheduleData[EmployeeID],tblScheduleData[OperationalDate]=SelectedDate),ROWS($A$8:A98)),"")</f>
        <v/>
      </c>
      <c r="B98" s="2">
        <f>IFERROR(INDEX(FILTER(tblScheduleData[Name],tblScheduleData[OperationalDate]=SelectedDate),ROWS($A$8:A98)),"")</f>
        <v/>
      </c>
      <c r="C98" s="2">
        <f>IFERROR(INDEX(FILTER(tblScheduleData[ContractualHours],tblScheduleData[OperationalDate]=SelectedDate),ROWS($A$8:A98)),"")</f>
        <v/>
      </c>
      <c r="D98" s="2">
        <f>IFERROR(INDEX(FILTER(tblScheduleData[ActivityCode],tblScheduleData[OperationalDate]=SelectedDate),ROWS($A$8:A98)),"")</f>
        <v/>
      </c>
      <c r="E98" s="4">
        <f>IF(Calc_Engine!A98="","",SelectedDate)</f>
        <v/>
      </c>
      <c r="F98" s="5">
        <f>IFERROR(INDEX(FILTER(tblScheduleData[ShiftStart],tblScheduleData[OperationalDate]=SelectedDate),ROWS($A$8:A98)),"")</f>
        <v/>
      </c>
      <c r="G98" s="5">
        <f>IFERROR(INDEX(FILTER(tblScheduleData[ShiftEnd],tblScheduleData[OperationalDate]=SelectedDate),ROWS($A$8:A98)),"")</f>
        <v/>
      </c>
      <c r="H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98" s="2">
        <f>IFERROR(INDEX(FILTER(tblScheduleData[ValidationState],tblScheduleData[OperationalDate]=SelectedDate),ROWS($A$8:A98)),"")</f>
        <v/>
      </c>
    </row>
    <row r="99">
      <c r="A99" s="2">
        <f>IFERROR(INDEX(FILTER(tblScheduleData[EmployeeID],tblScheduleData[OperationalDate]=SelectedDate),ROWS($A$8:A99)),"")</f>
        <v/>
      </c>
      <c r="B99" s="2">
        <f>IFERROR(INDEX(FILTER(tblScheduleData[Name],tblScheduleData[OperationalDate]=SelectedDate),ROWS($A$8:A99)),"")</f>
        <v/>
      </c>
      <c r="C99" s="2">
        <f>IFERROR(INDEX(FILTER(tblScheduleData[ContractualHours],tblScheduleData[OperationalDate]=SelectedDate),ROWS($A$8:A99)),"")</f>
        <v/>
      </c>
      <c r="D99" s="2">
        <f>IFERROR(INDEX(FILTER(tblScheduleData[ActivityCode],tblScheduleData[OperationalDate]=SelectedDate),ROWS($A$8:A99)),"")</f>
        <v/>
      </c>
      <c r="E99" s="4">
        <f>IF(Calc_Engine!A99="","",SelectedDate)</f>
        <v/>
      </c>
      <c r="F99" s="5">
        <f>IFERROR(INDEX(FILTER(tblScheduleData[ShiftStart],tblScheduleData[OperationalDate]=SelectedDate),ROWS($A$8:A99)),"")</f>
        <v/>
      </c>
      <c r="G99" s="5">
        <f>IFERROR(INDEX(FILTER(tblScheduleData[ShiftEnd],tblScheduleData[OperationalDate]=SelectedDate),ROWS($A$8:A99)),"")</f>
        <v/>
      </c>
      <c r="H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99" s="2">
        <f>IFERROR(INDEX(FILTER(tblScheduleData[ValidationState],tblScheduleData[OperationalDate]=SelectedDate),ROWS($A$8:A99)),"")</f>
        <v/>
      </c>
    </row>
    <row r="100">
      <c r="A100" s="2">
        <f>IFERROR(INDEX(FILTER(tblScheduleData[EmployeeID],tblScheduleData[OperationalDate]=SelectedDate),ROWS($A$8:A100)),"")</f>
        <v/>
      </c>
      <c r="B100" s="2">
        <f>IFERROR(INDEX(FILTER(tblScheduleData[Name],tblScheduleData[OperationalDate]=SelectedDate),ROWS($A$8:A100)),"")</f>
        <v/>
      </c>
      <c r="C100" s="2">
        <f>IFERROR(INDEX(FILTER(tblScheduleData[ContractualHours],tblScheduleData[OperationalDate]=SelectedDate),ROWS($A$8:A100)),"")</f>
        <v/>
      </c>
      <c r="D100" s="2">
        <f>IFERROR(INDEX(FILTER(tblScheduleData[ActivityCode],tblScheduleData[OperationalDate]=SelectedDate),ROWS($A$8:A100)),"")</f>
        <v/>
      </c>
      <c r="E100" s="4">
        <f>IF(Calc_Engine!A100="","",SelectedDate)</f>
        <v/>
      </c>
      <c r="F100" s="5">
        <f>IFERROR(INDEX(FILTER(tblScheduleData[ShiftStart],tblScheduleData[OperationalDate]=SelectedDate),ROWS($A$8:A100)),"")</f>
        <v/>
      </c>
      <c r="G100" s="5">
        <f>IFERROR(INDEX(FILTER(tblScheduleData[ShiftEnd],tblScheduleData[OperationalDate]=SelectedDate),ROWS($A$8:A100)),"")</f>
        <v/>
      </c>
      <c r="H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00" s="2">
        <f>IFERROR(INDEX(FILTER(tblScheduleData[ValidationState],tblScheduleData[OperationalDate]=SelectedDate),ROWS($A$8:A100)),"")</f>
        <v/>
      </c>
    </row>
    <row r="101">
      <c r="A101" s="2">
        <f>IFERROR(INDEX(FILTER(tblScheduleData[EmployeeID],tblScheduleData[OperationalDate]=SelectedDate),ROWS($A$8:A101)),"")</f>
        <v/>
      </c>
      <c r="B101" s="2">
        <f>IFERROR(INDEX(FILTER(tblScheduleData[Name],tblScheduleData[OperationalDate]=SelectedDate),ROWS($A$8:A101)),"")</f>
        <v/>
      </c>
      <c r="C101" s="2">
        <f>IFERROR(INDEX(FILTER(tblScheduleData[ContractualHours],tblScheduleData[OperationalDate]=SelectedDate),ROWS($A$8:A101)),"")</f>
        <v/>
      </c>
      <c r="D101" s="2">
        <f>IFERROR(INDEX(FILTER(tblScheduleData[ActivityCode],tblScheduleData[OperationalDate]=SelectedDate),ROWS($A$8:A101)),"")</f>
        <v/>
      </c>
      <c r="E101" s="4">
        <f>IF(Calc_Engine!A101="","",SelectedDate)</f>
        <v/>
      </c>
      <c r="F101" s="5">
        <f>IFERROR(INDEX(FILTER(tblScheduleData[ShiftStart],tblScheduleData[OperationalDate]=SelectedDate),ROWS($A$8:A101)),"")</f>
        <v/>
      </c>
      <c r="G101" s="5">
        <f>IFERROR(INDEX(FILTER(tblScheduleData[ShiftEnd],tblScheduleData[OperationalDate]=SelectedDate),ROWS($A$8:A101)),"")</f>
        <v/>
      </c>
      <c r="H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01" s="2">
        <f>IFERROR(INDEX(FILTER(tblScheduleData[ValidationState],tblScheduleData[OperationalDate]=SelectedDate),ROWS($A$8:A101)),"")</f>
        <v/>
      </c>
    </row>
    <row r="102">
      <c r="A102" s="2">
        <f>IFERROR(INDEX(FILTER(tblScheduleData[EmployeeID],tblScheduleData[OperationalDate]=SelectedDate),ROWS($A$8:A102)),"")</f>
        <v/>
      </c>
      <c r="B102" s="2">
        <f>IFERROR(INDEX(FILTER(tblScheduleData[Name],tblScheduleData[OperationalDate]=SelectedDate),ROWS($A$8:A102)),"")</f>
        <v/>
      </c>
      <c r="C102" s="2">
        <f>IFERROR(INDEX(FILTER(tblScheduleData[ContractualHours],tblScheduleData[OperationalDate]=SelectedDate),ROWS($A$8:A102)),"")</f>
        <v/>
      </c>
      <c r="D102" s="2">
        <f>IFERROR(INDEX(FILTER(tblScheduleData[ActivityCode],tblScheduleData[OperationalDate]=SelectedDate),ROWS($A$8:A102)),"")</f>
        <v/>
      </c>
      <c r="E102" s="4">
        <f>IF(Calc_Engine!A102="","",SelectedDate)</f>
        <v/>
      </c>
      <c r="F102" s="5">
        <f>IFERROR(INDEX(FILTER(tblScheduleData[ShiftStart],tblScheduleData[OperationalDate]=SelectedDate),ROWS($A$8:A102)),"")</f>
        <v/>
      </c>
      <c r="G102" s="5">
        <f>IFERROR(INDEX(FILTER(tblScheduleData[ShiftEnd],tblScheduleData[OperationalDate]=SelectedDate),ROWS($A$8:A102)),"")</f>
        <v/>
      </c>
      <c r="H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02" s="2">
        <f>IFERROR(INDEX(FILTER(tblScheduleData[ValidationState],tblScheduleData[OperationalDate]=SelectedDate),ROWS($A$8:A102)),"")</f>
        <v/>
      </c>
    </row>
    <row r="103">
      <c r="A103" s="2">
        <f>IFERROR(INDEX(FILTER(tblScheduleData[EmployeeID],tblScheduleData[OperationalDate]=SelectedDate),ROWS($A$8:A103)),"")</f>
        <v/>
      </c>
      <c r="B103" s="2">
        <f>IFERROR(INDEX(FILTER(tblScheduleData[Name],tblScheduleData[OperationalDate]=SelectedDate),ROWS($A$8:A103)),"")</f>
        <v/>
      </c>
      <c r="C103" s="2">
        <f>IFERROR(INDEX(FILTER(tblScheduleData[ContractualHours],tblScheduleData[OperationalDate]=SelectedDate),ROWS($A$8:A103)),"")</f>
        <v/>
      </c>
      <c r="D103" s="2">
        <f>IFERROR(INDEX(FILTER(tblScheduleData[ActivityCode],tblScheduleData[OperationalDate]=SelectedDate),ROWS($A$8:A103)),"")</f>
        <v/>
      </c>
      <c r="E103" s="4">
        <f>IF(Calc_Engine!A103="","",SelectedDate)</f>
        <v/>
      </c>
      <c r="F103" s="5">
        <f>IFERROR(INDEX(FILTER(tblScheduleData[ShiftStart],tblScheduleData[OperationalDate]=SelectedDate),ROWS($A$8:A103)),"")</f>
        <v/>
      </c>
      <c r="G103" s="5">
        <f>IFERROR(INDEX(FILTER(tblScheduleData[ShiftEnd],tblScheduleData[OperationalDate]=SelectedDate),ROWS($A$8:A103)),"")</f>
        <v/>
      </c>
      <c r="H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03" s="2">
        <f>IFERROR(INDEX(FILTER(tblScheduleData[ValidationState],tblScheduleData[OperationalDate]=SelectedDate),ROWS($A$8:A103)),"")</f>
        <v/>
      </c>
    </row>
    <row r="104">
      <c r="A104" s="2">
        <f>IFERROR(INDEX(FILTER(tblScheduleData[EmployeeID],tblScheduleData[OperationalDate]=SelectedDate),ROWS($A$8:A104)),"")</f>
        <v/>
      </c>
      <c r="B104" s="2">
        <f>IFERROR(INDEX(FILTER(tblScheduleData[Name],tblScheduleData[OperationalDate]=SelectedDate),ROWS($A$8:A104)),"")</f>
        <v/>
      </c>
      <c r="C104" s="2">
        <f>IFERROR(INDEX(FILTER(tblScheduleData[ContractualHours],tblScheduleData[OperationalDate]=SelectedDate),ROWS($A$8:A104)),"")</f>
        <v/>
      </c>
      <c r="D104" s="2">
        <f>IFERROR(INDEX(FILTER(tblScheduleData[ActivityCode],tblScheduleData[OperationalDate]=SelectedDate),ROWS($A$8:A104)),"")</f>
        <v/>
      </c>
      <c r="E104" s="4">
        <f>IF(Calc_Engine!A104="","",SelectedDate)</f>
        <v/>
      </c>
      <c r="F104" s="5">
        <f>IFERROR(INDEX(FILTER(tblScheduleData[ShiftStart],tblScheduleData[OperationalDate]=SelectedDate),ROWS($A$8:A104)),"")</f>
        <v/>
      </c>
      <c r="G104" s="5">
        <f>IFERROR(INDEX(FILTER(tblScheduleData[ShiftEnd],tblScheduleData[OperationalDate]=SelectedDate),ROWS($A$8:A104)),"")</f>
        <v/>
      </c>
      <c r="H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04" s="2">
        <f>IFERROR(INDEX(FILTER(tblScheduleData[ValidationState],tblScheduleData[OperationalDate]=SelectedDate),ROWS($A$8:A104)),"")</f>
        <v/>
      </c>
    </row>
    <row r="105">
      <c r="A105" s="2">
        <f>IFERROR(INDEX(FILTER(tblScheduleData[EmployeeID],tblScheduleData[OperationalDate]=SelectedDate),ROWS($A$8:A105)),"")</f>
        <v/>
      </c>
      <c r="B105" s="2">
        <f>IFERROR(INDEX(FILTER(tblScheduleData[Name],tblScheduleData[OperationalDate]=SelectedDate),ROWS($A$8:A105)),"")</f>
        <v/>
      </c>
      <c r="C105" s="2">
        <f>IFERROR(INDEX(FILTER(tblScheduleData[ContractualHours],tblScheduleData[OperationalDate]=SelectedDate),ROWS($A$8:A105)),"")</f>
        <v/>
      </c>
      <c r="D105" s="2">
        <f>IFERROR(INDEX(FILTER(tblScheduleData[ActivityCode],tblScheduleData[OperationalDate]=SelectedDate),ROWS($A$8:A105)),"")</f>
        <v/>
      </c>
      <c r="E105" s="4">
        <f>IF(Calc_Engine!A105="","",SelectedDate)</f>
        <v/>
      </c>
      <c r="F105" s="5">
        <f>IFERROR(INDEX(FILTER(tblScheduleData[ShiftStart],tblScheduleData[OperationalDate]=SelectedDate),ROWS($A$8:A105)),"")</f>
        <v/>
      </c>
      <c r="G105" s="5">
        <f>IFERROR(INDEX(FILTER(tblScheduleData[ShiftEnd],tblScheduleData[OperationalDate]=SelectedDate),ROWS($A$8:A105)),"")</f>
        <v/>
      </c>
      <c r="H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05" s="2">
        <f>IFERROR(INDEX(FILTER(tblScheduleData[ValidationState],tblScheduleData[OperationalDate]=SelectedDate),ROWS($A$8:A105)),"")</f>
        <v/>
      </c>
    </row>
    <row r="106">
      <c r="A106" s="2">
        <f>IFERROR(INDEX(FILTER(tblScheduleData[EmployeeID],tblScheduleData[OperationalDate]=SelectedDate),ROWS($A$8:A106)),"")</f>
        <v/>
      </c>
      <c r="B106" s="2">
        <f>IFERROR(INDEX(FILTER(tblScheduleData[Name],tblScheduleData[OperationalDate]=SelectedDate),ROWS($A$8:A106)),"")</f>
        <v/>
      </c>
      <c r="C106" s="2">
        <f>IFERROR(INDEX(FILTER(tblScheduleData[ContractualHours],tblScheduleData[OperationalDate]=SelectedDate),ROWS($A$8:A106)),"")</f>
        <v/>
      </c>
      <c r="D106" s="2">
        <f>IFERROR(INDEX(FILTER(tblScheduleData[ActivityCode],tblScheduleData[OperationalDate]=SelectedDate),ROWS($A$8:A106)),"")</f>
        <v/>
      </c>
      <c r="E106" s="4">
        <f>IF(Calc_Engine!A106="","",SelectedDate)</f>
        <v/>
      </c>
      <c r="F106" s="5">
        <f>IFERROR(INDEX(FILTER(tblScheduleData[ShiftStart],tblScheduleData[OperationalDate]=SelectedDate),ROWS($A$8:A106)),"")</f>
        <v/>
      </c>
      <c r="G106" s="5">
        <f>IFERROR(INDEX(FILTER(tblScheduleData[ShiftEnd],tblScheduleData[OperationalDate]=SelectedDate),ROWS($A$8:A106)),"")</f>
        <v/>
      </c>
      <c r="H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06" s="2">
        <f>IFERROR(INDEX(FILTER(tblScheduleData[ValidationState],tblScheduleData[OperationalDate]=SelectedDate),ROWS($A$8:A106)),"")</f>
        <v/>
      </c>
    </row>
    <row r="107">
      <c r="A107" s="2">
        <f>IFERROR(INDEX(FILTER(tblScheduleData[EmployeeID],tblScheduleData[OperationalDate]=SelectedDate),ROWS($A$8:A107)),"")</f>
        <v/>
      </c>
      <c r="B107" s="2">
        <f>IFERROR(INDEX(FILTER(tblScheduleData[Name],tblScheduleData[OperationalDate]=SelectedDate),ROWS($A$8:A107)),"")</f>
        <v/>
      </c>
      <c r="C107" s="2">
        <f>IFERROR(INDEX(FILTER(tblScheduleData[ContractualHours],tblScheduleData[OperationalDate]=SelectedDate),ROWS($A$8:A107)),"")</f>
        <v/>
      </c>
      <c r="D107" s="2">
        <f>IFERROR(INDEX(FILTER(tblScheduleData[ActivityCode],tblScheduleData[OperationalDate]=SelectedDate),ROWS($A$8:A107)),"")</f>
        <v/>
      </c>
      <c r="E107" s="4">
        <f>IF(Calc_Engine!A107="","",SelectedDate)</f>
        <v/>
      </c>
      <c r="F107" s="5">
        <f>IFERROR(INDEX(FILTER(tblScheduleData[ShiftStart],tblScheduleData[OperationalDate]=SelectedDate),ROWS($A$8:A107)),"")</f>
        <v/>
      </c>
      <c r="G107" s="5">
        <f>IFERROR(INDEX(FILTER(tblScheduleData[ShiftEnd],tblScheduleData[OperationalDate]=SelectedDate),ROWS($A$8:A107)),"")</f>
        <v/>
      </c>
      <c r="H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07" s="2">
        <f>IFERROR(INDEX(FILTER(tblScheduleData[ValidationState],tblScheduleData[OperationalDate]=SelectedDate),ROWS($A$8:A107)),"")</f>
        <v/>
      </c>
    </row>
    <row r="108">
      <c r="A108" s="2">
        <f>IFERROR(INDEX(FILTER(tblScheduleData[EmployeeID],tblScheduleData[OperationalDate]=SelectedDate),ROWS($A$8:A108)),"")</f>
        <v/>
      </c>
      <c r="B108" s="2">
        <f>IFERROR(INDEX(FILTER(tblScheduleData[Name],tblScheduleData[OperationalDate]=SelectedDate),ROWS($A$8:A108)),"")</f>
        <v/>
      </c>
      <c r="C108" s="2">
        <f>IFERROR(INDEX(FILTER(tblScheduleData[ContractualHours],tblScheduleData[OperationalDate]=SelectedDate),ROWS($A$8:A108)),"")</f>
        <v/>
      </c>
      <c r="D108" s="2">
        <f>IFERROR(INDEX(FILTER(tblScheduleData[ActivityCode],tblScheduleData[OperationalDate]=SelectedDate),ROWS($A$8:A108)),"")</f>
        <v/>
      </c>
      <c r="E108" s="4">
        <f>IF(Calc_Engine!A108="","",SelectedDate)</f>
        <v/>
      </c>
      <c r="F108" s="5">
        <f>IFERROR(INDEX(FILTER(tblScheduleData[ShiftStart],tblScheduleData[OperationalDate]=SelectedDate),ROWS($A$8:A108)),"")</f>
        <v/>
      </c>
      <c r="G108" s="5">
        <f>IFERROR(INDEX(FILTER(tblScheduleData[ShiftEnd],tblScheduleData[OperationalDate]=SelectedDate),ROWS($A$8:A108)),"")</f>
        <v/>
      </c>
      <c r="H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08" s="2">
        <f>IFERROR(INDEX(FILTER(tblScheduleData[ValidationState],tblScheduleData[OperationalDate]=SelectedDate),ROWS($A$8:A108)),"")</f>
        <v/>
      </c>
    </row>
    <row r="109">
      <c r="A109" s="2">
        <f>IFERROR(INDEX(FILTER(tblScheduleData[EmployeeID],tblScheduleData[OperationalDate]=SelectedDate),ROWS($A$8:A109)),"")</f>
        <v/>
      </c>
      <c r="B109" s="2">
        <f>IFERROR(INDEX(FILTER(tblScheduleData[Name],tblScheduleData[OperationalDate]=SelectedDate),ROWS($A$8:A109)),"")</f>
        <v/>
      </c>
      <c r="C109" s="2">
        <f>IFERROR(INDEX(FILTER(tblScheduleData[ContractualHours],tblScheduleData[OperationalDate]=SelectedDate),ROWS($A$8:A109)),"")</f>
        <v/>
      </c>
      <c r="D109" s="2">
        <f>IFERROR(INDEX(FILTER(tblScheduleData[ActivityCode],tblScheduleData[OperationalDate]=SelectedDate),ROWS($A$8:A109)),"")</f>
        <v/>
      </c>
      <c r="E109" s="4">
        <f>IF(Calc_Engine!A109="","",SelectedDate)</f>
        <v/>
      </c>
      <c r="F109" s="5">
        <f>IFERROR(INDEX(FILTER(tblScheduleData[ShiftStart],tblScheduleData[OperationalDate]=SelectedDate),ROWS($A$8:A109)),"")</f>
        <v/>
      </c>
      <c r="G109" s="5">
        <f>IFERROR(INDEX(FILTER(tblScheduleData[ShiftEnd],tblScheduleData[OperationalDate]=SelectedDate),ROWS($A$8:A109)),"")</f>
        <v/>
      </c>
      <c r="H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09" s="2">
        <f>IFERROR(INDEX(FILTER(tblScheduleData[ValidationState],tblScheduleData[OperationalDate]=SelectedDate),ROWS($A$8:A109)),"")</f>
        <v/>
      </c>
    </row>
    <row r="110">
      <c r="A110" s="2">
        <f>IFERROR(INDEX(FILTER(tblScheduleData[EmployeeID],tblScheduleData[OperationalDate]=SelectedDate),ROWS($A$8:A110)),"")</f>
        <v/>
      </c>
      <c r="B110" s="2">
        <f>IFERROR(INDEX(FILTER(tblScheduleData[Name],tblScheduleData[OperationalDate]=SelectedDate),ROWS($A$8:A110)),"")</f>
        <v/>
      </c>
      <c r="C110" s="2">
        <f>IFERROR(INDEX(FILTER(tblScheduleData[ContractualHours],tblScheduleData[OperationalDate]=SelectedDate),ROWS($A$8:A110)),"")</f>
        <v/>
      </c>
      <c r="D110" s="2">
        <f>IFERROR(INDEX(FILTER(tblScheduleData[ActivityCode],tblScheduleData[OperationalDate]=SelectedDate),ROWS($A$8:A110)),"")</f>
        <v/>
      </c>
      <c r="E110" s="4">
        <f>IF(Calc_Engine!A110="","",SelectedDate)</f>
        <v/>
      </c>
      <c r="F110" s="5">
        <f>IFERROR(INDEX(FILTER(tblScheduleData[ShiftStart],tblScheduleData[OperationalDate]=SelectedDate),ROWS($A$8:A110)),"")</f>
        <v/>
      </c>
      <c r="G110" s="5">
        <f>IFERROR(INDEX(FILTER(tblScheduleData[ShiftEnd],tblScheduleData[OperationalDate]=SelectedDate),ROWS($A$8:A110)),"")</f>
        <v/>
      </c>
      <c r="H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10" s="2">
        <f>IFERROR(INDEX(FILTER(tblScheduleData[ValidationState],tblScheduleData[OperationalDate]=SelectedDate),ROWS($A$8:A110)),"")</f>
        <v/>
      </c>
    </row>
    <row r="111">
      <c r="A111" s="2">
        <f>IFERROR(INDEX(FILTER(tblScheduleData[EmployeeID],tblScheduleData[OperationalDate]=SelectedDate),ROWS($A$8:A111)),"")</f>
        <v/>
      </c>
      <c r="B111" s="2">
        <f>IFERROR(INDEX(FILTER(tblScheduleData[Name],tblScheduleData[OperationalDate]=SelectedDate),ROWS($A$8:A111)),"")</f>
        <v/>
      </c>
      <c r="C111" s="2">
        <f>IFERROR(INDEX(FILTER(tblScheduleData[ContractualHours],tblScheduleData[OperationalDate]=SelectedDate),ROWS($A$8:A111)),"")</f>
        <v/>
      </c>
      <c r="D111" s="2">
        <f>IFERROR(INDEX(FILTER(tblScheduleData[ActivityCode],tblScheduleData[OperationalDate]=SelectedDate),ROWS($A$8:A111)),"")</f>
        <v/>
      </c>
      <c r="E111" s="4">
        <f>IF(Calc_Engine!A111="","",SelectedDate)</f>
        <v/>
      </c>
      <c r="F111" s="5">
        <f>IFERROR(INDEX(FILTER(tblScheduleData[ShiftStart],tblScheduleData[OperationalDate]=SelectedDate),ROWS($A$8:A111)),"")</f>
        <v/>
      </c>
      <c r="G111" s="5">
        <f>IFERROR(INDEX(FILTER(tblScheduleData[ShiftEnd],tblScheduleData[OperationalDate]=SelectedDate),ROWS($A$8:A111)),"")</f>
        <v/>
      </c>
      <c r="H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11" s="2">
        <f>IFERROR(INDEX(FILTER(tblScheduleData[ValidationState],tblScheduleData[OperationalDate]=SelectedDate),ROWS($A$8:A111)),"")</f>
        <v/>
      </c>
    </row>
    <row r="112">
      <c r="A112" s="2">
        <f>IFERROR(INDEX(FILTER(tblScheduleData[EmployeeID],tblScheduleData[OperationalDate]=SelectedDate),ROWS($A$8:A112)),"")</f>
        <v/>
      </c>
      <c r="B112" s="2">
        <f>IFERROR(INDEX(FILTER(tblScheduleData[Name],tblScheduleData[OperationalDate]=SelectedDate),ROWS($A$8:A112)),"")</f>
        <v/>
      </c>
      <c r="C112" s="2">
        <f>IFERROR(INDEX(FILTER(tblScheduleData[ContractualHours],tblScheduleData[OperationalDate]=SelectedDate),ROWS($A$8:A112)),"")</f>
        <v/>
      </c>
      <c r="D112" s="2">
        <f>IFERROR(INDEX(FILTER(tblScheduleData[ActivityCode],tblScheduleData[OperationalDate]=SelectedDate),ROWS($A$8:A112)),"")</f>
        <v/>
      </c>
      <c r="E112" s="4">
        <f>IF(Calc_Engine!A112="","",SelectedDate)</f>
        <v/>
      </c>
      <c r="F112" s="5">
        <f>IFERROR(INDEX(FILTER(tblScheduleData[ShiftStart],tblScheduleData[OperationalDate]=SelectedDate),ROWS($A$8:A112)),"")</f>
        <v/>
      </c>
      <c r="G112" s="5">
        <f>IFERROR(INDEX(FILTER(tblScheduleData[ShiftEnd],tblScheduleData[OperationalDate]=SelectedDate),ROWS($A$8:A112)),"")</f>
        <v/>
      </c>
      <c r="H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12" s="2">
        <f>IFERROR(INDEX(FILTER(tblScheduleData[ValidationState],tblScheduleData[OperationalDate]=SelectedDate),ROWS($A$8:A112)),"")</f>
        <v/>
      </c>
    </row>
    <row r="113">
      <c r="A113" s="2">
        <f>IFERROR(INDEX(FILTER(tblScheduleData[EmployeeID],tblScheduleData[OperationalDate]=SelectedDate),ROWS($A$8:A113)),"")</f>
        <v/>
      </c>
      <c r="B113" s="2">
        <f>IFERROR(INDEX(FILTER(tblScheduleData[Name],tblScheduleData[OperationalDate]=SelectedDate),ROWS($A$8:A113)),"")</f>
        <v/>
      </c>
      <c r="C113" s="2">
        <f>IFERROR(INDEX(FILTER(tblScheduleData[ContractualHours],tblScheduleData[OperationalDate]=SelectedDate),ROWS($A$8:A113)),"")</f>
        <v/>
      </c>
      <c r="D113" s="2">
        <f>IFERROR(INDEX(FILTER(tblScheduleData[ActivityCode],tblScheduleData[OperationalDate]=SelectedDate),ROWS($A$8:A113)),"")</f>
        <v/>
      </c>
      <c r="E113" s="4">
        <f>IF(Calc_Engine!A113="","",SelectedDate)</f>
        <v/>
      </c>
      <c r="F113" s="5">
        <f>IFERROR(INDEX(FILTER(tblScheduleData[ShiftStart],tblScheduleData[OperationalDate]=SelectedDate),ROWS($A$8:A113)),"")</f>
        <v/>
      </c>
      <c r="G113" s="5">
        <f>IFERROR(INDEX(FILTER(tblScheduleData[ShiftEnd],tblScheduleData[OperationalDate]=SelectedDate),ROWS($A$8:A113)),"")</f>
        <v/>
      </c>
      <c r="H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13" s="2">
        <f>IFERROR(INDEX(FILTER(tblScheduleData[ValidationState],tblScheduleData[OperationalDate]=SelectedDate),ROWS($A$8:A113)),"")</f>
        <v/>
      </c>
    </row>
    <row r="114">
      <c r="A114" s="2">
        <f>IFERROR(INDEX(FILTER(tblScheduleData[EmployeeID],tblScheduleData[OperationalDate]=SelectedDate),ROWS($A$8:A114)),"")</f>
        <v/>
      </c>
      <c r="B114" s="2">
        <f>IFERROR(INDEX(FILTER(tblScheduleData[Name],tblScheduleData[OperationalDate]=SelectedDate),ROWS($A$8:A114)),"")</f>
        <v/>
      </c>
      <c r="C114" s="2">
        <f>IFERROR(INDEX(FILTER(tblScheduleData[ContractualHours],tblScheduleData[OperationalDate]=SelectedDate),ROWS($A$8:A114)),"")</f>
        <v/>
      </c>
      <c r="D114" s="2">
        <f>IFERROR(INDEX(FILTER(tblScheduleData[ActivityCode],tblScheduleData[OperationalDate]=SelectedDate),ROWS($A$8:A114)),"")</f>
        <v/>
      </c>
      <c r="E114" s="4">
        <f>IF(Calc_Engine!A114="","",SelectedDate)</f>
        <v/>
      </c>
      <c r="F114" s="5">
        <f>IFERROR(INDEX(FILTER(tblScheduleData[ShiftStart],tblScheduleData[OperationalDate]=SelectedDate),ROWS($A$8:A114)),"")</f>
        <v/>
      </c>
      <c r="G114" s="5">
        <f>IFERROR(INDEX(FILTER(tblScheduleData[ShiftEnd],tblScheduleData[OperationalDate]=SelectedDate),ROWS($A$8:A114)),"")</f>
        <v/>
      </c>
      <c r="H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14" s="2">
        <f>IFERROR(INDEX(FILTER(tblScheduleData[ValidationState],tblScheduleData[OperationalDate]=SelectedDate),ROWS($A$8:A114)),"")</f>
        <v/>
      </c>
    </row>
    <row r="115">
      <c r="A115" s="2">
        <f>IFERROR(INDEX(FILTER(tblScheduleData[EmployeeID],tblScheduleData[OperationalDate]=SelectedDate),ROWS($A$8:A115)),"")</f>
        <v/>
      </c>
      <c r="B115" s="2">
        <f>IFERROR(INDEX(FILTER(tblScheduleData[Name],tblScheduleData[OperationalDate]=SelectedDate),ROWS($A$8:A115)),"")</f>
        <v/>
      </c>
      <c r="C115" s="2">
        <f>IFERROR(INDEX(FILTER(tblScheduleData[ContractualHours],tblScheduleData[OperationalDate]=SelectedDate),ROWS($A$8:A115)),"")</f>
        <v/>
      </c>
      <c r="D115" s="2">
        <f>IFERROR(INDEX(FILTER(tblScheduleData[ActivityCode],tblScheduleData[OperationalDate]=SelectedDate),ROWS($A$8:A115)),"")</f>
        <v/>
      </c>
      <c r="E115" s="4">
        <f>IF(Calc_Engine!A115="","",SelectedDate)</f>
        <v/>
      </c>
      <c r="F115" s="5">
        <f>IFERROR(INDEX(FILTER(tblScheduleData[ShiftStart],tblScheduleData[OperationalDate]=SelectedDate),ROWS($A$8:A115)),"")</f>
        <v/>
      </c>
      <c r="G115" s="5">
        <f>IFERROR(INDEX(FILTER(tblScheduleData[ShiftEnd],tblScheduleData[OperationalDate]=SelectedDate),ROWS($A$8:A115)),"")</f>
        <v/>
      </c>
      <c r="H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15" s="2">
        <f>IFERROR(INDEX(FILTER(tblScheduleData[ValidationState],tblScheduleData[OperationalDate]=SelectedDate),ROWS($A$8:A115)),"")</f>
        <v/>
      </c>
    </row>
    <row r="116">
      <c r="A116" s="2">
        <f>IFERROR(INDEX(FILTER(tblScheduleData[EmployeeID],tblScheduleData[OperationalDate]=SelectedDate),ROWS($A$8:A116)),"")</f>
        <v/>
      </c>
      <c r="B116" s="2">
        <f>IFERROR(INDEX(FILTER(tblScheduleData[Name],tblScheduleData[OperationalDate]=SelectedDate),ROWS($A$8:A116)),"")</f>
        <v/>
      </c>
      <c r="C116" s="2">
        <f>IFERROR(INDEX(FILTER(tblScheduleData[ContractualHours],tblScheduleData[OperationalDate]=SelectedDate),ROWS($A$8:A116)),"")</f>
        <v/>
      </c>
      <c r="D116" s="2">
        <f>IFERROR(INDEX(FILTER(tblScheduleData[ActivityCode],tblScheduleData[OperationalDate]=SelectedDate),ROWS($A$8:A116)),"")</f>
        <v/>
      </c>
      <c r="E116" s="4">
        <f>IF(Calc_Engine!A116="","",SelectedDate)</f>
        <v/>
      </c>
      <c r="F116" s="5">
        <f>IFERROR(INDEX(FILTER(tblScheduleData[ShiftStart],tblScheduleData[OperationalDate]=SelectedDate),ROWS($A$8:A116)),"")</f>
        <v/>
      </c>
      <c r="G116" s="5">
        <f>IFERROR(INDEX(FILTER(tblScheduleData[ShiftEnd],tblScheduleData[OperationalDate]=SelectedDate),ROWS($A$8:A116)),"")</f>
        <v/>
      </c>
      <c r="H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16" s="2">
        <f>IFERROR(INDEX(FILTER(tblScheduleData[ValidationState],tblScheduleData[OperationalDate]=SelectedDate),ROWS($A$8:A116)),"")</f>
        <v/>
      </c>
    </row>
    <row r="117">
      <c r="A117" s="2">
        <f>IFERROR(INDEX(FILTER(tblScheduleData[EmployeeID],tblScheduleData[OperationalDate]=SelectedDate),ROWS($A$8:A117)),"")</f>
        <v/>
      </c>
      <c r="B117" s="2">
        <f>IFERROR(INDEX(FILTER(tblScheduleData[Name],tblScheduleData[OperationalDate]=SelectedDate),ROWS($A$8:A117)),"")</f>
        <v/>
      </c>
      <c r="C117" s="2">
        <f>IFERROR(INDEX(FILTER(tblScheduleData[ContractualHours],tblScheduleData[OperationalDate]=SelectedDate),ROWS($A$8:A117)),"")</f>
        <v/>
      </c>
      <c r="D117" s="2">
        <f>IFERROR(INDEX(FILTER(tblScheduleData[ActivityCode],tblScheduleData[OperationalDate]=SelectedDate),ROWS($A$8:A117)),"")</f>
        <v/>
      </c>
      <c r="E117" s="4">
        <f>IF(Calc_Engine!A117="","",SelectedDate)</f>
        <v/>
      </c>
      <c r="F117" s="5">
        <f>IFERROR(INDEX(FILTER(tblScheduleData[ShiftStart],tblScheduleData[OperationalDate]=SelectedDate),ROWS($A$8:A117)),"")</f>
        <v/>
      </c>
      <c r="G117" s="5">
        <f>IFERROR(INDEX(FILTER(tblScheduleData[ShiftEnd],tblScheduleData[OperationalDate]=SelectedDate),ROWS($A$8:A117)),"")</f>
        <v/>
      </c>
      <c r="H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17" s="2">
        <f>IFERROR(INDEX(FILTER(tblScheduleData[ValidationState],tblScheduleData[OperationalDate]=SelectedDate),ROWS($A$8:A117)),"")</f>
        <v/>
      </c>
    </row>
    <row r="118">
      <c r="A118" s="2">
        <f>IFERROR(INDEX(FILTER(tblScheduleData[EmployeeID],tblScheduleData[OperationalDate]=SelectedDate),ROWS($A$8:A118)),"")</f>
        <v/>
      </c>
      <c r="B118" s="2">
        <f>IFERROR(INDEX(FILTER(tblScheduleData[Name],tblScheduleData[OperationalDate]=SelectedDate),ROWS($A$8:A118)),"")</f>
        <v/>
      </c>
      <c r="C118" s="2">
        <f>IFERROR(INDEX(FILTER(tblScheduleData[ContractualHours],tblScheduleData[OperationalDate]=SelectedDate),ROWS($A$8:A118)),"")</f>
        <v/>
      </c>
      <c r="D118" s="2">
        <f>IFERROR(INDEX(FILTER(tblScheduleData[ActivityCode],tblScheduleData[OperationalDate]=SelectedDate),ROWS($A$8:A118)),"")</f>
        <v/>
      </c>
      <c r="E118" s="4">
        <f>IF(Calc_Engine!A118="","",SelectedDate)</f>
        <v/>
      </c>
      <c r="F118" s="5">
        <f>IFERROR(INDEX(FILTER(tblScheduleData[ShiftStart],tblScheduleData[OperationalDate]=SelectedDate),ROWS($A$8:A118)),"")</f>
        <v/>
      </c>
      <c r="G118" s="5">
        <f>IFERROR(INDEX(FILTER(tblScheduleData[ShiftEnd],tblScheduleData[OperationalDate]=SelectedDate),ROWS($A$8:A118)),"")</f>
        <v/>
      </c>
      <c r="H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18" s="2">
        <f>IFERROR(INDEX(FILTER(tblScheduleData[ValidationState],tblScheduleData[OperationalDate]=SelectedDate),ROWS($A$8:A118)),"")</f>
        <v/>
      </c>
    </row>
    <row r="119">
      <c r="A119" s="2">
        <f>IFERROR(INDEX(FILTER(tblScheduleData[EmployeeID],tblScheduleData[OperationalDate]=SelectedDate),ROWS($A$8:A119)),"")</f>
        <v/>
      </c>
      <c r="B119" s="2">
        <f>IFERROR(INDEX(FILTER(tblScheduleData[Name],tblScheduleData[OperationalDate]=SelectedDate),ROWS($A$8:A119)),"")</f>
        <v/>
      </c>
      <c r="C119" s="2">
        <f>IFERROR(INDEX(FILTER(tblScheduleData[ContractualHours],tblScheduleData[OperationalDate]=SelectedDate),ROWS($A$8:A119)),"")</f>
        <v/>
      </c>
      <c r="D119" s="2">
        <f>IFERROR(INDEX(FILTER(tblScheduleData[ActivityCode],tblScheduleData[OperationalDate]=SelectedDate),ROWS($A$8:A119)),"")</f>
        <v/>
      </c>
      <c r="E119" s="4">
        <f>IF(Calc_Engine!A119="","",SelectedDate)</f>
        <v/>
      </c>
      <c r="F119" s="5">
        <f>IFERROR(INDEX(FILTER(tblScheduleData[ShiftStart],tblScheduleData[OperationalDate]=SelectedDate),ROWS($A$8:A119)),"")</f>
        <v/>
      </c>
      <c r="G119" s="5">
        <f>IFERROR(INDEX(FILTER(tblScheduleData[ShiftEnd],tblScheduleData[OperationalDate]=SelectedDate),ROWS($A$8:A119)),"")</f>
        <v/>
      </c>
      <c r="H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19" s="2">
        <f>IFERROR(INDEX(FILTER(tblScheduleData[ValidationState],tblScheduleData[OperationalDate]=SelectedDate),ROWS($A$8:A119)),"")</f>
        <v/>
      </c>
    </row>
    <row r="120">
      <c r="A120" s="2">
        <f>IFERROR(INDEX(FILTER(tblScheduleData[EmployeeID],tblScheduleData[OperationalDate]=SelectedDate),ROWS($A$8:A120)),"")</f>
        <v/>
      </c>
      <c r="B120" s="2">
        <f>IFERROR(INDEX(FILTER(tblScheduleData[Name],tblScheduleData[OperationalDate]=SelectedDate),ROWS($A$8:A120)),"")</f>
        <v/>
      </c>
      <c r="C120" s="2">
        <f>IFERROR(INDEX(FILTER(tblScheduleData[ContractualHours],tblScheduleData[OperationalDate]=SelectedDate),ROWS($A$8:A120)),"")</f>
        <v/>
      </c>
      <c r="D120" s="2">
        <f>IFERROR(INDEX(FILTER(tblScheduleData[ActivityCode],tblScheduleData[OperationalDate]=SelectedDate),ROWS($A$8:A120)),"")</f>
        <v/>
      </c>
      <c r="E120" s="4">
        <f>IF(Calc_Engine!A120="","",SelectedDate)</f>
        <v/>
      </c>
      <c r="F120" s="5">
        <f>IFERROR(INDEX(FILTER(tblScheduleData[ShiftStart],tblScheduleData[OperationalDate]=SelectedDate),ROWS($A$8:A120)),"")</f>
        <v/>
      </c>
      <c r="G120" s="5">
        <f>IFERROR(INDEX(FILTER(tblScheduleData[ShiftEnd],tblScheduleData[OperationalDate]=SelectedDate),ROWS($A$8:A120)),"")</f>
        <v/>
      </c>
      <c r="H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20" s="2">
        <f>IFERROR(INDEX(FILTER(tblScheduleData[ValidationState],tblScheduleData[OperationalDate]=SelectedDate),ROWS($A$8:A120)),"")</f>
        <v/>
      </c>
    </row>
    <row r="121">
      <c r="A121" s="2">
        <f>IFERROR(INDEX(FILTER(tblScheduleData[EmployeeID],tblScheduleData[OperationalDate]=SelectedDate),ROWS($A$8:A121)),"")</f>
        <v/>
      </c>
      <c r="B121" s="2">
        <f>IFERROR(INDEX(FILTER(tblScheduleData[Name],tblScheduleData[OperationalDate]=SelectedDate),ROWS($A$8:A121)),"")</f>
        <v/>
      </c>
      <c r="C121" s="2">
        <f>IFERROR(INDEX(FILTER(tblScheduleData[ContractualHours],tblScheduleData[OperationalDate]=SelectedDate),ROWS($A$8:A121)),"")</f>
        <v/>
      </c>
      <c r="D121" s="2">
        <f>IFERROR(INDEX(FILTER(tblScheduleData[ActivityCode],tblScheduleData[OperationalDate]=SelectedDate),ROWS($A$8:A121)),"")</f>
        <v/>
      </c>
      <c r="E121" s="4">
        <f>IF(Calc_Engine!A121="","",SelectedDate)</f>
        <v/>
      </c>
      <c r="F121" s="5">
        <f>IFERROR(INDEX(FILTER(tblScheduleData[ShiftStart],tblScheduleData[OperationalDate]=SelectedDate),ROWS($A$8:A121)),"")</f>
        <v/>
      </c>
      <c r="G121" s="5">
        <f>IFERROR(INDEX(FILTER(tblScheduleData[ShiftEnd],tblScheduleData[OperationalDate]=SelectedDate),ROWS($A$8:A121)),"")</f>
        <v/>
      </c>
      <c r="H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21" s="2">
        <f>IFERROR(INDEX(FILTER(tblScheduleData[ValidationState],tblScheduleData[OperationalDate]=SelectedDate),ROWS($A$8:A121)),"")</f>
        <v/>
      </c>
    </row>
    <row r="122">
      <c r="A122" s="2">
        <f>IFERROR(INDEX(FILTER(tblScheduleData[EmployeeID],tblScheduleData[OperationalDate]=SelectedDate),ROWS($A$8:A122)),"")</f>
        <v/>
      </c>
      <c r="B122" s="2">
        <f>IFERROR(INDEX(FILTER(tblScheduleData[Name],tblScheduleData[OperationalDate]=SelectedDate),ROWS($A$8:A122)),"")</f>
        <v/>
      </c>
      <c r="C122" s="2">
        <f>IFERROR(INDEX(FILTER(tblScheduleData[ContractualHours],tblScheduleData[OperationalDate]=SelectedDate),ROWS($A$8:A122)),"")</f>
        <v/>
      </c>
      <c r="D122" s="2">
        <f>IFERROR(INDEX(FILTER(tblScheduleData[ActivityCode],tblScheduleData[OperationalDate]=SelectedDate),ROWS($A$8:A122)),"")</f>
        <v/>
      </c>
      <c r="E122" s="4">
        <f>IF(Calc_Engine!A122="","",SelectedDate)</f>
        <v/>
      </c>
      <c r="F122" s="5">
        <f>IFERROR(INDEX(FILTER(tblScheduleData[ShiftStart],tblScheduleData[OperationalDate]=SelectedDate),ROWS($A$8:A122)),"")</f>
        <v/>
      </c>
      <c r="G122" s="5">
        <f>IFERROR(INDEX(FILTER(tblScheduleData[ShiftEnd],tblScheduleData[OperationalDate]=SelectedDate),ROWS($A$8:A122)),"")</f>
        <v/>
      </c>
      <c r="H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22" s="2">
        <f>IFERROR(INDEX(FILTER(tblScheduleData[ValidationState],tblScheduleData[OperationalDate]=SelectedDate),ROWS($A$8:A122)),"")</f>
        <v/>
      </c>
    </row>
    <row r="123">
      <c r="A123" s="2">
        <f>IFERROR(INDEX(FILTER(tblScheduleData[EmployeeID],tblScheduleData[OperationalDate]=SelectedDate),ROWS($A$8:A123)),"")</f>
        <v/>
      </c>
      <c r="B123" s="2">
        <f>IFERROR(INDEX(FILTER(tblScheduleData[Name],tblScheduleData[OperationalDate]=SelectedDate),ROWS($A$8:A123)),"")</f>
        <v/>
      </c>
      <c r="C123" s="2">
        <f>IFERROR(INDEX(FILTER(tblScheduleData[ContractualHours],tblScheduleData[OperationalDate]=SelectedDate),ROWS($A$8:A123)),"")</f>
        <v/>
      </c>
      <c r="D123" s="2">
        <f>IFERROR(INDEX(FILTER(tblScheduleData[ActivityCode],tblScheduleData[OperationalDate]=SelectedDate),ROWS($A$8:A123)),"")</f>
        <v/>
      </c>
      <c r="E123" s="4">
        <f>IF(Calc_Engine!A123="","",SelectedDate)</f>
        <v/>
      </c>
      <c r="F123" s="5">
        <f>IFERROR(INDEX(FILTER(tblScheduleData[ShiftStart],tblScheduleData[OperationalDate]=SelectedDate),ROWS($A$8:A123)),"")</f>
        <v/>
      </c>
      <c r="G123" s="5">
        <f>IFERROR(INDEX(FILTER(tblScheduleData[ShiftEnd],tblScheduleData[OperationalDate]=SelectedDate),ROWS($A$8:A123)),"")</f>
        <v/>
      </c>
      <c r="H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23" s="2">
        <f>IFERROR(INDEX(FILTER(tblScheduleData[ValidationState],tblScheduleData[OperationalDate]=SelectedDate),ROWS($A$8:A123)),"")</f>
        <v/>
      </c>
    </row>
    <row r="124">
      <c r="A124" s="2">
        <f>IFERROR(INDEX(FILTER(tblScheduleData[EmployeeID],tblScheduleData[OperationalDate]=SelectedDate),ROWS($A$8:A124)),"")</f>
        <v/>
      </c>
      <c r="B124" s="2">
        <f>IFERROR(INDEX(FILTER(tblScheduleData[Name],tblScheduleData[OperationalDate]=SelectedDate),ROWS($A$8:A124)),"")</f>
        <v/>
      </c>
      <c r="C124" s="2">
        <f>IFERROR(INDEX(FILTER(tblScheduleData[ContractualHours],tblScheduleData[OperationalDate]=SelectedDate),ROWS($A$8:A124)),"")</f>
        <v/>
      </c>
      <c r="D124" s="2">
        <f>IFERROR(INDEX(FILTER(tblScheduleData[ActivityCode],tblScheduleData[OperationalDate]=SelectedDate),ROWS($A$8:A124)),"")</f>
        <v/>
      </c>
      <c r="E124" s="4">
        <f>IF(Calc_Engine!A124="","",SelectedDate)</f>
        <v/>
      </c>
      <c r="F124" s="5">
        <f>IFERROR(INDEX(FILTER(tblScheduleData[ShiftStart],tblScheduleData[OperationalDate]=SelectedDate),ROWS($A$8:A124)),"")</f>
        <v/>
      </c>
      <c r="G124" s="5">
        <f>IFERROR(INDEX(FILTER(tblScheduleData[ShiftEnd],tblScheduleData[OperationalDate]=SelectedDate),ROWS($A$8:A124)),"")</f>
        <v/>
      </c>
      <c r="H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24" s="2">
        <f>IFERROR(INDEX(FILTER(tblScheduleData[ValidationState],tblScheduleData[OperationalDate]=SelectedDate),ROWS($A$8:A124)),"")</f>
        <v/>
      </c>
    </row>
    <row r="125">
      <c r="A125" s="2">
        <f>IFERROR(INDEX(FILTER(tblScheduleData[EmployeeID],tblScheduleData[OperationalDate]=SelectedDate),ROWS($A$8:A125)),"")</f>
        <v/>
      </c>
      <c r="B125" s="2">
        <f>IFERROR(INDEX(FILTER(tblScheduleData[Name],tblScheduleData[OperationalDate]=SelectedDate),ROWS($A$8:A125)),"")</f>
        <v/>
      </c>
      <c r="C125" s="2">
        <f>IFERROR(INDEX(FILTER(tblScheduleData[ContractualHours],tblScheduleData[OperationalDate]=SelectedDate),ROWS($A$8:A125)),"")</f>
        <v/>
      </c>
      <c r="D125" s="2">
        <f>IFERROR(INDEX(FILTER(tblScheduleData[ActivityCode],tblScheduleData[OperationalDate]=SelectedDate),ROWS($A$8:A125)),"")</f>
        <v/>
      </c>
      <c r="E125" s="4">
        <f>IF(Calc_Engine!A125="","",SelectedDate)</f>
        <v/>
      </c>
      <c r="F125" s="5">
        <f>IFERROR(INDEX(FILTER(tblScheduleData[ShiftStart],tblScheduleData[OperationalDate]=SelectedDate),ROWS($A$8:A125)),"")</f>
        <v/>
      </c>
      <c r="G125" s="5">
        <f>IFERROR(INDEX(FILTER(tblScheduleData[ShiftEnd],tblScheduleData[OperationalDate]=SelectedDate),ROWS($A$8:A125)),"")</f>
        <v/>
      </c>
      <c r="H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25" s="2">
        <f>IFERROR(INDEX(FILTER(tblScheduleData[ValidationState],tblScheduleData[OperationalDate]=SelectedDate),ROWS($A$8:A125)),"")</f>
        <v/>
      </c>
    </row>
    <row r="126">
      <c r="A126" s="2">
        <f>IFERROR(INDEX(FILTER(tblScheduleData[EmployeeID],tblScheduleData[OperationalDate]=SelectedDate),ROWS($A$8:A126)),"")</f>
        <v/>
      </c>
      <c r="B126" s="2">
        <f>IFERROR(INDEX(FILTER(tblScheduleData[Name],tblScheduleData[OperationalDate]=SelectedDate),ROWS($A$8:A126)),"")</f>
        <v/>
      </c>
      <c r="C126" s="2">
        <f>IFERROR(INDEX(FILTER(tblScheduleData[ContractualHours],tblScheduleData[OperationalDate]=SelectedDate),ROWS($A$8:A126)),"")</f>
        <v/>
      </c>
      <c r="D126" s="2">
        <f>IFERROR(INDEX(FILTER(tblScheduleData[ActivityCode],tblScheduleData[OperationalDate]=SelectedDate),ROWS($A$8:A126)),"")</f>
        <v/>
      </c>
      <c r="E126" s="4">
        <f>IF(Calc_Engine!A126="","",SelectedDate)</f>
        <v/>
      </c>
      <c r="F126" s="5">
        <f>IFERROR(INDEX(FILTER(tblScheduleData[ShiftStart],tblScheduleData[OperationalDate]=SelectedDate),ROWS($A$8:A126)),"")</f>
        <v/>
      </c>
      <c r="G126" s="5">
        <f>IFERROR(INDEX(FILTER(tblScheduleData[ShiftEnd],tblScheduleData[OperationalDate]=SelectedDate),ROWS($A$8:A126)),"")</f>
        <v/>
      </c>
      <c r="H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26" s="2">
        <f>IFERROR(INDEX(FILTER(tblScheduleData[ValidationState],tblScheduleData[OperationalDate]=SelectedDate),ROWS($A$8:A126)),"")</f>
        <v/>
      </c>
    </row>
    <row r="127">
      <c r="A127" s="2">
        <f>IFERROR(INDEX(FILTER(tblScheduleData[EmployeeID],tblScheduleData[OperationalDate]=SelectedDate),ROWS($A$8:A127)),"")</f>
        <v/>
      </c>
      <c r="B127" s="2">
        <f>IFERROR(INDEX(FILTER(tblScheduleData[Name],tblScheduleData[OperationalDate]=SelectedDate),ROWS($A$8:A127)),"")</f>
        <v/>
      </c>
      <c r="C127" s="2">
        <f>IFERROR(INDEX(FILTER(tblScheduleData[ContractualHours],tblScheduleData[OperationalDate]=SelectedDate),ROWS($A$8:A127)),"")</f>
        <v/>
      </c>
      <c r="D127" s="2">
        <f>IFERROR(INDEX(FILTER(tblScheduleData[ActivityCode],tblScheduleData[OperationalDate]=SelectedDate),ROWS($A$8:A127)),"")</f>
        <v/>
      </c>
      <c r="E127" s="4">
        <f>IF(Calc_Engine!A127="","",SelectedDate)</f>
        <v/>
      </c>
      <c r="F127" s="5">
        <f>IFERROR(INDEX(FILTER(tblScheduleData[ShiftStart],tblScheduleData[OperationalDate]=SelectedDate),ROWS($A$8:A127)),"")</f>
        <v/>
      </c>
      <c r="G127" s="5">
        <f>IFERROR(INDEX(FILTER(tblScheduleData[ShiftEnd],tblScheduleData[OperationalDate]=SelectedDate),ROWS($A$8:A127)),"")</f>
        <v/>
      </c>
      <c r="H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27" s="2">
        <f>IFERROR(INDEX(FILTER(tblScheduleData[ValidationState],tblScheduleData[OperationalDate]=SelectedDate),ROWS($A$8:A127)),"")</f>
        <v/>
      </c>
    </row>
    <row r="128">
      <c r="A128" s="2">
        <f>IFERROR(INDEX(FILTER(tblScheduleData[EmployeeID],tblScheduleData[OperationalDate]=SelectedDate),ROWS($A$8:A128)),"")</f>
        <v/>
      </c>
      <c r="B128" s="2">
        <f>IFERROR(INDEX(FILTER(tblScheduleData[Name],tblScheduleData[OperationalDate]=SelectedDate),ROWS($A$8:A128)),"")</f>
        <v/>
      </c>
      <c r="C128" s="2">
        <f>IFERROR(INDEX(FILTER(tblScheduleData[ContractualHours],tblScheduleData[OperationalDate]=SelectedDate),ROWS($A$8:A128)),"")</f>
        <v/>
      </c>
      <c r="D128" s="2">
        <f>IFERROR(INDEX(FILTER(tblScheduleData[ActivityCode],tblScheduleData[OperationalDate]=SelectedDate),ROWS($A$8:A128)),"")</f>
        <v/>
      </c>
      <c r="E128" s="4">
        <f>IF(Calc_Engine!A128="","",SelectedDate)</f>
        <v/>
      </c>
      <c r="F128" s="5">
        <f>IFERROR(INDEX(FILTER(tblScheduleData[ShiftStart],tblScheduleData[OperationalDate]=SelectedDate),ROWS($A$8:A128)),"")</f>
        <v/>
      </c>
      <c r="G128" s="5">
        <f>IFERROR(INDEX(FILTER(tblScheduleData[ShiftEnd],tblScheduleData[OperationalDate]=SelectedDate),ROWS($A$8:A128)),"")</f>
        <v/>
      </c>
      <c r="H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28" s="2">
        <f>IFERROR(INDEX(FILTER(tblScheduleData[ValidationState],tblScheduleData[OperationalDate]=SelectedDate),ROWS($A$8:A128)),"")</f>
        <v/>
      </c>
    </row>
    <row r="129">
      <c r="A129" s="2">
        <f>IFERROR(INDEX(FILTER(tblScheduleData[EmployeeID],tblScheduleData[OperationalDate]=SelectedDate),ROWS($A$8:A129)),"")</f>
        <v/>
      </c>
      <c r="B129" s="2">
        <f>IFERROR(INDEX(FILTER(tblScheduleData[Name],tblScheduleData[OperationalDate]=SelectedDate),ROWS($A$8:A129)),"")</f>
        <v/>
      </c>
      <c r="C129" s="2">
        <f>IFERROR(INDEX(FILTER(tblScheduleData[ContractualHours],tblScheduleData[OperationalDate]=SelectedDate),ROWS($A$8:A129)),"")</f>
        <v/>
      </c>
      <c r="D129" s="2">
        <f>IFERROR(INDEX(FILTER(tblScheduleData[ActivityCode],tblScheduleData[OperationalDate]=SelectedDate),ROWS($A$8:A129)),"")</f>
        <v/>
      </c>
      <c r="E129" s="4">
        <f>IF(Calc_Engine!A129="","",SelectedDate)</f>
        <v/>
      </c>
      <c r="F129" s="5">
        <f>IFERROR(INDEX(FILTER(tblScheduleData[ShiftStart],tblScheduleData[OperationalDate]=SelectedDate),ROWS($A$8:A129)),"")</f>
        <v/>
      </c>
      <c r="G129" s="5">
        <f>IFERROR(INDEX(FILTER(tblScheduleData[ShiftEnd],tblScheduleData[OperationalDate]=SelectedDate),ROWS($A$8:A129)),"")</f>
        <v/>
      </c>
      <c r="H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29" s="2">
        <f>IFERROR(INDEX(FILTER(tblScheduleData[ValidationState],tblScheduleData[OperationalDate]=SelectedDate),ROWS($A$8:A129)),"")</f>
        <v/>
      </c>
    </row>
    <row r="130">
      <c r="A130" s="2">
        <f>IFERROR(INDEX(FILTER(tblScheduleData[EmployeeID],tblScheduleData[OperationalDate]=SelectedDate),ROWS($A$8:A130)),"")</f>
        <v/>
      </c>
      <c r="B130" s="2">
        <f>IFERROR(INDEX(FILTER(tblScheduleData[Name],tblScheduleData[OperationalDate]=SelectedDate),ROWS($A$8:A130)),"")</f>
        <v/>
      </c>
      <c r="C130" s="2">
        <f>IFERROR(INDEX(FILTER(tblScheduleData[ContractualHours],tblScheduleData[OperationalDate]=SelectedDate),ROWS($A$8:A130)),"")</f>
        <v/>
      </c>
      <c r="D130" s="2">
        <f>IFERROR(INDEX(FILTER(tblScheduleData[ActivityCode],tblScheduleData[OperationalDate]=SelectedDate),ROWS($A$8:A130)),"")</f>
        <v/>
      </c>
      <c r="E130" s="4">
        <f>IF(Calc_Engine!A130="","",SelectedDate)</f>
        <v/>
      </c>
      <c r="F130" s="5">
        <f>IFERROR(INDEX(FILTER(tblScheduleData[ShiftStart],tblScheduleData[OperationalDate]=SelectedDate),ROWS($A$8:A130)),"")</f>
        <v/>
      </c>
      <c r="G130" s="5">
        <f>IFERROR(INDEX(FILTER(tblScheduleData[ShiftEnd],tblScheduleData[OperationalDate]=SelectedDate),ROWS($A$8:A130)),"")</f>
        <v/>
      </c>
      <c r="H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30" s="2">
        <f>IFERROR(INDEX(FILTER(tblScheduleData[ValidationState],tblScheduleData[OperationalDate]=SelectedDate),ROWS($A$8:A130)),"")</f>
        <v/>
      </c>
    </row>
    <row r="131">
      <c r="A131" s="2">
        <f>IFERROR(INDEX(FILTER(tblScheduleData[EmployeeID],tblScheduleData[OperationalDate]=SelectedDate),ROWS($A$8:A131)),"")</f>
        <v/>
      </c>
      <c r="B131" s="2">
        <f>IFERROR(INDEX(FILTER(tblScheduleData[Name],tblScheduleData[OperationalDate]=SelectedDate),ROWS($A$8:A131)),"")</f>
        <v/>
      </c>
      <c r="C131" s="2">
        <f>IFERROR(INDEX(FILTER(tblScheduleData[ContractualHours],tblScheduleData[OperationalDate]=SelectedDate),ROWS($A$8:A131)),"")</f>
        <v/>
      </c>
      <c r="D131" s="2">
        <f>IFERROR(INDEX(FILTER(tblScheduleData[ActivityCode],tblScheduleData[OperationalDate]=SelectedDate),ROWS($A$8:A131)),"")</f>
        <v/>
      </c>
      <c r="E131" s="4">
        <f>IF(Calc_Engine!A131="","",SelectedDate)</f>
        <v/>
      </c>
      <c r="F131" s="5">
        <f>IFERROR(INDEX(FILTER(tblScheduleData[ShiftStart],tblScheduleData[OperationalDate]=SelectedDate),ROWS($A$8:A131)),"")</f>
        <v/>
      </c>
      <c r="G131" s="5">
        <f>IFERROR(INDEX(FILTER(tblScheduleData[ShiftEnd],tblScheduleData[OperationalDate]=SelectedDate),ROWS($A$8:A131)),"")</f>
        <v/>
      </c>
      <c r="H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31" s="2">
        <f>IFERROR(INDEX(FILTER(tblScheduleData[ValidationState],tblScheduleData[OperationalDate]=SelectedDate),ROWS($A$8:A131)),"")</f>
        <v/>
      </c>
    </row>
    <row r="132">
      <c r="A132" s="2">
        <f>IFERROR(INDEX(FILTER(tblScheduleData[EmployeeID],tblScheduleData[OperationalDate]=SelectedDate),ROWS($A$8:A132)),"")</f>
        <v/>
      </c>
      <c r="B132" s="2">
        <f>IFERROR(INDEX(FILTER(tblScheduleData[Name],tblScheduleData[OperationalDate]=SelectedDate),ROWS($A$8:A132)),"")</f>
        <v/>
      </c>
      <c r="C132" s="2">
        <f>IFERROR(INDEX(FILTER(tblScheduleData[ContractualHours],tblScheduleData[OperationalDate]=SelectedDate),ROWS($A$8:A132)),"")</f>
        <v/>
      </c>
      <c r="D132" s="2">
        <f>IFERROR(INDEX(FILTER(tblScheduleData[ActivityCode],tblScheduleData[OperationalDate]=SelectedDate),ROWS($A$8:A132)),"")</f>
        <v/>
      </c>
      <c r="E132" s="4">
        <f>IF(Calc_Engine!A132="","",SelectedDate)</f>
        <v/>
      </c>
      <c r="F132" s="5">
        <f>IFERROR(INDEX(FILTER(tblScheduleData[ShiftStart],tblScheduleData[OperationalDate]=SelectedDate),ROWS($A$8:A132)),"")</f>
        <v/>
      </c>
      <c r="G132" s="5">
        <f>IFERROR(INDEX(FILTER(tblScheduleData[ShiftEnd],tblScheduleData[OperationalDate]=SelectedDate),ROWS($A$8:A132)),"")</f>
        <v/>
      </c>
      <c r="H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32" s="2">
        <f>IFERROR(INDEX(FILTER(tblScheduleData[ValidationState],tblScheduleData[OperationalDate]=SelectedDate),ROWS($A$8:A132)),"")</f>
        <v/>
      </c>
    </row>
    <row r="133">
      <c r="A133" s="2">
        <f>IFERROR(INDEX(FILTER(tblScheduleData[EmployeeID],tblScheduleData[OperationalDate]=SelectedDate),ROWS($A$8:A133)),"")</f>
        <v/>
      </c>
      <c r="B133" s="2">
        <f>IFERROR(INDEX(FILTER(tblScheduleData[Name],tblScheduleData[OperationalDate]=SelectedDate),ROWS($A$8:A133)),"")</f>
        <v/>
      </c>
      <c r="C133" s="2">
        <f>IFERROR(INDEX(FILTER(tblScheduleData[ContractualHours],tblScheduleData[OperationalDate]=SelectedDate),ROWS($A$8:A133)),"")</f>
        <v/>
      </c>
      <c r="D133" s="2">
        <f>IFERROR(INDEX(FILTER(tblScheduleData[ActivityCode],tblScheduleData[OperationalDate]=SelectedDate),ROWS($A$8:A133)),"")</f>
        <v/>
      </c>
      <c r="E133" s="4">
        <f>IF(Calc_Engine!A133="","",SelectedDate)</f>
        <v/>
      </c>
      <c r="F133" s="5">
        <f>IFERROR(INDEX(FILTER(tblScheduleData[ShiftStart],tblScheduleData[OperationalDate]=SelectedDate),ROWS($A$8:A133)),"")</f>
        <v/>
      </c>
      <c r="G133" s="5">
        <f>IFERROR(INDEX(FILTER(tblScheduleData[ShiftEnd],tblScheduleData[OperationalDate]=SelectedDate),ROWS($A$8:A133)),"")</f>
        <v/>
      </c>
      <c r="H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33" s="2">
        <f>IFERROR(INDEX(FILTER(tblScheduleData[ValidationState],tblScheduleData[OperationalDate]=SelectedDate),ROWS($A$8:A133)),"")</f>
        <v/>
      </c>
    </row>
    <row r="134">
      <c r="A134" s="2">
        <f>IFERROR(INDEX(FILTER(tblScheduleData[EmployeeID],tblScheduleData[OperationalDate]=SelectedDate),ROWS($A$8:A134)),"")</f>
        <v/>
      </c>
      <c r="B134" s="2">
        <f>IFERROR(INDEX(FILTER(tblScheduleData[Name],tblScheduleData[OperationalDate]=SelectedDate),ROWS($A$8:A134)),"")</f>
        <v/>
      </c>
      <c r="C134" s="2">
        <f>IFERROR(INDEX(FILTER(tblScheduleData[ContractualHours],tblScheduleData[OperationalDate]=SelectedDate),ROWS($A$8:A134)),"")</f>
        <v/>
      </c>
      <c r="D134" s="2">
        <f>IFERROR(INDEX(FILTER(tblScheduleData[ActivityCode],tblScheduleData[OperationalDate]=SelectedDate),ROWS($A$8:A134)),"")</f>
        <v/>
      </c>
      <c r="E134" s="4">
        <f>IF(Calc_Engine!A134="","",SelectedDate)</f>
        <v/>
      </c>
      <c r="F134" s="5">
        <f>IFERROR(INDEX(FILTER(tblScheduleData[ShiftStart],tblScheduleData[OperationalDate]=SelectedDate),ROWS($A$8:A134)),"")</f>
        <v/>
      </c>
      <c r="G134" s="5">
        <f>IFERROR(INDEX(FILTER(tblScheduleData[ShiftEnd],tblScheduleData[OperationalDate]=SelectedDate),ROWS($A$8:A134)),"")</f>
        <v/>
      </c>
      <c r="H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34" s="2">
        <f>IFERROR(INDEX(FILTER(tblScheduleData[ValidationState],tblScheduleData[OperationalDate]=SelectedDate),ROWS($A$8:A134)),"")</f>
        <v/>
      </c>
    </row>
    <row r="135">
      <c r="A135" s="2">
        <f>IFERROR(INDEX(FILTER(tblScheduleData[EmployeeID],tblScheduleData[OperationalDate]=SelectedDate),ROWS($A$8:A135)),"")</f>
        <v/>
      </c>
      <c r="B135" s="2">
        <f>IFERROR(INDEX(FILTER(tblScheduleData[Name],tblScheduleData[OperationalDate]=SelectedDate),ROWS($A$8:A135)),"")</f>
        <v/>
      </c>
      <c r="C135" s="2">
        <f>IFERROR(INDEX(FILTER(tblScheduleData[ContractualHours],tblScheduleData[OperationalDate]=SelectedDate),ROWS($A$8:A135)),"")</f>
        <v/>
      </c>
      <c r="D135" s="2">
        <f>IFERROR(INDEX(FILTER(tblScheduleData[ActivityCode],tblScheduleData[OperationalDate]=SelectedDate),ROWS($A$8:A135)),"")</f>
        <v/>
      </c>
      <c r="E135" s="4">
        <f>IF(Calc_Engine!A135="","",SelectedDate)</f>
        <v/>
      </c>
      <c r="F135" s="5">
        <f>IFERROR(INDEX(FILTER(tblScheduleData[ShiftStart],tblScheduleData[OperationalDate]=SelectedDate),ROWS($A$8:A135)),"")</f>
        <v/>
      </c>
      <c r="G135" s="5">
        <f>IFERROR(INDEX(FILTER(tblScheduleData[ShiftEnd],tblScheduleData[OperationalDate]=SelectedDate),ROWS($A$8:A135)),"")</f>
        <v/>
      </c>
      <c r="H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35" s="2">
        <f>IFERROR(INDEX(FILTER(tblScheduleData[ValidationState],tblScheduleData[OperationalDate]=SelectedDate),ROWS($A$8:A135)),"")</f>
        <v/>
      </c>
    </row>
    <row r="136">
      <c r="A136" s="2">
        <f>IFERROR(INDEX(FILTER(tblScheduleData[EmployeeID],tblScheduleData[OperationalDate]=SelectedDate),ROWS($A$8:A136)),"")</f>
        <v/>
      </c>
      <c r="B136" s="2">
        <f>IFERROR(INDEX(FILTER(tblScheduleData[Name],tblScheduleData[OperationalDate]=SelectedDate),ROWS($A$8:A136)),"")</f>
        <v/>
      </c>
      <c r="C136" s="2">
        <f>IFERROR(INDEX(FILTER(tblScheduleData[ContractualHours],tblScheduleData[OperationalDate]=SelectedDate),ROWS($A$8:A136)),"")</f>
        <v/>
      </c>
      <c r="D136" s="2">
        <f>IFERROR(INDEX(FILTER(tblScheduleData[ActivityCode],tblScheduleData[OperationalDate]=SelectedDate),ROWS($A$8:A136)),"")</f>
        <v/>
      </c>
      <c r="E136" s="4">
        <f>IF(Calc_Engine!A136="","",SelectedDate)</f>
        <v/>
      </c>
      <c r="F136" s="5">
        <f>IFERROR(INDEX(FILTER(tblScheduleData[ShiftStart],tblScheduleData[OperationalDate]=SelectedDate),ROWS($A$8:A136)),"")</f>
        <v/>
      </c>
      <c r="G136" s="5">
        <f>IFERROR(INDEX(FILTER(tblScheduleData[ShiftEnd],tblScheduleData[OperationalDate]=SelectedDate),ROWS($A$8:A136)),"")</f>
        <v/>
      </c>
      <c r="H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36" s="2">
        <f>IFERROR(INDEX(FILTER(tblScheduleData[ValidationState],tblScheduleData[OperationalDate]=SelectedDate),ROWS($A$8:A136)),"")</f>
        <v/>
      </c>
    </row>
    <row r="137">
      <c r="A137" s="2">
        <f>IFERROR(INDEX(FILTER(tblScheduleData[EmployeeID],tblScheduleData[OperationalDate]=SelectedDate),ROWS($A$8:A137)),"")</f>
        <v/>
      </c>
      <c r="B137" s="2">
        <f>IFERROR(INDEX(FILTER(tblScheduleData[Name],tblScheduleData[OperationalDate]=SelectedDate),ROWS($A$8:A137)),"")</f>
        <v/>
      </c>
      <c r="C137" s="2">
        <f>IFERROR(INDEX(FILTER(tblScheduleData[ContractualHours],tblScheduleData[OperationalDate]=SelectedDate),ROWS($A$8:A137)),"")</f>
        <v/>
      </c>
      <c r="D137" s="2">
        <f>IFERROR(INDEX(FILTER(tblScheduleData[ActivityCode],tblScheduleData[OperationalDate]=SelectedDate),ROWS($A$8:A137)),"")</f>
        <v/>
      </c>
      <c r="E137" s="4">
        <f>IF(Calc_Engine!A137="","",SelectedDate)</f>
        <v/>
      </c>
      <c r="F137" s="5">
        <f>IFERROR(INDEX(FILTER(tblScheduleData[ShiftStart],tblScheduleData[OperationalDate]=SelectedDate),ROWS($A$8:A137)),"")</f>
        <v/>
      </c>
      <c r="G137" s="5">
        <f>IFERROR(INDEX(FILTER(tblScheduleData[ShiftEnd],tblScheduleData[OperationalDate]=SelectedDate),ROWS($A$8:A137)),"")</f>
        <v/>
      </c>
      <c r="H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37" s="2">
        <f>IFERROR(INDEX(FILTER(tblScheduleData[ValidationState],tblScheduleData[OperationalDate]=SelectedDate),ROWS($A$8:A137)),"")</f>
        <v/>
      </c>
    </row>
    <row r="138">
      <c r="A138" s="2">
        <f>IFERROR(INDEX(FILTER(tblScheduleData[EmployeeID],tblScheduleData[OperationalDate]=SelectedDate),ROWS($A$8:A138)),"")</f>
        <v/>
      </c>
      <c r="B138" s="2">
        <f>IFERROR(INDEX(FILTER(tblScheduleData[Name],tblScheduleData[OperationalDate]=SelectedDate),ROWS($A$8:A138)),"")</f>
        <v/>
      </c>
      <c r="C138" s="2">
        <f>IFERROR(INDEX(FILTER(tblScheduleData[ContractualHours],tblScheduleData[OperationalDate]=SelectedDate),ROWS($A$8:A138)),"")</f>
        <v/>
      </c>
      <c r="D138" s="2">
        <f>IFERROR(INDEX(FILTER(tblScheduleData[ActivityCode],tblScheduleData[OperationalDate]=SelectedDate),ROWS($A$8:A138)),"")</f>
        <v/>
      </c>
      <c r="E138" s="4">
        <f>IF(Calc_Engine!A138="","",SelectedDate)</f>
        <v/>
      </c>
      <c r="F138" s="5">
        <f>IFERROR(INDEX(FILTER(tblScheduleData[ShiftStart],tblScheduleData[OperationalDate]=SelectedDate),ROWS($A$8:A138)),"")</f>
        <v/>
      </c>
      <c r="G138" s="5">
        <f>IFERROR(INDEX(FILTER(tblScheduleData[ShiftEnd],tblScheduleData[OperationalDate]=SelectedDate),ROWS($A$8:A138)),"")</f>
        <v/>
      </c>
      <c r="H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38" s="2">
        <f>IFERROR(INDEX(FILTER(tblScheduleData[ValidationState],tblScheduleData[OperationalDate]=SelectedDate),ROWS($A$8:A138)),"")</f>
        <v/>
      </c>
    </row>
    <row r="139">
      <c r="A139" s="2">
        <f>IFERROR(INDEX(FILTER(tblScheduleData[EmployeeID],tblScheduleData[OperationalDate]=SelectedDate),ROWS($A$8:A139)),"")</f>
        <v/>
      </c>
      <c r="B139" s="2">
        <f>IFERROR(INDEX(FILTER(tblScheduleData[Name],tblScheduleData[OperationalDate]=SelectedDate),ROWS($A$8:A139)),"")</f>
        <v/>
      </c>
      <c r="C139" s="2">
        <f>IFERROR(INDEX(FILTER(tblScheduleData[ContractualHours],tblScheduleData[OperationalDate]=SelectedDate),ROWS($A$8:A139)),"")</f>
        <v/>
      </c>
      <c r="D139" s="2">
        <f>IFERROR(INDEX(FILTER(tblScheduleData[ActivityCode],tblScheduleData[OperationalDate]=SelectedDate),ROWS($A$8:A139)),"")</f>
        <v/>
      </c>
      <c r="E139" s="4">
        <f>IF(Calc_Engine!A139="","",SelectedDate)</f>
        <v/>
      </c>
      <c r="F139" s="5">
        <f>IFERROR(INDEX(FILTER(tblScheduleData[ShiftStart],tblScheduleData[OperationalDate]=SelectedDate),ROWS($A$8:A139)),"")</f>
        <v/>
      </c>
      <c r="G139" s="5">
        <f>IFERROR(INDEX(FILTER(tblScheduleData[ShiftEnd],tblScheduleData[OperationalDate]=SelectedDate),ROWS($A$8:A139)),"")</f>
        <v/>
      </c>
      <c r="H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39" s="2">
        <f>IFERROR(INDEX(FILTER(tblScheduleData[ValidationState],tblScheduleData[OperationalDate]=SelectedDate),ROWS($A$8:A139)),"")</f>
        <v/>
      </c>
    </row>
    <row r="140">
      <c r="A140" s="2">
        <f>IFERROR(INDEX(FILTER(tblScheduleData[EmployeeID],tblScheduleData[OperationalDate]=SelectedDate),ROWS($A$8:A140)),"")</f>
        <v/>
      </c>
      <c r="B140" s="2">
        <f>IFERROR(INDEX(FILTER(tblScheduleData[Name],tblScheduleData[OperationalDate]=SelectedDate),ROWS($A$8:A140)),"")</f>
        <v/>
      </c>
      <c r="C140" s="2">
        <f>IFERROR(INDEX(FILTER(tblScheduleData[ContractualHours],tblScheduleData[OperationalDate]=SelectedDate),ROWS($A$8:A140)),"")</f>
        <v/>
      </c>
      <c r="D140" s="2">
        <f>IFERROR(INDEX(FILTER(tblScheduleData[ActivityCode],tblScheduleData[OperationalDate]=SelectedDate),ROWS($A$8:A140)),"")</f>
        <v/>
      </c>
      <c r="E140" s="4">
        <f>IF(Calc_Engine!A140="","",SelectedDate)</f>
        <v/>
      </c>
      <c r="F140" s="5">
        <f>IFERROR(INDEX(FILTER(tblScheduleData[ShiftStart],tblScheduleData[OperationalDate]=SelectedDate),ROWS($A$8:A140)),"")</f>
        <v/>
      </c>
      <c r="G140" s="5">
        <f>IFERROR(INDEX(FILTER(tblScheduleData[ShiftEnd],tblScheduleData[OperationalDate]=SelectedDate),ROWS($A$8:A140)),"")</f>
        <v/>
      </c>
      <c r="H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40" s="2">
        <f>IFERROR(INDEX(FILTER(tblScheduleData[ValidationState],tblScheduleData[OperationalDate]=SelectedDate),ROWS($A$8:A140)),"")</f>
        <v/>
      </c>
    </row>
    <row r="141">
      <c r="A141" s="2">
        <f>IFERROR(INDEX(FILTER(tblScheduleData[EmployeeID],tblScheduleData[OperationalDate]=SelectedDate),ROWS($A$8:A141)),"")</f>
        <v/>
      </c>
      <c r="B141" s="2">
        <f>IFERROR(INDEX(FILTER(tblScheduleData[Name],tblScheduleData[OperationalDate]=SelectedDate),ROWS($A$8:A141)),"")</f>
        <v/>
      </c>
      <c r="C141" s="2">
        <f>IFERROR(INDEX(FILTER(tblScheduleData[ContractualHours],tblScheduleData[OperationalDate]=SelectedDate),ROWS($A$8:A141)),"")</f>
        <v/>
      </c>
      <c r="D141" s="2">
        <f>IFERROR(INDEX(FILTER(tblScheduleData[ActivityCode],tblScheduleData[OperationalDate]=SelectedDate),ROWS($A$8:A141)),"")</f>
        <v/>
      </c>
      <c r="E141" s="4">
        <f>IF(Calc_Engine!A141="","",SelectedDate)</f>
        <v/>
      </c>
      <c r="F141" s="5">
        <f>IFERROR(INDEX(FILTER(tblScheduleData[ShiftStart],tblScheduleData[OperationalDate]=SelectedDate),ROWS($A$8:A141)),"")</f>
        <v/>
      </c>
      <c r="G141" s="5">
        <f>IFERROR(INDEX(FILTER(tblScheduleData[ShiftEnd],tblScheduleData[OperationalDate]=SelectedDate),ROWS($A$8:A141)),"")</f>
        <v/>
      </c>
      <c r="H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41" s="2">
        <f>IFERROR(INDEX(FILTER(tblScheduleData[ValidationState],tblScheduleData[OperationalDate]=SelectedDate),ROWS($A$8:A141)),"")</f>
        <v/>
      </c>
    </row>
    <row r="142">
      <c r="A142" s="2">
        <f>IFERROR(INDEX(FILTER(tblScheduleData[EmployeeID],tblScheduleData[OperationalDate]=SelectedDate),ROWS($A$8:A142)),"")</f>
        <v/>
      </c>
      <c r="B142" s="2">
        <f>IFERROR(INDEX(FILTER(tblScheduleData[Name],tblScheduleData[OperationalDate]=SelectedDate),ROWS($A$8:A142)),"")</f>
        <v/>
      </c>
      <c r="C142" s="2">
        <f>IFERROR(INDEX(FILTER(tblScheduleData[ContractualHours],tblScheduleData[OperationalDate]=SelectedDate),ROWS($A$8:A142)),"")</f>
        <v/>
      </c>
      <c r="D142" s="2">
        <f>IFERROR(INDEX(FILTER(tblScheduleData[ActivityCode],tblScheduleData[OperationalDate]=SelectedDate),ROWS($A$8:A142)),"")</f>
        <v/>
      </c>
      <c r="E142" s="4">
        <f>IF(Calc_Engine!A142="","",SelectedDate)</f>
        <v/>
      </c>
      <c r="F142" s="5">
        <f>IFERROR(INDEX(FILTER(tblScheduleData[ShiftStart],tblScheduleData[OperationalDate]=SelectedDate),ROWS($A$8:A142)),"")</f>
        <v/>
      </c>
      <c r="G142" s="5">
        <f>IFERROR(INDEX(FILTER(tblScheduleData[ShiftEnd],tblScheduleData[OperationalDate]=SelectedDate),ROWS($A$8:A142)),"")</f>
        <v/>
      </c>
      <c r="H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42" s="2">
        <f>IFERROR(INDEX(FILTER(tblScheduleData[ValidationState],tblScheduleData[OperationalDate]=SelectedDate),ROWS($A$8:A142)),"")</f>
        <v/>
      </c>
    </row>
    <row r="143">
      <c r="A143" s="2">
        <f>IFERROR(INDEX(FILTER(tblScheduleData[EmployeeID],tblScheduleData[OperationalDate]=SelectedDate),ROWS($A$8:A143)),"")</f>
        <v/>
      </c>
      <c r="B143" s="2">
        <f>IFERROR(INDEX(FILTER(tblScheduleData[Name],tblScheduleData[OperationalDate]=SelectedDate),ROWS($A$8:A143)),"")</f>
        <v/>
      </c>
      <c r="C143" s="2">
        <f>IFERROR(INDEX(FILTER(tblScheduleData[ContractualHours],tblScheduleData[OperationalDate]=SelectedDate),ROWS($A$8:A143)),"")</f>
        <v/>
      </c>
      <c r="D143" s="2">
        <f>IFERROR(INDEX(FILTER(tblScheduleData[ActivityCode],tblScheduleData[OperationalDate]=SelectedDate),ROWS($A$8:A143)),"")</f>
        <v/>
      </c>
      <c r="E143" s="4">
        <f>IF(Calc_Engine!A143="","",SelectedDate)</f>
        <v/>
      </c>
      <c r="F143" s="5">
        <f>IFERROR(INDEX(FILTER(tblScheduleData[ShiftStart],tblScheduleData[OperationalDate]=SelectedDate),ROWS($A$8:A143)),"")</f>
        <v/>
      </c>
      <c r="G143" s="5">
        <f>IFERROR(INDEX(FILTER(tblScheduleData[ShiftEnd],tblScheduleData[OperationalDate]=SelectedDate),ROWS($A$8:A143)),"")</f>
        <v/>
      </c>
      <c r="H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43" s="2">
        <f>IFERROR(INDEX(FILTER(tblScheduleData[ValidationState],tblScheduleData[OperationalDate]=SelectedDate),ROWS($A$8:A143)),"")</f>
        <v/>
      </c>
    </row>
    <row r="144">
      <c r="A144" s="2">
        <f>IFERROR(INDEX(FILTER(tblScheduleData[EmployeeID],tblScheduleData[OperationalDate]=SelectedDate),ROWS($A$8:A144)),"")</f>
        <v/>
      </c>
      <c r="B144" s="2">
        <f>IFERROR(INDEX(FILTER(tblScheduleData[Name],tblScheduleData[OperationalDate]=SelectedDate),ROWS($A$8:A144)),"")</f>
        <v/>
      </c>
      <c r="C144" s="2">
        <f>IFERROR(INDEX(FILTER(tblScheduleData[ContractualHours],tblScheduleData[OperationalDate]=SelectedDate),ROWS($A$8:A144)),"")</f>
        <v/>
      </c>
      <c r="D144" s="2">
        <f>IFERROR(INDEX(FILTER(tblScheduleData[ActivityCode],tblScheduleData[OperationalDate]=SelectedDate),ROWS($A$8:A144)),"")</f>
        <v/>
      </c>
      <c r="E144" s="4">
        <f>IF(Calc_Engine!A144="","",SelectedDate)</f>
        <v/>
      </c>
      <c r="F144" s="5">
        <f>IFERROR(INDEX(FILTER(tblScheduleData[ShiftStart],tblScheduleData[OperationalDate]=SelectedDate),ROWS($A$8:A144)),"")</f>
        <v/>
      </c>
      <c r="G144" s="5">
        <f>IFERROR(INDEX(FILTER(tblScheduleData[ShiftEnd],tblScheduleData[OperationalDate]=SelectedDate),ROWS($A$8:A144)),"")</f>
        <v/>
      </c>
      <c r="H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44" s="2">
        <f>IFERROR(INDEX(FILTER(tblScheduleData[ValidationState],tblScheduleData[OperationalDate]=SelectedDate),ROWS($A$8:A144)),"")</f>
        <v/>
      </c>
    </row>
    <row r="145">
      <c r="A145" s="2">
        <f>IFERROR(INDEX(FILTER(tblScheduleData[EmployeeID],tblScheduleData[OperationalDate]=SelectedDate),ROWS($A$8:A145)),"")</f>
        <v/>
      </c>
      <c r="B145" s="2">
        <f>IFERROR(INDEX(FILTER(tblScheduleData[Name],tblScheduleData[OperationalDate]=SelectedDate),ROWS($A$8:A145)),"")</f>
        <v/>
      </c>
      <c r="C145" s="2">
        <f>IFERROR(INDEX(FILTER(tblScheduleData[ContractualHours],tblScheduleData[OperationalDate]=SelectedDate),ROWS($A$8:A145)),"")</f>
        <v/>
      </c>
      <c r="D145" s="2">
        <f>IFERROR(INDEX(FILTER(tblScheduleData[ActivityCode],tblScheduleData[OperationalDate]=SelectedDate),ROWS($A$8:A145)),"")</f>
        <v/>
      </c>
      <c r="E145" s="4">
        <f>IF(Calc_Engine!A145="","",SelectedDate)</f>
        <v/>
      </c>
      <c r="F145" s="5">
        <f>IFERROR(INDEX(FILTER(tblScheduleData[ShiftStart],tblScheduleData[OperationalDate]=SelectedDate),ROWS($A$8:A145)),"")</f>
        <v/>
      </c>
      <c r="G145" s="5">
        <f>IFERROR(INDEX(FILTER(tblScheduleData[ShiftEnd],tblScheduleData[OperationalDate]=SelectedDate),ROWS($A$8:A145)),"")</f>
        <v/>
      </c>
      <c r="H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45" s="2">
        <f>IFERROR(INDEX(FILTER(tblScheduleData[ValidationState],tblScheduleData[OperationalDate]=SelectedDate),ROWS($A$8:A145)),"")</f>
        <v/>
      </c>
    </row>
    <row r="146">
      <c r="A146" s="2">
        <f>IFERROR(INDEX(FILTER(tblScheduleData[EmployeeID],tblScheduleData[OperationalDate]=SelectedDate),ROWS($A$8:A146)),"")</f>
        <v/>
      </c>
      <c r="B146" s="2">
        <f>IFERROR(INDEX(FILTER(tblScheduleData[Name],tblScheduleData[OperationalDate]=SelectedDate),ROWS($A$8:A146)),"")</f>
        <v/>
      </c>
      <c r="C146" s="2">
        <f>IFERROR(INDEX(FILTER(tblScheduleData[ContractualHours],tblScheduleData[OperationalDate]=SelectedDate),ROWS($A$8:A146)),"")</f>
        <v/>
      </c>
      <c r="D146" s="2">
        <f>IFERROR(INDEX(FILTER(tblScheduleData[ActivityCode],tblScheduleData[OperationalDate]=SelectedDate),ROWS($A$8:A146)),"")</f>
        <v/>
      </c>
      <c r="E146" s="4">
        <f>IF(Calc_Engine!A146="","",SelectedDate)</f>
        <v/>
      </c>
      <c r="F146" s="5">
        <f>IFERROR(INDEX(FILTER(tblScheduleData[ShiftStart],tblScheduleData[OperationalDate]=SelectedDate),ROWS($A$8:A146)),"")</f>
        <v/>
      </c>
      <c r="G146" s="5">
        <f>IFERROR(INDEX(FILTER(tblScheduleData[ShiftEnd],tblScheduleData[OperationalDate]=SelectedDate),ROWS($A$8:A146)),"")</f>
        <v/>
      </c>
      <c r="H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46" s="2">
        <f>IFERROR(INDEX(FILTER(tblScheduleData[ValidationState],tblScheduleData[OperationalDate]=SelectedDate),ROWS($A$8:A146)),"")</f>
        <v/>
      </c>
    </row>
    <row r="147">
      <c r="A147" s="2">
        <f>IFERROR(INDEX(FILTER(tblScheduleData[EmployeeID],tblScheduleData[OperationalDate]=SelectedDate),ROWS($A$8:A147)),"")</f>
        <v/>
      </c>
      <c r="B147" s="2">
        <f>IFERROR(INDEX(FILTER(tblScheduleData[Name],tblScheduleData[OperationalDate]=SelectedDate),ROWS($A$8:A147)),"")</f>
        <v/>
      </c>
      <c r="C147" s="2">
        <f>IFERROR(INDEX(FILTER(tblScheduleData[ContractualHours],tblScheduleData[OperationalDate]=SelectedDate),ROWS($A$8:A147)),"")</f>
        <v/>
      </c>
      <c r="D147" s="2">
        <f>IFERROR(INDEX(FILTER(tblScheduleData[ActivityCode],tblScheduleData[OperationalDate]=SelectedDate),ROWS($A$8:A147)),"")</f>
        <v/>
      </c>
      <c r="E147" s="4">
        <f>IF(Calc_Engine!A147="","",SelectedDate)</f>
        <v/>
      </c>
      <c r="F147" s="5">
        <f>IFERROR(INDEX(FILTER(tblScheduleData[ShiftStart],tblScheduleData[OperationalDate]=SelectedDate),ROWS($A$8:A147)),"")</f>
        <v/>
      </c>
      <c r="G147" s="5">
        <f>IFERROR(INDEX(FILTER(tblScheduleData[ShiftEnd],tblScheduleData[OperationalDate]=SelectedDate),ROWS($A$8:A147)),"")</f>
        <v/>
      </c>
      <c r="H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47" s="2">
        <f>IFERROR(INDEX(FILTER(tblScheduleData[ValidationState],tblScheduleData[OperationalDate]=SelectedDate),ROWS($A$8:A147)),"")</f>
        <v/>
      </c>
    </row>
    <row r="148">
      <c r="A148" s="2">
        <f>IFERROR(INDEX(FILTER(tblScheduleData[EmployeeID],tblScheduleData[OperationalDate]=SelectedDate),ROWS($A$8:A148)),"")</f>
        <v/>
      </c>
      <c r="B148" s="2">
        <f>IFERROR(INDEX(FILTER(tblScheduleData[Name],tblScheduleData[OperationalDate]=SelectedDate),ROWS($A$8:A148)),"")</f>
        <v/>
      </c>
      <c r="C148" s="2">
        <f>IFERROR(INDEX(FILTER(tblScheduleData[ContractualHours],tblScheduleData[OperationalDate]=SelectedDate),ROWS($A$8:A148)),"")</f>
        <v/>
      </c>
      <c r="D148" s="2">
        <f>IFERROR(INDEX(FILTER(tblScheduleData[ActivityCode],tblScheduleData[OperationalDate]=SelectedDate),ROWS($A$8:A148)),"")</f>
        <v/>
      </c>
      <c r="E148" s="4">
        <f>IF(Calc_Engine!A148="","",SelectedDate)</f>
        <v/>
      </c>
      <c r="F148" s="5">
        <f>IFERROR(INDEX(FILTER(tblScheduleData[ShiftStart],tblScheduleData[OperationalDate]=SelectedDate),ROWS($A$8:A148)),"")</f>
        <v/>
      </c>
      <c r="G148" s="5">
        <f>IFERROR(INDEX(FILTER(tblScheduleData[ShiftEnd],tblScheduleData[OperationalDate]=SelectedDate),ROWS($A$8:A148)),"")</f>
        <v/>
      </c>
      <c r="H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48" s="2">
        <f>IFERROR(INDEX(FILTER(tblScheduleData[ValidationState],tblScheduleData[OperationalDate]=SelectedDate),ROWS($A$8:A148)),"")</f>
        <v/>
      </c>
    </row>
    <row r="149">
      <c r="A149" s="2">
        <f>IFERROR(INDEX(FILTER(tblScheduleData[EmployeeID],tblScheduleData[OperationalDate]=SelectedDate),ROWS($A$8:A149)),"")</f>
        <v/>
      </c>
      <c r="B149" s="2">
        <f>IFERROR(INDEX(FILTER(tblScheduleData[Name],tblScheduleData[OperationalDate]=SelectedDate),ROWS($A$8:A149)),"")</f>
        <v/>
      </c>
      <c r="C149" s="2">
        <f>IFERROR(INDEX(FILTER(tblScheduleData[ContractualHours],tblScheduleData[OperationalDate]=SelectedDate),ROWS($A$8:A149)),"")</f>
        <v/>
      </c>
      <c r="D149" s="2">
        <f>IFERROR(INDEX(FILTER(tblScheduleData[ActivityCode],tblScheduleData[OperationalDate]=SelectedDate),ROWS($A$8:A149)),"")</f>
        <v/>
      </c>
      <c r="E149" s="4">
        <f>IF(Calc_Engine!A149="","",SelectedDate)</f>
        <v/>
      </c>
      <c r="F149" s="5">
        <f>IFERROR(INDEX(FILTER(tblScheduleData[ShiftStart],tblScheduleData[OperationalDate]=SelectedDate),ROWS($A$8:A149)),"")</f>
        <v/>
      </c>
      <c r="G149" s="5">
        <f>IFERROR(INDEX(FILTER(tblScheduleData[ShiftEnd],tblScheduleData[OperationalDate]=SelectedDate),ROWS($A$8:A149)),"")</f>
        <v/>
      </c>
      <c r="H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49" s="2">
        <f>IFERROR(INDEX(FILTER(tblScheduleData[ValidationState],tblScheduleData[OperationalDate]=SelectedDate),ROWS($A$8:A149)),"")</f>
        <v/>
      </c>
    </row>
    <row r="150">
      <c r="A150" s="2">
        <f>IFERROR(INDEX(FILTER(tblScheduleData[EmployeeID],tblScheduleData[OperationalDate]=SelectedDate),ROWS($A$8:A150)),"")</f>
        <v/>
      </c>
      <c r="B150" s="2">
        <f>IFERROR(INDEX(FILTER(tblScheduleData[Name],tblScheduleData[OperationalDate]=SelectedDate),ROWS($A$8:A150)),"")</f>
        <v/>
      </c>
      <c r="C150" s="2">
        <f>IFERROR(INDEX(FILTER(tblScheduleData[ContractualHours],tblScheduleData[OperationalDate]=SelectedDate),ROWS($A$8:A150)),"")</f>
        <v/>
      </c>
      <c r="D150" s="2">
        <f>IFERROR(INDEX(FILTER(tblScheduleData[ActivityCode],tblScheduleData[OperationalDate]=SelectedDate),ROWS($A$8:A150)),"")</f>
        <v/>
      </c>
      <c r="E150" s="4">
        <f>IF(Calc_Engine!A150="","",SelectedDate)</f>
        <v/>
      </c>
      <c r="F150" s="5">
        <f>IFERROR(INDEX(FILTER(tblScheduleData[ShiftStart],tblScheduleData[OperationalDate]=SelectedDate),ROWS($A$8:A150)),"")</f>
        <v/>
      </c>
      <c r="G150" s="5">
        <f>IFERROR(INDEX(FILTER(tblScheduleData[ShiftEnd],tblScheduleData[OperationalDate]=SelectedDate),ROWS($A$8:A150)),"")</f>
        <v/>
      </c>
      <c r="H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50" s="2">
        <f>IFERROR(INDEX(FILTER(tblScheduleData[ValidationState],tblScheduleData[OperationalDate]=SelectedDate),ROWS($A$8:A150)),"")</f>
        <v/>
      </c>
    </row>
    <row r="151">
      <c r="A151" s="2">
        <f>IFERROR(INDEX(FILTER(tblScheduleData[EmployeeID],tblScheduleData[OperationalDate]=SelectedDate),ROWS($A$8:A151)),"")</f>
        <v/>
      </c>
      <c r="B151" s="2">
        <f>IFERROR(INDEX(FILTER(tblScheduleData[Name],tblScheduleData[OperationalDate]=SelectedDate),ROWS($A$8:A151)),"")</f>
        <v/>
      </c>
      <c r="C151" s="2">
        <f>IFERROR(INDEX(FILTER(tblScheduleData[ContractualHours],tblScheduleData[OperationalDate]=SelectedDate),ROWS($A$8:A151)),"")</f>
        <v/>
      </c>
      <c r="D151" s="2">
        <f>IFERROR(INDEX(FILTER(tblScheduleData[ActivityCode],tblScheduleData[OperationalDate]=SelectedDate),ROWS($A$8:A151)),"")</f>
        <v/>
      </c>
      <c r="E151" s="4">
        <f>IF(Calc_Engine!A151="","",SelectedDate)</f>
        <v/>
      </c>
      <c r="F151" s="5">
        <f>IFERROR(INDEX(FILTER(tblScheduleData[ShiftStart],tblScheduleData[OperationalDate]=SelectedDate),ROWS($A$8:A151)),"")</f>
        <v/>
      </c>
      <c r="G151" s="5">
        <f>IFERROR(INDEX(FILTER(tblScheduleData[ShiftEnd],tblScheduleData[OperationalDate]=SelectedDate),ROWS($A$8:A151)),"")</f>
        <v/>
      </c>
      <c r="H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51" s="2">
        <f>IFERROR(INDEX(FILTER(tblScheduleData[ValidationState],tblScheduleData[OperationalDate]=SelectedDate),ROWS($A$8:A151)),"")</f>
        <v/>
      </c>
    </row>
    <row r="152">
      <c r="A152" s="2">
        <f>IFERROR(INDEX(FILTER(tblScheduleData[EmployeeID],tblScheduleData[OperationalDate]=SelectedDate),ROWS($A$8:A152)),"")</f>
        <v/>
      </c>
      <c r="B152" s="2">
        <f>IFERROR(INDEX(FILTER(tblScheduleData[Name],tblScheduleData[OperationalDate]=SelectedDate),ROWS($A$8:A152)),"")</f>
        <v/>
      </c>
      <c r="C152" s="2">
        <f>IFERROR(INDEX(FILTER(tblScheduleData[ContractualHours],tblScheduleData[OperationalDate]=SelectedDate),ROWS($A$8:A152)),"")</f>
        <v/>
      </c>
      <c r="D152" s="2">
        <f>IFERROR(INDEX(FILTER(tblScheduleData[ActivityCode],tblScheduleData[OperationalDate]=SelectedDate),ROWS($A$8:A152)),"")</f>
        <v/>
      </c>
      <c r="E152" s="4">
        <f>IF(Calc_Engine!A152="","",SelectedDate)</f>
        <v/>
      </c>
      <c r="F152" s="5">
        <f>IFERROR(INDEX(FILTER(tblScheduleData[ShiftStart],tblScheduleData[OperationalDate]=SelectedDate),ROWS($A$8:A152)),"")</f>
        <v/>
      </c>
      <c r="G152" s="5">
        <f>IFERROR(INDEX(FILTER(tblScheduleData[ShiftEnd],tblScheduleData[OperationalDate]=SelectedDate),ROWS($A$8:A152)),"")</f>
        <v/>
      </c>
      <c r="H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52" s="2">
        <f>IFERROR(INDEX(FILTER(tblScheduleData[ValidationState],tblScheduleData[OperationalDate]=SelectedDate),ROWS($A$8:A152)),"")</f>
        <v/>
      </c>
    </row>
    <row r="153">
      <c r="A153" s="2">
        <f>IFERROR(INDEX(FILTER(tblScheduleData[EmployeeID],tblScheduleData[OperationalDate]=SelectedDate),ROWS($A$8:A153)),"")</f>
        <v/>
      </c>
      <c r="B153" s="2">
        <f>IFERROR(INDEX(FILTER(tblScheduleData[Name],tblScheduleData[OperationalDate]=SelectedDate),ROWS($A$8:A153)),"")</f>
        <v/>
      </c>
      <c r="C153" s="2">
        <f>IFERROR(INDEX(FILTER(tblScheduleData[ContractualHours],tblScheduleData[OperationalDate]=SelectedDate),ROWS($A$8:A153)),"")</f>
        <v/>
      </c>
      <c r="D153" s="2">
        <f>IFERROR(INDEX(FILTER(tblScheduleData[ActivityCode],tblScheduleData[OperationalDate]=SelectedDate),ROWS($A$8:A153)),"")</f>
        <v/>
      </c>
      <c r="E153" s="4">
        <f>IF(Calc_Engine!A153="","",SelectedDate)</f>
        <v/>
      </c>
      <c r="F153" s="5">
        <f>IFERROR(INDEX(FILTER(tblScheduleData[ShiftStart],tblScheduleData[OperationalDate]=SelectedDate),ROWS($A$8:A153)),"")</f>
        <v/>
      </c>
      <c r="G153" s="5">
        <f>IFERROR(INDEX(FILTER(tblScheduleData[ShiftEnd],tblScheduleData[OperationalDate]=SelectedDate),ROWS($A$8:A153)),"")</f>
        <v/>
      </c>
      <c r="H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53" s="2">
        <f>IFERROR(INDEX(FILTER(tblScheduleData[ValidationState],tblScheduleData[OperationalDate]=SelectedDate),ROWS($A$8:A153)),"")</f>
        <v/>
      </c>
    </row>
    <row r="154">
      <c r="A154" s="2">
        <f>IFERROR(INDEX(FILTER(tblScheduleData[EmployeeID],tblScheduleData[OperationalDate]=SelectedDate),ROWS($A$8:A154)),"")</f>
        <v/>
      </c>
      <c r="B154" s="2">
        <f>IFERROR(INDEX(FILTER(tblScheduleData[Name],tblScheduleData[OperationalDate]=SelectedDate),ROWS($A$8:A154)),"")</f>
        <v/>
      </c>
      <c r="C154" s="2">
        <f>IFERROR(INDEX(FILTER(tblScheduleData[ContractualHours],tblScheduleData[OperationalDate]=SelectedDate),ROWS($A$8:A154)),"")</f>
        <v/>
      </c>
      <c r="D154" s="2">
        <f>IFERROR(INDEX(FILTER(tblScheduleData[ActivityCode],tblScheduleData[OperationalDate]=SelectedDate),ROWS($A$8:A154)),"")</f>
        <v/>
      </c>
      <c r="E154" s="4">
        <f>IF(Calc_Engine!A154="","",SelectedDate)</f>
        <v/>
      </c>
      <c r="F154" s="5">
        <f>IFERROR(INDEX(FILTER(tblScheduleData[ShiftStart],tblScheduleData[OperationalDate]=SelectedDate),ROWS($A$8:A154)),"")</f>
        <v/>
      </c>
      <c r="G154" s="5">
        <f>IFERROR(INDEX(FILTER(tblScheduleData[ShiftEnd],tblScheduleData[OperationalDate]=SelectedDate),ROWS($A$8:A154)),"")</f>
        <v/>
      </c>
      <c r="H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54" s="2">
        <f>IFERROR(INDEX(FILTER(tblScheduleData[ValidationState],tblScheduleData[OperationalDate]=SelectedDate),ROWS($A$8:A154)),"")</f>
        <v/>
      </c>
    </row>
    <row r="155">
      <c r="A155" s="2">
        <f>IFERROR(INDEX(FILTER(tblScheduleData[EmployeeID],tblScheduleData[OperationalDate]=SelectedDate),ROWS($A$8:A155)),"")</f>
        <v/>
      </c>
      <c r="B155" s="2">
        <f>IFERROR(INDEX(FILTER(tblScheduleData[Name],tblScheduleData[OperationalDate]=SelectedDate),ROWS($A$8:A155)),"")</f>
        <v/>
      </c>
      <c r="C155" s="2">
        <f>IFERROR(INDEX(FILTER(tblScheduleData[ContractualHours],tblScheduleData[OperationalDate]=SelectedDate),ROWS($A$8:A155)),"")</f>
        <v/>
      </c>
      <c r="D155" s="2">
        <f>IFERROR(INDEX(FILTER(tblScheduleData[ActivityCode],tblScheduleData[OperationalDate]=SelectedDate),ROWS($A$8:A155)),"")</f>
        <v/>
      </c>
      <c r="E155" s="4">
        <f>IF(Calc_Engine!A155="","",SelectedDate)</f>
        <v/>
      </c>
      <c r="F155" s="5">
        <f>IFERROR(INDEX(FILTER(tblScheduleData[ShiftStart],tblScheduleData[OperationalDate]=SelectedDate),ROWS($A$8:A155)),"")</f>
        <v/>
      </c>
      <c r="G155" s="5">
        <f>IFERROR(INDEX(FILTER(tblScheduleData[ShiftEnd],tblScheduleData[OperationalDate]=SelectedDate),ROWS($A$8:A155)),"")</f>
        <v/>
      </c>
      <c r="H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55" s="2">
        <f>IFERROR(INDEX(FILTER(tblScheduleData[ValidationState],tblScheduleData[OperationalDate]=SelectedDate),ROWS($A$8:A155)),"")</f>
        <v/>
      </c>
    </row>
    <row r="156">
      <c r="A156" s="2">
        <f>IFERROR(INDEX(FILTER(tblScheduleData[EmployeeID],tblScheduleData[OperationalDate]=SelectedDate),ROWS($A$8:A156)),"")</f>
        <v/>
      </c>
      <c r="B156" s="2">
        <f>IFERROR(INDEX(FILTER(tblScheduleData[Name],tblScheduleData[OperationalDate]=SelectedDate),ROWS($A$8:A156)),"")</f>
        <v/>
      </c>
      <c r="C156" s="2">
        <f>IFERROR(INDEX(FILTER(tblScheduleData[ContractualHours],tblScheduleData[OperationalDate]=SelectedDate),ROWS($A$8:A156)),"")</f>
        <v/>
      </c>
      <c r="D156" s="2">
        <f>IFERROR(INDEX(FILTER(tblScheduleData[ActivityCode],tblScheduleData[OperationalDate]=SelectedDate),ROWS($A$8:A156)),"")</f>
        <v/>
      </c>
      <c r="E156" s="4">
        <f>IF(Calc_Engine!A156="","",SelectedDate)</f>
        <v/>
      </c>
      <c r="F156" s="5">
        <f>IFERROR(INDEX(FILTER(tblScheduleData[ShiftStart],tblScheduleData[OperationalDate]=SelectedDate),ROWS($A$8:A156)),"")</f>
        <v/>
      </c>
      <c r="G156" s="5">
        <f>IFERROR(INDEX(FILTER(tblScheduleData[ShiftEnd],tblScheduleData[OperationalDate]=SelectedDate),ROWS($A$8:A156)),"")</f>
        <v/>
      </c>
      <c r="H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56" s="2">
        <f>IFERROR(INDEX(FILTER(tblScheduleData[ValidationState],tblScheduleData[OperationalDate]=SelectedDate),ROWS($A$8:A156)),"")</f>
        <v/>
      </c>
    </row>
    <row r="157">
      <c r="A157" s="2">
        <f>IFERROR(INDEX(FILTER(tblScheduleData[EmployeeID],tblScheduleData[OperationalDate]=SelectedDate),ROWS($A$8:A157)),"")</f>
        <v/>
      </c>
      <c r="B157" s="2">
        <f>IFERROR(INDEX(FILTER(tblScheduleData[Name],tblScheduleData[OperationalDate]=SelectedDate),ROWS($A$8:A157)),"")</f>
        <v/>
      </c>
      <c r="C157" s="2">
        <f>IFERROR(INDEX(FILTER(tblScheduleData[ContractualHours],tblScheduleData[OperationalDate]=SelectedDate),ROWS($A$8:A157)),"")</f>
        <v/>
      </c>
      <c r="D157" s="2">
        <f>IFERROR(INDEX(FILTER(tblScheduleData[ActivityCode],tblScheduleData[OperationalDate]=SelectedDate),ROWS($A$8:A157)),"")</f>
        <v/>
      </c>
      <c r="E157" s="4">
        <f>IF(Calc_Engine!A157="","",SelectedDate)</f>
        <v/>
      </c>
      <c r="F157" s="5">
        <f>IFERROR(INDEX(FILTER(tblScheduleData[ShiftStart],tblScheduleData[OperationalDate]=SelectedDate),ROWS($A$8:A157)),"")</f>
        <v/>
      </c>
      <c r="G157" s="5">
        <f>IFERROR(INDEX(FILTER(tblScheduleData[ShiftEnd],tblScheduleData[OperationalDate]=SelectedDate),ROWS($A$8:A157)),"")</f>
        <v/>
      </c>
      <c r="H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57" s="2">
        <f>IFERROR(INDEX(FILTER(tblScheduleData[ValidationState],tblScheduleData[OperationalDate]=SelectedDate),ROWS($A$8:A157)),"")</f>
        <v/>
      </c>
    </row>
    <row r="158">
      <c r="A158" s="2">
        <f>IFERROR(INDEX(FILTER(tblScheduleData[EmployeeID],tblScheduleData[OperationalDate]=SelectedDate),ROWS($A$8:A158)),"")</f>
        <v/>
      </c>
      <c r="B158" s="2">
        <f>IFERROR(INDEX(FILTER(tblScheduleData[Name],tblScheduleData[OperationalDate]=SelectedDate),ROWS($A$8:A158)),"")</f>
        <v/>
      </c>
      <c r="C158" s="2">
        <f>IFERROR(INDEX(FILTER(tblScheduleData[ContractualHours],tblScheduleData[OperationalDate]=SelectedDate),ROWS($A$8:A158)),"")</f>
        <v/>
      </c>
      <c r="D158" s="2">
        <f>IFERROR(INDEX(FILTER(tblScheduleData[ActivityCode],tblScheduleData[OperationalDate]=SelectedDate),ROWS($A$8:A158)),"")</f>
        <v/>
      </c>
      <c r="E158" s="4">
        <f>IF(Calc_Engine!A158="","",SelectedDate)</f>
        <v/>
      </c>
      <c r="F158" s="5">
        <f>IFERROR(INDEX(FILTER(tblScheduleData[ShiftStart],tblScheduleData[OperationalDate]=SelectedDate),ROWS($A$8:A158)),"")</f>
        <v/>
      </c>
      <c r="G158" s="5">
        <f>IFERROR(INDEX(FILTER(tblScheduleData[ShiftEnd],tblScheduleData[OperationalDate]=SelectedDate),ROWS($A$8:A158)),"")</f>
        <v/>
      </c>
      <c r="H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58" s="2">
        <f>IFERROR(INDEX(FILTER(tblScheduleData[ValidationState],tblScheduleData[OperationalDate]=SelectedDate),ROWS($A$8:A158)),"")</f>
        <v/>
      </c>
    </row>
    <row r="159">
      <c r="A159" s="2">
        <f>IFERROR(INDEX(FILTER(tblScheduleData[EmployeeID],tblScheduleData[OperationalDate]=SelectedDate),ROWS($A$8:A159)),"")</f>
        <v/>
      </c>
      <c r="B159" s="2">
        <f>IFERROR(INDEX(FILTER(tblScheduleData[Name],tblScheduleData[OperationalDate]=SelectedDate),ROWS($A$8:A159)),"")</f>
        <v/>
      </c>
      <c r="C159" s="2">
        <f>IFERROR(INDEX(FILTER(tblScheduleData[ContractualHours],tblScheduleData[OperationalDate]=SelectedDate),ROWS($A$8:A159)),"")</f>
        <v/>
      </c>
      <c r="D159" s="2">
        <f>IFERROR(INDEX(FILTER(tblScheduleData[ActivityCode],tblScheduleData[OperationalDate]=SelectedDate),ROWS($A$8:A159)),"")</f>
        <v/>
      </c>
      <c r="E159" s="4">
        <f>IF(Calc_Engine!A159="","",SelectedDate)</f>
        <v/>
      </c>
      <c r="F159" s="5">
        <f>IFERROR(INDEX(FILTER(tblScheduleData[ShiftStart],tblScheduleData[OperationalDate]=SelectedDate),ROWS($A$8:A159)),"")</f>
        <v/>
      </c>
      <c r="G159" s="5">
        <f>IFERROR(INDEX(FILTER(tblScheduleData[ShiftEnd],tblScheduleData[OperationalDate]=SelectedDate),ROWS($A$8:A159)),"")</f>
        <v/>
      </c>
      <c r="H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59" s="2">
        <f>IFERROR(INDEX(FILTER(tblScheduleData[ValidationState],tblScheduleData[OperationalDate]=SelectedDate),ROWS($A$8:A159)),"")</f>
        <v/>
      </c>
    </row>
    <row r="160">
      <c r="A160" s="2">
        <f>IFERROR(INDEX(FILTER(tblScheduleData[EmployeeID],tblScheduleData[OperationalDate]=SelectedDate),ROWS($A$8:A160)),"")</f>
        <v/>
      </c>
      <c r="B160" s="2">
        <f>IFERROR(INDEX(FILTER(tblScheduleData[Name],tblScheduleData[OperationalDate]=SelectedDate),ROWS($A$8:A160)),"")</f>
        <v/>
      </c>
      <c r="C160" s="2">
        <f>IFERROR(INDEX(FILTER(tblScheduleData[ContractualHours],tblScheduleData[OperationalDate]=SelectedDate),ROWS($A$8:A160)),"")</f>
        <v/>
      </c>
      <c r="D160" s="2">
        <f>IFERROR(INDEX(FILTER(tblScheduleData[ActivityCode],tblScheduleData[OperationalDate]=SelectedDate),ROWS($A$8:A160)),"")</f>
        <v/>
      </c>
      <c r="E160" s="4">
        <f>IF(Calc_Engine!A160="","",SelectedDate)</f>
        <v/>
      </c>
      <c r="F160" s="5">
        <f>IFERROR(INDEX(FILTER(tblScheduleData[ShiftStart],tblScheduleData[OperationalDate]=SelectedDate),ROWS($A$8:A160)),"")</f>
        <v/>
      </c>
      <c r="G160" s="5">
        <f>IFERROR(INDEX(FILTER(tblScheduleData[ShiftEnd],tblScheduleData[OperationalDate]=SelectedDate),ROWS($A$8:A160)),"")</f>
        <v/>
      </c>
      <c r="H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60" s="2">
        <f>IFERROR(INDEX(FILTER(tblScheduleData[ValidationState],tblScheduleData[OperationalDate]=SelectedDate),ROWS($A$8:A160)),"")</f>
        <v/>
      </c>
    </row>
    <row r="161">
      <c r="A161" s="2">
        <f>IFERROR(INDEX(FILTER(tblScheduleData[EmployeeID],tblScheduleData[OperationalDate]=SelectedDate),ROWS($A$8:A161)),"")</f>
        <v/>
      </c>
      <c r="B161" s="2">
        <f>IFERROR(INDEX(FILTER(tblScheduleData[Name],tblScheduleData[OperationalDate]=SelectedDate),ROWS($A$8:A161)),"")</f>
        <v/>
      </c>
      <c r="C161" s="2">
        <f>IFERROR(INDEX(FILTER(tblScheduleData[ContractualHours],tblScheduleData[OperationalDate]=SelectedDate),ROWS($A$8:A161)),"")</f>
        <v/>
      </c>
      <c r="D161" s="2">
        <f>IFERROR(INDEX(FILTER(tblScheduleData[ActivityCode],tblScheduleData[OperationalDate]=SelectedDate),ROWS($A$8:A161)),"")</f>
        <v/>
      </c>
      <c r="E161" s="4">
        <f>IF(Calc_Engine!A161="","",SelectedDate)</f>
        <v/>
      </c>
      <c r="F161" s="5">
        <f>IFERROR(INDEX(FILTER(tblScheduleData[ShiftStart],tblScheduleData[OperationalDate]=SelectedDate),ROWS($A$8:A161)),"")</f>
        <v/>
      </c>
      <c r="G161" s="5">
        <f>IFERROR(INDEX(FILTER(tblScheduleData[ShiftEnd],tblScheduleData[OperationalDate]=SelectedDate),ROWS($A$8:A161)),"")</f>
        <v/>
      </c>
      <c r="H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61" s="2">
        <f>IFERROR(INDEX(FILTER(tblScheduleData[ValidationState],tblScheduleData[OperationalDate]=SelectedDate),ROWS($A$8:A161)),"")</f>
        <v/>
      </c>
    </row>
    <row r="162">
      <c r="A162" s="2">
        <f>IFERROR(INDEX(FILTER(tblScheduleData[EmployeeID],tblScheduleData[OperationalDate]=SelectedDate),ROWS($A$8:A162)),"")</f>
        <v/>
      </c>
      <c r="B162" s="2">
        <f>IFERROR(INDEX(FILTER(tblScheduleData[Name],tblScheduleData[OperationalDate]=SelectedDate),ROWS($A$8:A162)),"")</f>
        <v/>
      </c>
      <c r="C162" s="2">
        <f>IFERROR(INDEX(FILTER(tblScheduleData[ContractualHours],tblScheduleData[OperationalDate]=SelectedDate),ROWS($A$8:A162)),"")</f>
        <v/>
      </c>
      <c r="D162" s="2">
        <f>IFERROR(INDEX(FILTER(tblScheduleData[ActivityCode],tblScheduleData[OperationalDate]=SelectedDate),ROWS($A$8:A162)),"")</f>
        <v/>
      </c>
      <c r="E162" s="4">
        <f>IF(Calc_Engine!A162="","",SelectedDate)</f>
        <v/>
      </c>
      <c r="F162" s="5">
        <f>IFERROR(INDEX(FILTER(tblScheduleData[ShiftStart],tblScheduleData[OperationalDate]=SelectedDate),ROWS($A$8:A162)),"")</f>
        <v/>
      </c>
      <c r="G162" s="5">
        <f>IFERROR(INDEX(FILTER(tblScheduleData[ShiftEnd],tblScheduleData[OperationalDate]=SelectedDate),ROWS($A$8:A162)),"")</f>
        <v/>
      </c>
      <c r="H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62" s="2">
        <f>IFERROR(INDEX(FILTER(tblScheduleData[ValidationState],tblScheduleData[OperationalDate]=SelectedDate),ROWS($A$8:A162)),"")</f>
        <v/>
      </c>
    </row>
    <row r="163">
      <c r="A163" s="2">
        <f>IFERROR(INDEX(FILTER(tblScheduleData[EmployeeID],tblScheduleData[OperationalDate]=SelectedDate),ROWS($A$8:A163)),"")</f>
        <v/>
      </c>
      <c r="B163" s="2">
        <f>IFERROR(INDEX(FILTER(tblScheduleData[Name],tblScheduleData[OperationalDate]=SelectedDate),ROWS($A$8:A163)),"")</f>
        <v/>
      </c>
      <c r="C163" s="2">
        <f>IFERROR(INDEX(FILTER(tblScheduleData[ContractualHours],tblScheduleData[OperationalDate]=SelectedDate),ROWS($A$8:A163)),"")</f>
        <v/>
      </c>
      <c r="D163" s="2">
        <f>IFERROR(INDEX(FILTER(tblScheduleData[ActivityCode],tblScheduleData[OperationalDate]=SelectedDate),ROWS($A$8:A163)),"")</f>
        <v/>
      </c>
      <c r="E163" s="4">
        <f>IF(Calc_Engine!A163="","",SelectedDate)</f>
        <v/>
      </c>
      <c r="F163" s="5">
        <f>IFERROR(INDEX(FILTER(tblScheduleData[ShiftStart],tblScheduleData[OperationalDate]=SelectedDate),ROWS($A$8:A163)),"")</f>
        <v/>
      </c>
      <c r="G163" s="5">
        <f>IFERROR(INDEX(FILTER(tblScheduleData[ShiftEnd],tblScheduleData[OperationalDate]=SelectedDate),ROWS($A$8:A163)),"")</f>
        <v/>
      </c>
      <c r="H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63" s="2">
        <f>IFERROR(INDEX(FILTER(tblScheduleData[ValidationState],tblScheduleData[OperationalDate]=SelectedDate),ROWS($A$8:A163)),"")</f>
        <v/>
      </c>
    </row>
    <row r="164">
      <c r="A164" s="2">
        <f>IFERROR(INDEX(FILTER(tblScheduleData[EmployeeID],tblScheduleData[OperationalDate]=SelectedDate),ROWS($A$8:A164)),"")</f>
        <v/>
      </c>
      <c r="B164" s="2">
        <f>IFERROR(INDEX(FILTER(tblScheduleData[Name],tblScheduleData[OperationalDate]=SelectedDate),ROWS($A$8:A164)),"")</f>
        <v/>
      </c>
      <c r="C164" s="2">
        <f>IFERROR(INDEX(FILTER(tblScheduleData[ContractualHours],tblScheduleData[OperationalDate]=SelectedDate),ROWS($A$8:A164)),"")</f>
        <v/>
      </c>
      <c r="D164" s="2">
        <f>IFERROR(INDEX(FILTER(tblScheduleData[ActivityCode],tblScheduleData[OperationalDate]=SelectedDate),ROWS($A$8:A164)),"")</f>
        <v/>
      </c>
      <c r="E164" s="4">
        <f>IF(Calc_Engine!A164="","",SelectedDate)</f>
        <v/>
      </c>
      <c r="F164" s="5">
        <f>IFERROR(INDEX(FILTER(tblScheduleData[ShiftStart],tblScheduleData[OperationalDate]=SelectedDate),ROWS($A$8:A164)),"")</f>
        <v/>
      </c>
      <c r="G164" s="5">
        <f>IFERROR(INDEX(FILTER(tblScheduleData[ShiftEnd],tblScheduleData[OperationalDate]=SelectedDate),ROWS($A$8:A164)),"")</f>
        <v/>
      </c>
      <c r="H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64" s="2">
        <f>IFERROR(INDEX(FILTER(tblScheduleData[ValidationState],tblScheduleData[OperationalDate]=SelectedDate),ROWS($A$8:A164)),"")</f>
        <v/>
      </c>
    </row>
    <row r="165">
      <c r="A165" s="2">
        <f>IFERROR(INDEX(FILTER(tblScheduleData[EmployeeID],tblScheduleData[OperationalDate]=SelectedDate),ROWS($A$8:A165)),"")</f>
        <v/>
      </c>
      <c r="B165" s="2">
        <f>IFERROR(INDEX(FILTER(tblScheduleData[Name],tblScheduleData[OperationalDate]=SelectedDate),ROWS($A$8:A165)),"")</f>
        <v/>
      </c>
      <c r="C165" s="2">
        <f>IFERROR(INDEX(FILTER(tblScheduleData[ContractualHours],tblScheduleData[OperationalDate]=SelectedDate),ROWS($A$8:A165)),"")</f>
        <v/>
      </c>
      <c r="D165" s="2">
        <f>IFERROR(INDEX(FILTER(tblScheduleData[ActivityCode],tblScheduleData[OperationalDate]=SelectedDate),ROWS($A$8:A165)),"")</f>
        <v/>
      </c>
      <c r="E165" s="4">
        <f>IF(Calc_Engine!A165="","",SelectedDate)</f>
        <v/>
      </c>
      <c r="F165" s="5">
        <f>IFERROR(INDEX(FILTER(tblScheduleData[ShiftStart],tblScheduleData[OperationalDate]=SelectedDate),ROWS($A$8:A165)),"")</f>
        <v/>
      </c>
      <c r="G165" s="5">
        <f>IFERROR(INDEX(FILTER(tblScheduleData[ShiftEnd],tblScheduleData[OperationalDate]=SelectedDate),ROWS($A$8:A165)),"")</f>
        <v/>
      </c>
      <c r="H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65" s="2">
        <f>IFERROR(INDEX(FILTER(tblScheduleData[ValidationState],tblScheduleData[OperationalDate]=SelectedDate),ROWS($A$8:A165)),"")</f>
        <v/>
      </c>
    </row>
    <row r="166">
      <c r="A166" s="2">
        <f>IFERROR(INDEX(FILTER(tblScheduleData[EmployeeID],tblScheduleData[OperationalDate]=SelectedDate),ROWS($A$8:A166)),"")</f>
        <v/>
      </c>
      <c r="B166" s="2">
        <f>IFERROR(INDEX(FILTER(tblScheduleData[Name],tblScheduleData[OperationalDate]=SelectedDate),ROWS($A$8:A166)),"")</f>
        <v/>
      </c>
      <c r="C166" s="2">
        <f>IFERROR(INDEX(FILTER(tblScheduleData[ContractualHours],tblScheduleData[OperationalDate]=SelectedDate),ROWS($A$8:A166)),"")</f>
        <v/>
      </c>
      <c r="D166" s="2">
        <f>IFERROR(INDEX(FILTER(tblScheduleData[ActivityCode],tblScheduleData[OperationalDate]=SelectedDate),ROWS($A$8:A166)),"")</f>
        <v/>
      </c>
      <c r="E166" s="4">
        <f>IF(Calc_Engine!A166="","",SelectedDate)</f>
        <v/>
      </c>
      <c r="F166" s="5">
        <f>IFERROR(INDEX(FILTER(tblScheduleData[ShiftStart],tblScheduleData[OperationalDate]=SelectedDate),ROWS($A$8:A166)),"")</f>
        <v/>
      </c>
      <c r="G166" s="5">
        <f>IFERROR(INDEX(FILTER(tblScheduleData[ShiftEnd],tblScheduleData[OperationalDate]=SelectedDate),ROWS($A$8:A166)),"")</f>
        <v/>
      </c>
      <c r="H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66" s="2">
        <f>IFERROR(INDEX(FILTER(tblScheduleData[ValidationState],tblScheduleData[OperationalDate]=SelectedDate),ROWS($A$8:A166)),"")</f>
        <v/>
      </c>
    </row>
    <row r="167">
      <c r="A167" s="2">
        <f>IFERROR(INDEX(FILTER(tblScheduleData[EmployeeID],tblScheduleData[OperationalDate]=SelectedDate),ROWS($A$8:A167)),"")</f>
        <v/>
      </c>
      <c r="B167" s="2">
        <f>IFERROR(INDEX(FILTER(tblScheduleData[Name],tblScheduleData[OperationalDate]=SelectedDate),ROWS($A$8:A167)),"")</f>
        <v/>
      </c>
      <c r="C167" s="2">
        <f>IFERROR(INDEX(FILTER(tblScheduleData[ContractualHours],tblScheduleData[OperationalDate]=SelectedDate),ROWS($A$8:A167)),"")</f>
        <v/>
      </c>
      <c r="D167" s="2">
        <f>IFERROR(INDEX(FILTER(tblScheduleData[ActivityCode],tblScheduleData[OperationalDate]=SelectedDate),ROWS($A$8:A167)),"")</f>
        <v/>
      </c>
      <c r="E167" s="4">
        <f>IF(Calc_Engine!A167="","",SelectedDate)</f>
        <v/>
      </c>
      <c r="F167" s="5">
        <f>IFERROR(INDEX(FILTER(tblScheduleData[ShiftStart],tblScheduleData[OperationalDate]=SelectedDate),ROWS($A$8:A167)),"")</f>
        <v/>
      </c>
      <c r="G167" s="5">
        <f>IFERROR(INDEX(FILTER(tblScheduleData[ShiftEnd],tblScheduleData[OperationalDate]=SelectedDate),ROWS($A$8:A167)),"")</f>
        <v/>
      </c>
      <c r="H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67" s="2">
        <f>IFERROR(INDEX(FILTER(tblScheduleData[ValidationState],tblScheduleData[OperationalDate]=SelectedDate),ROWS($A$8:A167)),"")</f>
        <v/>
      </c>
    </row>
    <row r="168">
      <c r="A168" s="2">
        <f>IFERROR(INDEX(FILTER(tblScheduleData[EmployeeID],tblScheduleData[OperationalDate]=SelectedDate),ROWS($A$8:A168)),"")</f>
        <v/>
      </c>
      <c r="B168" s="2">
        <f>IFERROR(INDEX(FILTER(tblScheduleData[Name],tblScheduleData[OperationalDate]=SelectedDate),ROWS($A$8:A168)),"")</f>
        <v/>
      </c>
      <c r="C168" s="2">
        <f>IFERROR(INDEX(FILTER(tblScheduleData[ContractualHours],tblScheduleData[OperationalDate]=SelectedDate),ROWS($A$8:A168)),"")</f>
        <v/>
      </c>
      <c r="D168" s="2">
        <f>IFERROR(INDEX(FILTER(tblScheduleData[ActivityCode],tblScheduleData[OperationalDate]=SelectedDate),ROWS($A$8:A168)),"")</f>
        <v/>
      </c>
      <c r="E168" s="4">
        <f>IF(Calc_Engine!A168="","",SelectedDate)</f>
        <v/>
      </c>
      <c r="F168" s="5">
        <f>IFERROR(INDEX(FILTER(tblScheduleData[ShiftStart],tblScheduleData[OperationalDate]=SelectedDate),ROWS($A$8:A168)),"")</f>
        <v/>
      </c>
      <c r="G168" s="5">
        <f>IFERROR(INDEX(FILTER(tblScheduleData[ShiftEnd],tblScheduleData[OperationalDate]=SelectedDate),ROWS($A$8:A168)),"")</f>
        <v/>
      </c>
      <c r="H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68" s="2">
        <f>IFERROR(INDEX(FILTER(tblScheduleData[ValidationState],tblScheduleData[OperationalDate]=SelectedDate),ROWS($A$8:A168)),"")</f>
        <v/>
      </c>
    </row>
    <row r="169">
      <c r="A169" s="2">
        <f>IFERROR(INDEX(FILTER(tblScheduleData[EmployeeID],tblScheduleData[OperationalDate]=SelectedDate),ROWS($A$8:A169)),"")</f>
        <v/>
      </c>
      <c r="B169" s="2">
        <f>IFERROR(INDEX(FILTER(tblScheduleData[Name],tblScheduleData[OperationalDate]=SelectedDate),ROWS($A$8:A169)),"")</f>
        <v/>
      </c>
      <c r="C169" s="2">
        <f>IFERROR(INDEX(FILTER(tblScheduleData[ContractualHours],tblScheduleData[OperationalDate]=SelectedDate),ROWS($A$8:A169)),"")</f>
        <v/>
      </c>
      <c r="D169" s="2">
        <f>IFERROR(INDEX(FILTER(tblScheduleData[ActivityCode],tblScheduleData[OperationalDate]=SelectedDate),ROWS($A$8:A169)),"")</f>
        <v/>
      </c>
      <c r="E169" s="4">
        <f>IF(Calc_Engine!A169="","",SelectedDate)</f>
        <v/>
      </c>
      <c r="F169" s="5">
        <f>IFERROR(INDEX(FILTER(tblScheduleData[ShiftStart],tblScheduleData[OperationalDate]=SelectedDate),ROWS($A$8:A169)),"")</f>
        <v/>
      </c>
      <c r="G169" s="5">
        <f>IFERROR(INDEX(FILTER(tblScheduleData[ShiftEnd],tblScheduleData[OperationalDate]=SelectedDate),ROWS($A$8:A169)),"")</f>
        <v/>
      </c>
      <c r="H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69" s="2">
        <f>IFERROR(INDEX(FILTER(tblScheduleData[ValidationState],tblScheduleData[OperationalDate]=SelectedDate),ROWS($A$8:A169)),"")</f>
        <v/>
      </c>
    </row>
    <row r="170">
      <c r="A170" s="2">
        <f>IFERROR(INDEX(FILTER(tblScheduleData[EmployeeID],tblScheduleData[OperationalDate]=SelectedDate),ROWS($A$8:A170)),"")</f>
        <v/>
      </c>
      <c r="B170" s="2">
        <f>IFERROR(INDEX(FILTER(tblScheduleData[Name],tblScheduleData[OperationalDate]=SelectedDate),ROWS($A$8:A170)),"")</f>
        <v/>
      </c>
      <c r="C170" s="2">
        <f>IFERROR(INDEX(FILTER(tblScheduleData[ContractualHours],tblScheduleData[OperationalDate]=SelectedDate),ROWS($A$8:A170)),"")</f>
        <v/>
      </c>
      <c r="D170" s="2">
        <f>IFERROR(INDEX(FILTER(tblScheduleData[ActivityCode],tblScheduleData[OperationalDate]=SelectedDate),ROWS($A$8:A170)),"")</f>
        <v/>
      </c>
      <c r="E170" s="4">
        <f>IF(Calc_Engine!A170="","",SelectedDate)</f>
        <v/>
      </c>
      <c r="F170" s="5">
        <f>IFERROR(INDEX(FILTER(tblScheduleData[ShiftStart],tblScheduleData[OperationalDate]=SelectedDate),ROWS($A$8:A170)),"")</f>
        <v/>
      </c>
      <c r="G170" s="5">
        <f>IFERROR(INDEX(FILTER(tblScheduleData[ShiftEnd],tblScheduleData[OperationalDate]=SelectedDate),ROWS($A$8:A170)),"")</f>
        <v/>
      </c>
      <c r="H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70" s="2">
        <f>IFERROR(INDEX(FILTER(tblScheduleData[ValidationState],tblScheduleData[OperationalDate]=SelectedDate),ROWS($A$8:A170)),"")</f>
        <v/>
      </c>
    </row>
    <row r="171">
      <c r="A171" s="2">
        <f>IFERROR(INDEX(FILTER(tblScheduleData[EmployeeID],tblScheduleData[OperationalDate]=SelectedDate),ROWS($A$8:A171)),"")</f>
        <v/>
      </c>
      <c r="B171" s="2">
        <f>IFERROR(INDEX(FILTER(tblScheduleData[Name],tblScheduleData[OperationalDate]=SelectedDate),ROWS($A$8:A171)),"")</f>
        <v/>
      </c>
      <c r="C171" s="2">
        <f>IFERROR(INDEX(FILTER(tblScheduleData[ContractualHours],tblScheduleData[OperationalDate]=SelectedDate),ROWS($A$8:A171)),"")</f>
        <v/>
      </c>
      <c r="D171" s="2">
        <f>IFERROR(INDEX(FILTER(tblScheduleData[ActivityCode],tblScheduleData[OperationalDate]=SelectedDate),ROWS($A$8:A171)),"")</f>
        <v/>
      </c>
      <c r="E171" s="4">
        <f>IF(Calc_Engine!A171="","",SelectedDate)</f>
        <v/>
      </c>
      <c r="F171" s="5">
        <f>IFERROR(INDEX(FILTER(tblScheduleData[ShiftStart],tblScheduleData[OperationalDate]=SelectedDate),ROWS($A$8:A171)),"")</f>
        <v/>
      </c>
      <c r="G171" s="5">
        <f>IFERROR(INDEX(FILTER(tblScheduleData[ShiftEnd],tblScheduleData[OperationalDate]=SelectedDate),ROWS($A$8:A171)),"")</f>
        <v/>
      </c>
      <c r="H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71" s="2">
        <f>IFERROR(INDEX(FILTER(tblScheduleData[ValidationState],tblScheduleData[OperationalDate]=SelectedDate),ROWS($A$8:A171)),"")</f>
        <v/>
      </c>
    </row>
    <row r="172">
      <c r="A172" s="2">
        <f>IFERROR(INDEX(FILTER(tblScheduleData[EmployeeID],tblScheduleData[OperationalDate]=SelectedDate),ROWS($A$8:A172)),"")</f>
        <v/>
      </c>
      <c r="B172" s="2">
        <f>IFERROR(INDEX(FILTER(tblScheduleData[Name],tblScheduleData[OperationalDate]=SelectedDate),ROWS($A$8:A172)),"")</f>
        <v/>
      </c>
      <c r="C172" s="2">
        <f>IFERROR(INDEX(FILTER(tblScheduleData[ContractualHours],tblScheduleData[OperationalDate]=SelectedDate),ROWS($A$8:A172)),"")</f>
        <v/>
      </c>
      <c r="D172" s="2">
        <f>IFERROR(INDEX(FILTER(tblScheduleData[ActivityCode],tblScheduleData[OperationalDate]=SelectedDate),ROWS($A$8:A172)),"")</f>
        <v/>
      </c>
      <c r="E172" s="4">
        <f>IF(Calc_Engine!A172="","",SelectedDate)</f>
        <v/>
      </c>
      <c r="F172" s="5">
        <f>IFERROR(INDEX(FILTER(tblScheduleData[ShiftStart],tblScheduleData[OperationalDate]=SelectedDate),ROWS($A$8:A172)),"")</f>
        <v/>
      </c>
      <c r="G172" s="5">
        <f>IFERROR(INDEX(FILTER(tblScheduleData[ShiftEnd],tblScheduleData[OperationalDate]=SelectedDate),ROWS($A$8:A172)),"")</f>
        <v/>
      </c>
      <c r="H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72" s="2">
        <f>IFERROR(INDEX(FILTER(tblScheduleData[ValidationState],tblScheduleData[OperationalDate]=SelectedDate),ROWS($A$8:A172)),"")</f>
        <v/>
      </c>
    </row>
    <row r="173">
      <c r="A173" s="2">
        <f>IFERROR(INDEX(FILTER(tblScheduleData[EmployeeID],tblScheduleData[OperationalDate]=SelectedDate),ROWS($A$8:A173)),"")</f>
        <v/>
      </c>
      <c r="B173" s="2">
        <f>IFERROR(INDEX(FILTER(tblScheduleData[Name],tblScheduleData[OperationalDate]=SelectedDate),ROWS($A$8:A173)),"")</f>
        <v/>
      </c>
      <c r="C173" s="2">
        <f>IFERROR(INDEX(FILTER(tblScheduleData[ContractualHours],tblScheduleData[OperationalDate]=SelectedDate),ROWS($A$8:A173)),"")</f>
        <v/>
      </c>
      <c r="D173" s="2">
        <f>IFERROR(INDEX(FILTER(tblScheduleData[ActivityCode],tblScheduleData[OperationalDate]=SelectedDate),ROWS($A$8:A173)),"")</f>
        <v/>
      </c>
      <c r="E173" s="4">
        <f>IF(Calc_Engine!A173="","",SelectedDate)</f>
        <v/>
      </c>
      <c r="F173" s="5">
        <f>IFERROR(INDEX(FILTER(tblScheduleData[ShiftStart],tblScheduleData[OperationalDate]=SelectedDate),ROWS($A$8:A173)),"")</f>
        <v/>
      </c>
      <c r="G173" s="5">
        <f>IFERROR(INDEX(FILTER(tblScheduleData[ShiftEnd],tblScheduleData[OperationalDate]=SelectedDate),ROWS($A$8:A173)),"")</f>
        <v/>
      </c>
      <c r="H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73" s="2">
        <f>IFERROR(INDEX(FILTER(tblScheduleData[ValidationState],tblScheduleData[OperationalDate]=SelectedDate),ROWS($A$8:A173)),"")</f>
        <v/>
      </c>
    </row>
    <row r="174">
      <c r="A174" s="2">
        <f>IFERROR(INDEX(FILTER(tblScheduleData[EmployeeID],tblScheduleData[OperationalDate]=SelectedDate),ROWS($A$8:A174)),"")</f>
        <v/>
      </c>
      <c r="B174" s="2">
        <f>IFERROR(INDEX(FILTER(tblScheduleData[Name],tblScheduleData[OperationalDate]=SelectedDate),ROWS($A$8:A174)),"")</f>
        <v/>
      </c>
      <c r="C174" s="2">
        <f>IFERROR(INDEX(FILTER(tblScheduleData[ContractualHours],tblScheduleData[OperationalDate]=SelectedDate),ROWS($A$8:A174)),"")</f>
        <v/>
      </c>
      <c r="D174" s="2">
        <f>IFERROR(INDEX(FILTER(tblScheduleData[ActivityCode],tblScheduleData[OperationalDate]=SelectedDate),ROWS($A$8:A174)),"")</f>
        <v/>
      </c>
      <c r="E174" s="4">
        <f>IF(Calc_Engine!A174="","",SelectedDate)</f>
        <v/>
      </c>
      <c r="F174" s="5">
        <f>IFERROR(INDEX(FILTER(tblScheduleData[ShiftStart],tblScheduleData[OperationalDate]=SelectedDate),ROWS($A$8:A174)),"")</f>
        <v/>
      </c>
      <c r="G174" s="5">
        <f>IFERROR(INDEX(FILTER(tblScheduleData[ShiftEnd],tblScheduleData[OperationalDate]=SelectedDate),ROWS($A$8:A174)),"")</f>
        <v/>
      </c>
      <c r="H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74" s="2">
        <f>IFERROR(INDEX(FILTER(tblScheduleData[ValidationState],tblScheduleData[OperationalDate]=SelectedDate),ROWS($A$8:A174)),"")</f>
        <v/>
      </c>
    </row>
    <row r="175">
      <c r="A175" s="2">
        <f>IFERROR(INDEX(FILTER(tblScheduleData[EmployeeID],tblScheduleData[OperationalDate]=SelectedDate),ROWS($A$8:A175)),"")</f>
        <v/>
      </c>
      <c r="B175" s="2">
        <f>IFERROR(INDEX(FILTER(tblScheduleData[Name],tblScheduleData[OperationalDate]=SelectedDate),ROWS($A$8:A175)),"")</f>
        <v/>
      </c>
      <c r="C175" s="2">
        <f>IFERROR(INDEX(FILTER(tblScheduleData[ContractualHours],tblScheduleData[OperationalDate]=SelectedDate),ROWS($A$8:A175)),"")</f>
        <v/>
      </c>
      <c r="D175" s="2">
        <f>IFERROR(INDEX(FILTER(tblScheduleData[ActivityCode],tblScheduleData[OperationalDate]=SelectedDate),ROWS($A$8:A175)),"")</f>
        <v/>
      </c>
      <c r="E175" s="4">
        <f>IF(Calc_Engine!A175="","",SelectedDate)</f>
        <v/>
      </c>
      <c r="F175" s="5">
        <f>IFERROR(INDEX(FILTER(tblScheduleData[ShiftStart],tblScheduleData[OperationalDate]=SelectedDate),ROWS($A$8:A175)),"")</f>
        <v/>
      </c>
      <c r="G175" s="5">
        <f>IFERROR(INDEX(FILTER(tblScheduleData[ShiftEnd],tblScheduleData[OperationalDate]=SelectedDate),ROWS($A$8:A175)),"")</f>
        <v/>
      </c>
      <c r="H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75" s="2">
        <f>IFERROR(INDEX(FILTER(tblScheduleData[ValidationState],tblScheduleData[OperationalDate]=SelectedDate),ROWS($A$8:A175)),"")</f>
        <v/>
      </c>
    </row>
    <row r="176">
      <c r="A176" s="2">
        <f>IFERROR(INDEX(FILTER(tblScheduleData[EmployeeID],tblScheduleData[OperationalDate]=SelectedDate),ROWS($A$8:A176)),"")</f>
        <v/>
      </c>
      <c r="B176" s="2">
        <f>IFERROR(INDEX(FILTER(tblScheduleData[Name],tblScheduleData[OperationalDate]=SelectedDate),ROWS($A$8:A176)),"")</f>
        <v/>
      </c>
      <c r="C176" s="2">
        <f>IFERROR(INDEX(FILTER(tblScheduleData[ContractualHours],tblScheduleData[OperationalDate]=SelectedDate),ROWS($A$8:A176)),"")</f>
        <v/>
      </c>
      <c r="D176" s="2">
        <f>IFERROR(INDEX(FILTER(tblScheduleData[ActivityCode],tblScheduleData[OperationalDate]=SelectedDate),ROWS($A$8:A176)),"")</f>
        <v/>
      </c>
      <c r="E176" s="4">
        <f>IF(Calc_Engine!A176="","",SelectedDate)</f>
        <v/>
      </c>
      <c r="F176" s="5">
        <f>IFERROR(INDEX(FILTER(tblScheduleData[ShiftStart],tblScheduleData[OperationalDate]=SelectedDate),ROWS($A$8:A176)),"")</f>
        <v/>
      </c>
      <c r="G176" s="5">
        <f>IFERROR(INDEX(FILTER(tblScheduleData[ShiftEnd],tblScheduleData[OperationalDate]=SelectedDate),ROWS($A$8:A176)),"")</f>
        <v/>
      </c>
      <c r="H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76" s="2">
        <f>IFERROR(INDEX(FILTER(tblScheduleData[ValidationState],tblScheduleData[OperationalDate]=SelectedDate),ROWS($A$8:A176)),"")</f>
        <v/>
      </c>
    </row>
    <row r="177">
      <c r="A177" s="2">
        <f>IFERROR(INDEX(FILTER(tblScheduleData[EmployeeID],tblScheduleData[OperationalDate]=SelectedDate),ROWS($A$8:A177)),"")</f>
        <v/>
      </c>
      <c r="B177" s="2">
        <f>IFERROR(INDEX(FILTER(tblScheduleData[Name],tblScheduleData[OperationalDate]=SelectedDate),ROWS($A$8:A177)),"")</f>
        <v/>
      </c>
      <c r="C177" s="2">
        <f>IFERROR(INDEX(FILTER(tblScheduleData[ContractualHours],tblScheduleData[OperationalDate]=SelectedDate),ROWS($A$8:A177)),"")</f>
        <v/>
      </c>
      <c r="D177" s="2">
        <f>IFERROR(INDEX(FILTER(tblScheduleData[ActivityCode],tblScheduleData[OperationalDate]=SelectedDate),ROWS($A$8:A177)),"")</f>
        <v/>
      </c>
      <c r="E177" s="4">
        <f>IF(Calc_Engine!A177="","",SelectedDate)</f>
        <v/>
      </c>
      <c r="F177" s="5">
        <f>IFERROR(INDEX(FILTER(tblScheduleData[ShiftStart],tblScheduleData[OperationalDate]=SelectedDate),ROWS($A$8:A177)),"")</f>
        <v/>
      </c>
      <c r="G177" s="5">
        <f>IFERROR(INDEX(FILTER(tblScheduleData[ShiftEnd],tblScheduleData[OperationalDate]=SelectedDate),ROWS($A$8:A177)),"")</f>
        <v/>
      </c>
      <c r="H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77" s="2">
        <f>IFERROR(INDEX(FILTER(tblScheduleData[ValidationState],tblScheduleData[OperationalDate]=SelectedDate),ROWS($A$8:A177)),"")</f>
        <v/>
      </c>
    </row>
    <row r="178">
      <c r="A178" s="2">
        <f>IFERROR(INDEX(FILTER(tblScheduleData[EmployeeID],tblScheduleData[OperationalDate]=SelectedDate),ROWS($A$8:A178)),"")</f>
        <v/>
      </c>
      <c r="B178" s="2">
        <f>IFERROR(INDEX(FILTER(tblScheduleData[Name],tblScheduleData[OperationalDate]=SelectedDate),ROWS($A$8:A178)),"")</f>
        <v/>
      </c>
      <c r="C178" s="2">
        <f>IFERROR(INDEX(FILTER(tblScheduleData[ContractualHours],tblScheduleData[OperationalDate]=SelectedDate),ROWS($A$8:A178)),"")</f>
        <v/>
      </c>
      <c r="D178" s="2">
        <f>IFERROR(INDEX(FILTER(tblScheduleData[ActivityCode],tblScheduleData[OperationalDate]=SelectedDate),ROWS($A$8:A178)),"")</f>
        <v/>
      </c>
      <c r="E178" s="4">
        <f>IF(Calc_Engine!A178="","",SelectedDate)</f>
        <v/>
      </c>
      <c r="F178" s="5">
        <f>IFERROR(INDEX(FILTER(tblScheduleData[ShiftStart],tblScheduleData[OperationalDate]=SelectedDate),ROWS($A$8:A178)),"")</f>
        <v/>
      </c>
      <c r="G178" s="5">
        <f>IFERROR(INDEX(FILTER(tblScheduleData[ShiftEnd],tblScheduleData[OperationalDate]=SelectedDate),ROWS($A$8:A178)),"")</f>
        <v/>
      </c>
      <c r="H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78" s="2">
        <f>IFERROR(INDEX(FILTER(tblScheduleData[ValidationState],tblScheduleData[OperationalDate]=SelectedDate),ROWS($A$8:A178)),"")</f>
        <v/>
      </c>
    </row>
    <row r="179">
      <c r="A179" s="2">
        <f>IFERROR(INDEX(FILTER(tblScheduleData[EmployeeID],tblScheduleData[OperationalDate]=SelectedDate),ROWS($A$8:A179)),"")</f>
        <v/>
      </c>
      <c r="B179" s="2">
        <f>IFERROR(INDEX(FILTER(tblScheduleData[Name],tblScheduleData[OperationalDate]=SelectedDate),ROWS($A$8:A179)),"")</f>
        <v/>
      </c>
      <c r="C179" s="2">
        <f>IFERROR(INDEX(FILTER(tblScheduleData[ContractualHours],tblScheduleData[OperationalDate]=SelectedDate),ROWS($A$8:A179)),"")</f>
        <v/>
      </c>
      <c r="D179" s="2">
        <f>IFERROR(INDEX(FILTER(tblScheduleData[ActivityCode],tblScheduleData[OperationalDate]=SelectedDate),ROWS($A$8:A179)),"")</f>
        <v/>
      </c>
      <c r="E179" s="4">
        <f>IF(Calc_Engine!A179="","",SelectedDate)</f>
        <v/>
      </c>
      <c r="F179" s="5">
        <f>IFERROR(INDEX(FILTER(tblScheduleData[ShiftStart],tblScheduleData[OperationalDate]=SelectedDate),ROWS($A$8:A179)),"")</f>
        <v/>
      </c>
      <c r="G179" s="5">
        <f>IFERROR(INDEX(FILTER(tblScheduleData[ShiftEnd],tblScheduleData[OperationalDate]=SelectedDate),ROWS($A$8:A179)),"")</f>
        <v/>
      </c>
      <c r="H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79" s="2">
        <f>IFERROR(INDEX(FILTER(tblScheduleData[ValidationState],tblScheduleData[OperationalDate]=SelectedDate),ROWS($A$8:A179)),"")</f>
        <v/>
      </c>
    </row>
    <row r="180">
      <c r="A180" s="2">
        <f>IFERROR(INDEX(FILTER(tblScheduleData[EmployeeID],tblScheduleData[OperationalDate]=SelectedDate),ROWS($A$8:A180)),"")</f>
        <v/>
      </c>
      <c r="B180" s="2">
        <f>IFERROR(INDEX(FILTER(tblScheduleData[Name],tblScheduleData[OperationalDate]=SelectedDate),ROWS($A$8:A180)),"")</f>
        <v/>
      </c>
      <c r="C180" s="2">
        <f>IFERROR(INDEX(FILTER(tblScheduleData[ContractualHours],tblScheduleData[OperationalDate]=SelectedDate),ROWS($A$8:A180)),"")</f>
        <v/>
      </c>
      <c r="D180" s="2">
        <f>IFERROR(INDEX(FILTER(tblScheduleData[ActivityCode],tblScheduleData[OperationalDate]=SelectedDate),ROWS($A$8:A180)),"")</f>
        <v/>
      </c>
      <c r="E180" s="4">
        <f>IF(Calc_Engine!A180="","",SelectedDate)</f>
        <v/>
      </c>
      <c r="F180" s="5">
        <f>IFERROR(INDEX(FILTER(tblScheduleData[ShiftStart],tblScheduleData[OperationalDate]=SelectedDate),ROWS($A$8:A180)),"")</f>
        <v/>
      </c>
      <c r="G180" s="5">
        <f>IFERROR(INDEX(FILTER(tblScheduleData[ShiftEnd],tblScheduleData[OperationalDate]=SelectedDate),ROWS($A$8:A180)),"")</f>
        <v/>
      </c>
      <c r="H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80" s="2">
        <f>IFERROR(INDEX(FILTER(tblScheduleData[ValidationState],tblScheduleData[OperationalDate]=SelectedDate),ROWS($A$8:A180)),"")</f>
        <v/>
      </c>
    </row>
    <row r="181">
      <c r="A181" s="2">
        <f>IFERROR(INDEX(FILTER(tblScheduleData[EmployeeID],tblScheduleData[OperationalDate]=SelectedDate),ROWS($A$8:A181)),"")</f>
        <v/>
      </c>
      <c r="B181" s="2">
        <f>IFERROR(INDEX(FILTER(tblScheduleData[Name],tblScheduleData[OperationalDate]=SelectedDate),ROWS($A$8:A181)),"")</f>
        <v/>
      </c>
      <c r="C181" s="2">
        <f>IFERROR(INDEX(FILTER(tblScheduleData[ContractualHours],tblScheduleData[OperationalDate]=SelectedDate),ROWS($A$8:A181)),"")</f>
        <v/>
      </c>
      <c r="D181" s="2">
        <f>IFERROR(INDEX(FILTER(tblScheduleData[ActivityCode],tblScheduleData[OperationalDate]=SelectedDate),ROWS($A$8:A181)),"")</f>
        <v/>
      </c>
      <c r="E181" s="4">
        <f>IF(Calc_Engine!A181="","",SelectedDate)</f>
        <v/>
      </c>
      <c r="F181" s="5">
        <f>IFERROR(INDEX(FILTER(tblScheduleData[ShiftStart],tblScheduleData[OperationalDate]=SelectedDate),ROWS($A$8:A181)),"")</f>
        <v/>
      </c>
      <c r="G181" s="5">
        <f>IFERROR(INDEX(FILTER(tblScheduleData[ShiftEnd],tblScheduleData[OperationalDate]=SelectedDate),ROWS($A$8:A181)),"")</f>
        <v/>
      </c>
      <c r="H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81" s="2">
        <f>IFERROR(INDEX(FILTER(tblScheduleData[ValidationState],tblScheduleData[OperationalDate]=SelectedDate),ROWS($A$8:A181)),"")</f>
        <v/>
      </c>
    </row>
    <row r="182">
      <c r="A182" s="2">
        <f>IFERROR(INDEX(FILTER(tblScheduleData[EmployeeID],tblScheduleData[OperationalDate]=SelectedDate),ROWS($A$8:A182)),"")</f>
        <v/>
      </c>
      <c r="B182" s="2">
        <f>IFERROR(INDEX(FILTER(tblScheduleData[Name],tblScheduleData[OperationalDate]=SelectedDate),ROWS($A$8:A182)),"")</f>
        <v/>
      </c>
      <c r="C182" s="2">
        <f>IFERROR(INDEX(FILTER(tblScheduleData[ContractualHours],tblScheduleData[OperationalDate]=SelectedDate),ROWS($A$8:A182)),"")</f>
        <v/>
      </c>
      <c r="D182" s="2">
        <f>IFERROR(INDEX(FILTER(tblScheduleData[ActivityCode],tblScheduleData[OperationalDate]=SelectedDate),ROWS($A$8:A182)),"")</f>
        <v/>
      </c>
      <c r="E182" s="4">
        <f>IF(Calc_Engine!A182="","",SelectedDate)</f>
        <v/>
      </c>
      <c r="F182" s="5">
        <f>IFERROR(INDEX(FILTER(tblScheduleData[ShiftStart],tblScheduleData[OperationalDate]=SelectedDate),ROWS($A$8:A182)),"")</f>
        <v/>
      </c>
      <c r="G182" s="5">
        <f>IFERROR(INDEX(FILTER(tblScheduleData[ShiftEnd],tblScheduleData[OperationalDate]=SelectedDate),ROWS($A$8:A182)),"")</f>
        <v/>
      </c>
      <c r="H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82" s="2">
        <f>IFERROR(INDEX(FILTER(tblScheduleData[ValidationState],tblScheduleData[OperationalDate]=SelectedDate),ROWS($A$8:A182)),"")</f>
        <v/>
      </c>
    </row>
    <row r="183">
      <c r="A183" s="2">
        <f>IFERROR(INDEX(FILTER(tblScheduleData[EmployeeID],tblScheduleData[OperationalDate]=SelectedDate),ROWS($A$8:A183)),"")</f>
        <v/>
      </c>
      <c r="B183" s="2">
        <f>IFERROR(INDEX(FILTER(tblScheduleData[Name],tblScheduleData[OperationalDate]=SelectedDate),ROWS($A$8:A183)),"")</f>
        <v/>
      </c>
      <c r="C183" s="2">
        <f>IFERROR(INDEX(FILTER(tblScheduleData[ContractualHours],tblScheduleData[OperationalDate]=SelectedDate),ROWS($A$8:A183)),"")</f>
        <v/>
      </c>
      <c r="D183" s="2">
        <f>IFERROR(INDEX(FILTER(tblScheduleData[ActivityCode],tblScheduleData[OperationalDate]=SelectedDate),ROWS($A$8:A183)),"")</f>
        <v/>
      </c>
      <c r="E183" s="4">
        <f>IF(Calc_Engine!A183="","",SelectedDate)</f>
        <v/>
      </c>
      <c r="F183" s="5">
        <f>IFERROR(INDEX(FILTER(tblScheduleData[ShiftStart],tblScheduleData[OperationalDate]=SelectedDate),ROWS($A$8:A183)),"")</f>
        <v/>
      </c>
      <c r="G183" s="5">
        <f>IFERROR(INDEX(FILTER(tblScheduleData[ShiftEnd],tblScheduleData[OperationalDate]=SelectedDate),ROWS($A$8:A183)),"")</f>
        <v/>
      </c>
      <c r="H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83" s="2">
        <f>IFERROR(INDEX(FILTER(tblScheduleData[ValidationState],tblScheduleData[OperationalDate]=SelectedDate),ROWS($A$8:A183)),"")</f>
        <v/>
      </c>
    </row>
    <row r="184">
      <c r="A184" s="2">
        <f>IFERROR(INDEX(FILTER(tblScheduleData[EmployeeID],tblScheduleData[OperationalDate]=SelectedDate),ROWS($A$8:A184)),"")</f>
        <v/>
      </c>
      <c r="B184" s="2">
        <f>IFERROR(INDEX(FILTER(tblScheduleData[Name],tblScheduleData[OperationalDate]=SelectedDate),ROWS($A$8:A184)),"")</f>
        <v/>
      </c>
      <c r="C184" s="2">
        <f>IFERROR(INDEX(FILTER(tblScheduleData[ContractualHours],tblScheduleData[OperationalDate]=SelectedDate),ROWS($A$8:A184)),"")</f>
        <v/>
      </c>
      <c r="D184" s="2">
        <f>IFERROR(INDEX(FILTER(tblScheduleData[ActivityCode],tblScheduleData[OperationalDate]=SelectedDate),ROWS($A$8:A184)),"")</f>
        <v/>
      </c>
      <c r="E184" s="4">
        <f>IF(Calc_Engine!A184="","",SelectedDate)</f>
        <v/>
      </c>
      <c r="F184" s="5">
        <f>IFERROR(INDEX(FILTER(tblScheduleData[ShiftStart],tblScheduleData[OperationalDate]=SelectedDate),ROWS($A$8:A184)),"")</f>
        <v/>
      </c>
      <c r="G184" s="5">
        <f>IFERROR(INDEX(FILTER(tblScheduleData[ShiftEnd],tblScheduleData[OperationalDate]=SelectedDate),ROWS($A$8:A184)),"")</f>
        <v/>
      </c>
      <c r="H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84" s="2">
        <f>IFERROR(INDEX(FILTER(tblScheduleData[ValidationState],tblScheduleData[OperationalDate]=SelectedDate),ROWS($A$8:A184)),"")</f>
        <v/>
      </c>
    </row>
    <row r="185">
      <c r="A185" s="2">
        <f>IFERROR(INDEX(FILTER(tblScheduleData[EmployeeID],tblScheduleData[OperationalDate]=SelectedDate),ROWS($A$8:A185)),"")</f>
        <v/>
      </c>
      <c r="B185" s="2">
        <f>IFERROR(INDEX(FILTER(tblScheduleData[Name],tblScheduleData[OperationalDate]=SelectedDate),ROWS($A$8:A185)),"")</f>
        <v/>
      </c>
      <c r="C185" s="2">
        <f>IFERROR(INDEX(FILTER(tblScheduleData[ContractualHours],tblScheduleData[OperationalDate]=SelectedDate),ROWS($A$8:A185)),"")</f>
        <v/>
      </c>
      <c r="D185" s="2">
        <f>IFERROR(INDEX(FILTER(tblScheduleData[ActivityCode],tblScheduleData[OperationalDate]=SelectedDate),ROWS($A$8:A185)),"")</f>
        <v/>
      </c>
      <c r="E185" s="4">
        <f>IF(Calc_Engine!A185="","",SelectedDate)</f>
        <v/>
      </c>
      <c r="F185" s="5">
        <f>IFERROR(INDEX(FILTER(tblScheduleData[ShiftStart],tblScheduleData[OperationalDate]=SelectedDate),ROWS($A$8:A185)),"")</f>
        <v/>
      </c>
      <c r="G185" s="5">
        <f>IFERROR(INDEX(FILTER(tblScheduleData[ShiftEnd],tblScheduleData[OperationalDate]=SelectedDate),ROWS($A$8:A185)),"")</f>
        <v/>
      </c>
      <c r="H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85" s="2">
        <f>IFERROR(INDEX(FILTER(tblScheduleData[ValidationState],tblScheduleData[OperationalDate]=SelectedDate),ROWS($A$8:A185)),"")</f>
        <v/>
      </c>
    </row>
    <row r="186">
      <c r="A186" s="2">
        <f>IFERROR(INDEX(FILTER(tblScheduleData[EmployeeID],tblScheduleData[OperationalDate]=SelectedDate),ROWS($A$8:A186)),"")</f>
        <v/>
      </c>
      <c r="B186" s="2">
        <f>IFERROR(INDEX(FILTER(tblScheduleData[Name],tblScheduleData[OperationalDate]=SelectedDate),ROWS($A$8:A186)),"")</f>
        <v/>
      </c>
      <c r="C186" s="2">
        <f>IFERROR(INDEX(FILTER(tblScheduleData[ContractualHours],tblScheduleData[OperationalDate]=SelectedDate),ROWS($A$8:A186)),"")</f>
        <v/>
      </c>
      <c r="D186" s="2">
        <f>IFERROR(INDEX(FILTER(tblScheduleData[ActivityCode],tblScheduleData[OperationalDate]=SelectedDate),ROWS($A$8:A186)),"")</f>
        <v/>
      </c>
      <c r="E186" s="4">
        <f>IF(Calc_Engine!A186="","",SelectedDate)</f>
        <v/>
      </c>
      <c r="F186" s="5">
        <f>IFERROR(INDEX(FILTER(tblScheduleData[ShiftStart],tblScheduleData[OperationalDate]=SelectedDate),ROWS($A$8:A186)),"")</f>
        <v/>
      </c>
      <c r="G186" s="5">
        <f>IFERROR(INDEX(FILTER(tblScheduleData[ShiftEnd],tblScheduleData[OperationalDate]=SelectedDate),ROWS($A$8:A186)),"")</f>
        <v/>
      </c>
      <c r="H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86" s="2">
        <f>IFERROR(INDEX(FILTER(tblScheduleData[ValidationState],tblScheduleData[OperationalDate]=SelectedDate),ROWS($A$8:A186)),"")</f>
        <v/>
      </c>
    </row>
    <row r="187">
      <c r="A187" s="2">
        <f>IFERROR(INDEX(FILTER(tblScheduleData[EmployeeID],tblScheduleData[OperationalDate]=SelectedDate),ROWS($A$8:A187)),"")</f>
        <v/>
      </c>
      <c r="B187" s="2">
        <f>IFERROR(INDEX(FILTER(tblScheduleData[Name],tblScheduleData[OperationalDate]=SelectedDate),ROWS($A$8:A187)),"")</f>
        <v/>
      </c>
      <c r="C187" s="2">
        <f>IFERROR(INDEX(FILTER(tblScheduleData[ContractualHours],tblScheduleData[OperationalDate]=SelectedDate),ROWS($A$8:A187)),"")</f>
        <v/>
      </c>
      <c r="D187" s="2">
        <f>IFERROR(INDEX(FILTER(tblScheduleData[ActivityCode],tblScheduleData[OperationalDate]=SelectedDate),ROWS($A$8:A187)),"")</f>
        <v/>
      </c>
      <c r="E187" s="4">
        <f>IF(Calc_Engine!A187="","",SelectedDate)</f>
        <v/>
      </c>
      <c r="F187" s="5">
        <f>IFERROR(INDEX(FILTER(tblScheduleData[ShiftStart],tblScheduleData[OperationalDate]=SelectedDate),ROWS($A$8:A187)),"")</f>
        <v/>
      </c>
      <c r="G187" s="5">
        <f>IFERROR(INDEX(FILTER(tblScheduleData[ShiftEnd],tblScheduleData[OperationalDate]=SelectedDate),ROWS($A$8:A187)),"")</f>
        <v/>
      </c>
      <c r="H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87" s="2">
        <f>IFERROR(INDEX(FILTER(tblScheduleData[ValidationState],tblScheduleData[OperationalDate]=SelectedDate),ROWS($A$8:A187)),"")</f>
        <v/>
      </c>
    </row>
    <row r="188">
      <c r="A188" s="2">
        <f>IFERROR(INDEX(FILTER(tblScheduleData[EmployeeID],tblScheduleData[OperationalDate]=SelectedDate),ROWS($A$8:A188)),"")</f>
        <v/>
      </c>
      <c r="B188" s="2">
        <f>IFERROR(INDEX(FILTER(tblScheduleData[Name],tblScheduleData[OperationalDate]=SelectedDate),ROWS($A$8:A188)),"")</f>
        <v/>
      </c>
      <c r="C188" s="2">
        <f>IFERROR(INDEX(FILTER(tblScheduleData[ContractualHours],tblScheduleData[OperationalDate]=SelectedDate),ROWS($A$8:A188)),"")</f>
        <v/>
      </c>
      <c r="D188" s="2">
        <f>IFERROR(INDEX(FILTER(tblScheduleData[ActivityCode],tblScheduleData[OperationalDate]=SelectedDate),ROWS($A$8:A188)),"")</f>
        <v/>
      </c>
      <c r="E188" s="4">
        <f>IF(Calc_Engine!A188="","",SelectedDate)</f>
        <v/>
      </c>
      <c r="F188" s="5">
        <f>IFERROR(INDEX(FILTER(tblScheduleData[ShiftStart],tblScheduleData[OperationalDate]=SelectedDate),ROWS($A$8:A188)),"")</f>
        <v/>
      </c>
      <c r="G188" s="5">
        <f>IFERROR(INDEX(FILTER(tblScheduleData[ShiftEnd],tblScheduleData[OperationalDate]=SelectedDate),ROWS($A$8:A188)),"")</f>
        <v/>
      </c>
      <c r="H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88" s="2">
        <f>IFERROR(INDEX(FILTER(tblScheduleData[ValidationState],tblScheduleData[OperationalDate]=SelectedDate),ROWS($A$8:A188)),"")</f>
        <v/>
      </c>
    </row>
    <row r="189">
      <c r="A189" s="2">
        <f>IFERROR(INDEX(FILTER(tblScheduleData[EmployeeID],tblScheduleData[OperationalDate]=SelectedDate),ROWS($A$8:A189)),"")</f>
        <v/>
      </c>
      <c r="B189" s="2">
        <f>IFERROR(INDEX(FILTER(tblScheduleData[Name],tblScheduleData[OperationalDate]=SelectedDate),ROWS($A$8:A189)),"")</f>
        <v/>
      </c>
      <c r="C189" s="2">
        <f>IFERROR(INDEX(FILTER(tblScheduleData[ContractualHours],tblScheduleData[OperationalDate]=SelectedDate),ROWS($A$8:A189)),"")</f>
        <v/>
      </c>
      <c r="D189" s="2">
        <f>IFERROR(INDEX(FILTER(tblScheduleData[ActivityCode],tblScheduleData[OperationalDate]=SelectedDate),ROWS($A$8:A189)),"")</f>
        <v/>
      </c>
      <c r="E189" s="4">
        <f>IF(Calc_Engine!A189="","",SelectedDate)</f>
        <v/>
      </c>
      <c r="F189" s="5">
        <f>IFERROR(INDEX(FILTER(tblScheduleData[ShiftStart],tblScheduleData[OperationalDate]=SelectedDate),ROWS($A$8:A189)),"")</f>
        <v/>
      </c>
      <c r="G189" s="5">
        <f>IFERROR(INDEX(FILTER(tblScheduleData[ShiftEnd],tblScheduleData[OperationalDate]=SelectedDate),ROWS($A$8:A189)),"")</f>
        <v/>
      </c>
      <c r="H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89" s="2">
        <f>IFERROR(INDEX(FILTER(tblScheduleData[ValidationState],tblScheduleData[OperationalDate]=SelectedDate),ROWS($A$8:A189)),"")</f>
        <v/>
      </c>
    </row>
    <row r="190">
      <c r="A190" s="2">
        <f>IFERROR(INDEX(FILTER(tblScheduleData[EmployeeID],tblScheduleData[OperationalDate]=SelectedDate),ROWS($A$8:A190)),"")</f>
        <v/>
      </c>
      <c r="B190" s="2">
        <f>IFERROR(INDEX(FILTER(tblScheduleData[Name],tblScheduleData[OperationalDate]=SelectedDate),ROWS($A$8:A190)),"")</f>
        <v/>
      </c>
      <c r="C190" s="2">
        <f>IFERROR(INDEX(FILTER(tblScheduleData[ContractualHours],tblScheduleData[OperationalDate]=SelectedDate),ROWS($A$8:A190)),"")</f>
        <v/>
      </c>
      <c r="D190" s="2">
        <f>IFERROR(INDEX(FILTER(tblScheduleData[ActivityCode],tblScheduleData[OperationalDate]=SelectedDate),ROWS($A$8:A190)),"")</f>
        <v/>
      </c>
      <c r="E190" s="4">
        <f>IF(Calc_Engine!A190="","",SelectedDate)</f>
        <v/>
      </c>
      <c r="F190" s="5">
        <f>IFERROR(INDEX(FILTER(tblScheduleData[ShiftStart],tblScheduleData[OperationalDate]=SelectedDate),ROWS($A$8:A190)),"")</f>
        <v/>
      </c>
      <c r="G190" s="5">
        <f>IFERROR(INDEX(FILTER(tblScheduleData[ShiftEnd],tblScheduleData[OperationalDate]=SelectedDate),ROWS($A$8:A190)),"")</f>
        <v/>
      </c>
      <c r="H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90" s="2">
        <f>IFERROR(INDEX(FILTER(tblScheduleData[ValidationState],tblScheduleData[OperationalDate]=SelectedDate),ROWS($A$8:A190)),"")</f>
        <v/>
      </c>
    </row>
    <row r="191">
      <c r="A191" s="2">
        <f>IFERROR(INDEX(FILTER(tblScheduleData[EmployeeID],tblScheduleData[OperationalDate]=SelectedDate),ROWS($A$8:A191)),"")</f>
        <v/>
      </c>
      <c r="B191" s="2">
        <f>IFERROR(INDEX(FILTER(tblScheduleData[Name],tblScheduleData[OperationalDate]=SelectedDate),ROWS($A$8:A191)),"")</f>
        <v/>
      </c>
      <c r="C191" s="2">
        <f>IFERROR(INDEX(FILTER(tblScheduleData[ContractualHours],tblScheduleData[OperationalDate]=SelectedDate),ROWS($A$8:A191)),"")</f>
        <v/>
      </c>
      <c r="D191" s="2">
        <f>IFERROR(INDEX(FILTER(tblScheduleData[ActivityCode],tblScheduleData[OperationalDate]=SelectedDate),ROWS($A$8:A191)),"")</f>
        <v/>
      </c>
      <c r="E191" s="4">
        <f>IF(Calc_Engine!A191="","",SelectedDate)</f>
        <v/>
      </c>
      <c r="F191" s="5">
        <f>IFERROR(INDEX(FILTER(tblScheduleData[ShiftStart],tblScheduleData[OperationalDate]=SelectedDate),ROWS($A$8:A191)),"")</f>
        <v/>
      </c>
      <c r="G191" s="5">
        <f>IFERROR(INDEX(FILTER(tblScheduleData[ShiftEnd],tblScheduleData[OperationalDate]=SelectedDate),ROWS($A$8:A191)),"")</f>
        <v/>
      </c>
      <c r="H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91" s="2">
        <f>IFERROR(INDEX(FILTER(tblScheduleData[ValidationState],tblScheduleData[OperationalDate]=SelectedDate),ROWS($A$8:A191)),"")</f>
        <v/>
      </c>
    </row>
    <row r="192">
      <c r="A192" s="2">
        <f>IFERROR(INDEX(FILTER(tblScheduleData[EmployeeID],tblScheduleData[OperationalDate]=SelectedDate),ROWS($A$8:A192)),"")</f>
        <v/>
      </c>
      <c r="B192" s="2">
        <f>IFERROR(INDEX(FILTER(tblScheduleData[Name],tblScheduleData[OperationalDate]=SelectedDate),ROWS($A$8:A192)),"")</f>
        <v/>
      </c>
      <c r="C192" s="2">
        <f>IFERROR(INDEX(FILTER(tblScheduleData[ContractualHours],tblScheduleData[OperationalDate]=SelectedDate),ROWS($A$8:A192)),"")</f>
        <v/>
      </c>
      <c r="D192" s="2">
        <f>IFERROR(INDEX(FILTER(tblScheduleData[ActivityCode],tblScheduleData[OperationalDate]=SelectedDate),ROWS($A$8:A192)),"")</f>
        <v/>
      </c>
      <c r="E192" s="4">
        <f>IF(Calc_Engine!A192="","",SelectedDate)</f>
        <v/>
      </c>
      <c r="F192" s="5">
        <f>IFERROR(INDEX(FILTER(tblScheduleData[ShiftStart],tblScheduleData[OperationalDate]=SelectedDate),ROWS($A$8:A192)),"")</f>
        <v/>
      </c>
      <c r="G192" s="5">
        <f>IFERROR(INDEX(FILTER(tblScheduleData[ShiftEnd],tblScheduleData[OperationalDate]=SelectedDate),ROWS($A$8:A192)),"")</f>
        <v/>
      </c>
      <c r="H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92" s="2">
        <f>IFERROR(INDEX(FILTER(tblScheduleData[ValidationState],tblScheduleData[OperationalDate]=SelectedDate),ROWS($A$8:A192)),"")</f>
        <v/>
      </c>
    </row>
    <row r="193">
      <c r="A193" s="2">
        <f>IFERROR(INDEX(FILTER(tblScheduleData[EmployeeID],tblScheduleData[OperationalDate]=SelectedDate),ROWS($A$8:A193)),"")</f>
        <v/>
      </c>
      <c r="B193" s="2">
        <f>IFERROR(INDEX(FILTER(tblScheduleData[Name],tblScheduleData[OperationalDate]=SelectedDate),ROWS($A$8:A193)),"")</f>
        <v/>
      </c>
      <c r="C193" s="2">
        <f>IFERROR(INDEX(FILTER(tblScheduleData[ContractualHours],tblScheduleData[OperationalDate]=SelectedDate),ROWS($A$8:A193)),"")</f>
        <v/>
      </c>
      <c r="D193" s="2">
        <f>IFERROR(INDEX(FILTER(tblScheduleData[ActivityCode],tblScheduleData[OperationalDate]=SelectedDate),ROWS($A$8:A193)),"")</f>
        <v/>
      </c>
      <c r="E193" s="4">
        <f>IF(Calc_Engine!A193="","",SelectedDate)</f>
        <v/>
      </c>
      <c r="F193" s="5">
        <f>IFERROR(INDEX(FILTER(tblScheduleData[ShiftStart],tblScheduleData[OperationalDate]=SelectedDate),ROWS($A$8:A193)),"")</f>
        <v/>
      </c>
      <c r="G193" s="5">
        <f>IFERROR(INDEX(FILTER(tblScheduleData[ShiftEnd],tblScheduleData[OperationalDate]=SelectedDate),ROWS($A$8:A193)),"")</f>
        <v/>
      </c>
      <c r="H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93" s="2">
        <f>IFERROR(INDEX(FILTER(tblScheduleData[ValidationState],tblScheduleData[OperationalDate]=SelectedDate),ROWS($A$8:A193)),"")</f>
        <v/>
      </c>
    </row>
    <row r="194">
      <c r="A194" s="2">
        <f>IFERROR(INDEX(FILTER(tblScheduleData[EmployeeID],tblScheduleData[OperationalDate]=SelectedDate),ROWS($A$8:A194)),"")</f>
        <v/>
      </c>
      <c r="B194" s="2">
        <f>IFERROR(INDEX(FILTER(tblScheduleData[Name],tblScheduleData[OperationalDate]=SelectedDate),ROWS($A$8:A194)),"")</f>
        <v/>
      </c>
      <c r="C194" s="2">
        <f>IFERROR(INDEX(FILTER(tblScheduleData[ContractualHours],tblScheduleData[OperationalDate]=SelectedDate),ROWS($A$8:A194)),"")</f>
        <v/>
      </c>
      <c r="D194" s="2">
        <f>IFERROR(INDEX(FILTER(tblScheduleData[ActivityCode],tblScheduleData[OperationalDate]=SelectedDate),ROWS($A$8:A194)),"")</f>
        <v/>
      </c>
      <c r="E194" s="4">
        <f>IF(Calc_Engine!A194="","",SelectedDate)</f>
        <v/>
      </c>
      <c r="F194" s="5">
        <f>IFERROR(INDEX(FILTER(tblScheduleData[ShiftStart],tblScheduleData[OperationalDate]=SelectedDate),ROWS($A$8:A194)),"")</f>
        <v/>
      </c>
      <c r="G194" s="5">
        <f>IFERROR(INDEX(FILTER(tblScheduleData[ShiftEnd],tblScheduleData[OperationalDate]=SelectedDate),ROWS($A$8:A194)),"")</f>
        <v/>
      </c>
      <c r="H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94" s="2">
        <f>IFERROR(INDEX(FILTER(tblScheduleData[ValidationState],tblScheduleData[OperationalDate]=SelectedDate),ROWS($A$8:A194)),"")</f>
        <v/>
      </c>
    </row>
    <row r="195">
      <c r="A195" s="2">
        <f>IFERROR(INDEX(FILTER(tblScheduleData[EmployeeID],tblScheduleData[OperationalDate]=SelectedDate),ROWS($A$8:A195)),"")</f>
        <v/>
      </c>
      <c r="B195" s="2">
        <f>IFERROR(INDEX(FILTER(tblScheduleData[Name],tblScheduleData[OperationalDate]=SelectedDate),ROWS($A$8:A195)),"")</f>
        <v/>
      </c>
      <c r="C195" s="2">
        <f>IFERROR(INDEX(FILTER(tblScheduleData[ContractualHours],tblScheduleData[OperationalDate]=SelectedDate),ROWS($A$8:A195)),"")</f>
        <v/>
      </c>
      <c r="D195" s="2">
        <f>IFERROR(INDEX(FILTER(tblScheduleData[ActivityCode],tblScheduleData[OperationalDate]=SelectedDate),ROWS($A$8:A195)),"")</f>
        <v/>
      </c>
      <c r="E195" s="4">
        <f>IF(Calc_Engine!A195="","",SelectedDate)</f>
        <v/>
      </c>
      <c r="F195" s="5">
        <f>IFERROR(INDEX(FILTER(tblScheduleData[ShiftStart],tblScheduleData[OperationalDate]=SelectedDate),ROWS($A$8:A195)),"")</f>
        <v/>
      </c>
      <c r="G195" s="5">
        <f>IFERROR(INDEX(FILTER(tblScheduleData[ShiftEnd],tblScheduleData[OperationalDate]=SelectedDate),ROWS($A$8:A195)),"")</f>
        <v/>
      </c>
      <c r="H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95" s="2">
        <f>IFERROR(INDEX(FILTER(tblScheduleData[ValidationState],tblScheduleData[OperationalDate]=SelectedDate),ROWS($A$8:A195)),"")</f>
        <v/>
      </c>
    </row>
    <row r="196">
      <c r="A196" s="2">
        <f>IFERROR(INDEX(FILTER(tblScheduleData[EmployeeID],tblScheduleData[OperationalDate]=SelectedDate),ROWS($A$8:A196)),"")</f>
        <v/>
      </c>
      <c r="B196" s="2">
        <f>IFERROR(INDEX(FILTER(tblScheduleData[Name],tblScheduleData[OperationalDate]=SelectedDate),ROWS($A$8:A196)),"")</f>
        <v/>
      </c>
      <c r="C196" s="2">
        <f>IFERROR(INDEX(FILTER(tblScheduleData[ContractualHours],tblScheduleData[OperationalDate]=SelectedDate),ROWS($A$8:A196)),"")</f>
        <v/>
      </c>
      <c r="D196" s="2">
        <f>IFERROR(INDEX(FILTER(tblScheduleData[ActivityCode],tblScheduleData[OperationalDate]=SelectedDate),ROWS($A$8:A196)),"")</f>
        <v/>
      </c>
      <c r="E196" s="4">
        <f>IF(Calc_Engine!A196="","",SelectedDate)</f>
        <v/>
      </c>
      <c r="F196" s="5">
        <f>IFERROR(INDEX(FILTER(tblScheduleData[ShiftStart],tblScheduleData[OperationalDate]=SelectedDate),ROWS($A$8:A196)),"")</f>
        <v/>
      </c>
      <c r="G196" s="5">
        <f>IFERROR(INDEX(FILTER(tblScheduleData[ShiftEnd],tblScheduleData[OperationalDate]=SelectedDate),ROWS($A$8:A196)),"")</f>
        <v/>
      </c>
      <c r="H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96" s="2">
        <f>IFERROR(INDEX(FILTER(tblScheduleData[ValidationState],tblScheduleData[OperationalDate]=SelectedDate),ROWS($A$8:A196)),"")</f>
        <v/>
      </c>
    </row>
    <row r="197">
      <c r="A197" s="2">
        <f>IFERROR(INDEX(FILTER(tblScheduleData[EmployeeID],tblScheduleData[OperationalDate]=SelectedDate),ROWS($A$8:A197)),"")</f>
        <v/>
      </c>
      <c r="B197" s="2">
        <f>IFERROR(INDEX(FILTER(tblScheduleData[Name],tblScheduleData[OperationalDate]=SelectedDate),ROWS($A$8:A197)),"")</f>
        <v/>
      </c>
      <c r="C197" s="2">
        <f>IFERROR(INDEX(FILTER(tblScheduleData[ContractualHours],tblScheduleData[OperationalDate]=SelectedDate),ROWS($A$8:A197)),"")</f>
        <v/>
      </c>
      <c r="D197" s="2">
        <f>IFERROR(INDEX(FILTER(tblScheduleData[ActivityCode],tblScheduleData[OperationalDate]=SelectedDate),ROWS($A$8:A197)),"")</f>
        <v/>
      </c>
      <c r="E197" s="4">
        <f>IF(Calc_Engine!A197="","",SelectedDate)</f>
        <v/>
      </c>
      <c r="F197" s="5">
        <f>IFERROR(INDEX(FILTER(tblScheduleData[ShiftStart],tblScheduleData[OperationalDate]=SelectedDate),ROWS($A$8:A197)),"")</f>
        <v/>
      </c>
      <c r="G197" s="5">
        <f>IFERROR(INDEX(FILTER(tblScheduleData[ShiftEnd],tblScheduleData[OperationalDate]=SelectedDate),ROWS($A$8:A197)),"")</f>
        <v/>
      </c>
      <c r="H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97" s="2">
        <f>IFERROR(INDEX(FILTER(tblScheduleData[ValidationState],tblScheduleData[OperationalDate]=SelectedDate),ROWS($A$8:A197)),"")</f>
        <v/>
      </c>
    </row>
    <row r="198">
      <c r="A198" s="2">
        <f>IFERROR(INDEX(FILTER(tblScheduleData[EmployeeID],tblScheduleData[OperationalDate]=SelectedDate),ROWS($A$8:A198)),"")</f>
        <v/>
      </c>
      <c r="B198" s="2">
        <f>IFERROR(INDEX(FILTER(tblScheduleData[Name],tblScheduleData[OperationalDate]=SelectedDate),ROWS($A$8:A198)),"")</f>
        <v/>
      </c>
      <c r="C198" s="2">
        <f>IFERROR(INDEX(FILTER(tblScheduleData[ContractualHours],tblScheduleData[OperationalDate]=SelectedDate),ROWS($A$8:A198)),"")</f>
        <v/>
      </c>
      <c r="D198" s="2">
        <f>IFERROR(INDEX(FILTER(tblScheduleData[ActivityCode],tblScheduleData[OperationalDate]=SelectedDate),ROWS($A$8:A198)),"")</f>
        <v/>
      </c>
      <c r="E198" s="4">
        <f>IF(Calc_Engine!A198="","",SelectedDate)</f>
        <v/>
      </c>
      <c r="F198" s="5">
        <f>IFERROR(INDEX(FILTER(tblScheduleData[ShiftStart],tblScheduleData[OperationalDate]=SelectedDate),ROWS($A$8:A198)),"")</f>
        <v/>
      </c>
      <c r="G198" s="5">
        <f>IFERROR(INDEX(FILTER(tblScheduleData[ShiftEnd],tblScheduleData[OperationalDate]=SelectedDate),ROWS($A$8:A198)),"")</f>
        <v/>
      </c>
      <c r="H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98" s="2">
        <f>IFERROR(INDEX(FILTER(tblScheduleData[ValidationState],tblScheduleData[OperationalDate]=SelectedDate),ROWS($A$8:A198)),"")</f>
        <v/>
      </c>
    </row>
    <row r="199">
      <c r="A199" s="2">
        <f>IFERROR(INDEX(FILTER(tblScheduleData[EmployeeID],tblScheduleData[OperationalDate]=SelectedDate),ROWS($A$8:A199)),"")</f>
        <v/>
      </c>
      <c r="B199" s="2">
        <f>IFERROR(INDEX(FILTER(tblScheduleData[Name],tblScheduleData[OperationalDate]=SelectedDate),ROWS($A$8:A199)),"")</f>
        <v/>
      </c>
      <c r="C199" s="2">
        <f>IFERROR(INDEX(FILTER(tblScheduleData[ContractualHours],tblScheduleData[OperationalDate]=SelectedDate),ROWS($A$8:A199)),"")</f>
        <v/>
      </c>
      <c r="D199" s="2">
        <f>IFERROR(INDEX(FILTER(tblScheduleData[ActivityCode],tblScheduleData[OperationalDate]=SelectedDate),ROWS($A$8:A199)),"")</f>
        <v/>
      </c>
      <c r="E199" s="4">
        <f>IF(Calc_Engine!A199="","",SelectedDate)</f>
        <v/>
      </c>
      <c r="F199" s="5">
        <f>IFERROR(INDEX(FILTER(tblScheduleData[ShiftStart],tblScheduleData[OperationalDate]=SelectedDate),ROWS($A$8:A199)),"")</f>
        <v/>
      </c>
      <c r="G199" s="5">
        <f>IFERROR(INDEX(FILTER(tblScheduleData[ShiftEnd],tblScheduleData[OperationalDate]=SelectedDate),ROWS($A$8:A199)),"")</f>
        <v/>
      </c>
      <c r="H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199" s="2">
        <f>IFERROR(INDEX(FILTER(tblScheduleData[ValidationState],tblScheduleData[OperationalDate]=SelectedDate),ROWS($A$8:A199)),"")</f>
        <v/>
      </c>
    </row>
    <row r="200">
      <c r="A200" s="2">
        <f>IFERROR(INDEX(FILTER(tblScheduleData[EmployeeID],tblScheduleData[OperationalDate]=SelectedDate),ROWS($A$8:A200)),"")</f>
        <v/>
      </c>
      <c r="B200" s="2">
        <f>IFERROR(INDEX(FILTER(tblScheduleData[Name],tblScheduleData[OperationalDate]=SelectedDate),ROWS($A$8:A200)),"")</f>
        <v/>
      </c>
      <c r="C200" s="2">
        <f>IFERROR(INDEX(FILTER(tblScheduleData[ContractualHours],tblScheduleData[OperationalDate]=SelectedDate),ROWS($A$8:A200)),"")</f>
        <v/>
      </c>
      <c r="D200" s="2">
        <f>IFERROR(INDEX(FILTER(tblScheduleData[ActivityCode],tblScheduleData[OperationalDate]=SelectedDate),ROWS($A$8:A200)),"")</f>
        <v/>
      </c>
      <c r="E200" s="4">
        <f>IF(Calc_Engine!A200="","",SelectedDate)</f>
        <v/>
      </c>
      <c r="F200" s="5">
        <f>IFERROR(INDEX(FILTER(tblScheduleData[ShiftStart],tblScheduleData[OperationalDate]=SelectedDate),ROWS($A$8:A200)),"")</f>
        <v/>
      </c>
      <c r="G200" s="5">
        <f>IFERROR(INDEX(FILTER(tblScheduleData[ShiftEnd],tblScheduleData[OperationalDate]=SelectedDate),ROWS($A$8:A200)),"")</f>
        <v/>
      </c>
      <c r="H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00" s="2">
        <f>IFERROR(INDEX(FILTER(tblScheduleData[ValidationState],tblScheduleData[OperationalDate]=SelectedDate),ROWS($A$8:A200)),"")</f>
        <v/>
      </c>
    </row>
    <row r="201">
      <c r="A201" s="2">
        <f>IFERROR(INDEX(FILTER(tblScheduleData[EmployeeID],tblScheduleData[OperationalDate]=SelectedDate),ROWS($A$8:A201)),"")</f>
        <v/>
      </c>
      <c r="B201" s="2">
        <f>IFERROR(INDEX(FILTER(tblScheduleData[Name],tblScheduleData[OperationalDate]=SelectedDate),ROWS($A$8:A201)),"")</f>
        <v/>
      </c>
      <c r="C201" s="2">
        <f>IFERROR(INDEX(FILTER(tblScheduleData[ContractualHours],tblScheduleData[OperationalDate]=SelectedDate),ROWS($A$8:A201)),"")</f>
        <v/>
      </c>
      <c r="D201" s="2">
        <f>IFERROR(INDEX(FILTER(tblScheduleData[ActivityCode],tblScheduleData[OperationalDate]=SelectedDate),ROWS($A$8:A201)),"")</f>
        <v/>
      </c>
      <c r="E201" s="4">
        <f>IF(Calc_Engine!A201="","",SelectedDate)</f>
        <v/>
      </c>
      <c r="F201" s="5">
        <f>IFERROR(INDEX(FILTER(tblScheduleData[ShiftStart],tblScheduleData[OperationalDate]=SelectedDate),ROWS($A$8:A201)),"")</f>
        <v/>
      </c>
      <c r="G201" s="5">
        <f>IFERROR(INDEX(FILTER(tblScheduleData[ShiftEnd],tblScheduleData[OperationalDate]=SelectedDate),ROWS($A$8:A201)),"")</f>
        <v/>
      </c>
      <c r="H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01" s="2">
        <f>IFERROR(INDEX(FILTER(tblScheduleData[ValidationState],tblScheduleData[OperationalDate]=SelectedDate),ROWS($A$8:A201)),"")</f>
        <v/>
      </c>
    </row>
    <row r="202">
      <c r="A202" s="2">
        <f>IFERROR(INDEX(FILTER(tblScheduleData[EmployeeID],tblScheduleData[OperationalDate]=SelectedDate),ROWS($A$8:A202)),"")</f>
        <v/>
      </c>
      <c r="B202" s="2">
        <f>IFERROR(INDEX(FILTER(tblScheduleData[Name],tblScheduleData[OperationalDate]=SelectedDate),ROWS($A$8:A202)),"")</f>
        <v/>
      </c>
      <c r="C202" s="2">
        <f>IFERROR(INDEX(FILTER(tblScheduleData[ContractualHours],tblScheduleData[OperationalDate]=SelectedDate),ROWS($A$8:A202)),"")</f>
        <v/>
      </c>
      <c r="D202" s="2">
        <f>IFERROR(INDEX(FILTER(tblScheduleData[ActivityCode],tblScheduleData[OperationalDate]=SelectedDate),ROWS($A$8:A202)),"")</f>
        <v/>
      </c>
      <c r="E202" s="4">
        <f>IF(Calc_Engine!A202="","",SelectedDate)</f>
        <v/>
      </c>
      <c r="F202" s="5">
        <f>IFERROR(INDEX(FILTER(tblScheduleData[ShiftStart],tblScheduleData[OperationalDate]=SelectedDate),ROWS($A$8:A202)),"")</f>
        <v/>
      </c>
      <c r="G202" s="5">
        <f>IFERROR(INDEX(FILTER(tblScheduleData[ShiftEnd],tblScheduleData[OperationalDate]=SelectedDate),ROWS($A$8:A202)),"")</f>
        <v/>
      </c>
      <c r="H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02" s="2">
        <f>IFERROR(INDEX(FILTER(tblScheduleData[ValidationState],tblScheduleData[OperationalDate]=SelectedDate),ROWS($A$8:A202)),"")</f>
        <v/>
      </c>
    </row>
    <row r="203">
      <c r="A203" s="2">
        <f>IFERROR(INDEX(FILTER(tblScheduleData[EmployeeID],tblScheduleData[OperationalDate]=SelectedDate),ROWS($A$8:A203)),"")</f>
        <v/>
      </c>
      <c r="B203" s="2">
        <f>IFERROR(INDEX(FILTER(tblScheduleData[Name],tblScheduleData[OperationalDate]=SelectedDate),ROWS($A$8:A203)),"")</f>
        <v/>
      </c>
      <c r="C203" s="2">
        <f>IFERROR(INDEX(FILTER(tblScheduleData[ContractualHours],tblScheduleData[OperationalDate]=SelectedDate),ROWS($A$8:A203)),"")</f>
        <v/>
      </c>
      <c r="D203" s="2">
        <f>IFERROR(INDEX(FILTER(tblScheduleData[ActivityCode],tblScheduleData[OperationalDate]=SelectedDate),ROWS($A$8:A203)),"")</f>
        <v/>
      </c>
      <c r="E203" s="4">
        <f>IF(Calc_Engine!A203="","",SelectedDate)</f>
        <v/>
      </c>
      <c r="F203" s="5">
        <f>IFERROR(INDEX(FILTER(tblScheduleData[ShiftStart],tblScheduleData[OperationalDate]=SelectedDate),ROWS($A$8:A203)),"")</f>
        <v/>
      </c>
      <c r="G203" s="5">
        <f>IFERROR(INDEX(FILTER(tblScheduleData[ShiftEnd],tblScheduleData[OperationalDate]=SelectedDate),ROWS($A$8:A203)),"")</f>
        <v/>
      </c>
      <c r="H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03" s="2">
        <f>IFERROR(INDEX(FILTER(tblScheduleData[ValidationState],tblScheduleData[OperationalDate]=SelectedDate),ROWS($A$8:A203)),"")</f>
        <v/>
      </c>
    </row>
    <row r="204">
      <c r="A204" s="2">
        <f>IFERROR(INDEX(FILTER(tblScheduleData[EmployeeID],tblScheduleData[OperationalDate]=SelectedDate),ROWS($A$8:A204)),"")</f>
        <v/>
      </c>
      <c r="B204" s="2">
        <f>IFERROR(INDEX(FILTER(tblScheduleData[Name],tblScheduleData[OperationalDate]=SelectedDate),ROWS($A$8:A204)),"")</f>
        <v/>
      </c>
      <c r="C204" s="2">
        <f>IFERROR(INDEX(FILTER(tblScheduleData[ContractualHours],tblScheduleData[OperationalDate]=SelectedDate),ROWS($A$8:A204)),"")</f>
        <v/>
      </c>
      <c r="D204" s="2">
        <f>IFERROR(INDEX(FILTER(tblScheduleData[ActivityCode],tblScheduleData[OperationalDate]=SelectedDate),ROWS($A$8:A204)),"")</f>
        <v/>
      </c>
      <c r="E204" s="4">
        <f>IF(Calc_Engine!A204="","",SelectedDate)</f>
        <v/>
      </c>
      <c r="F204" s="5">
        <f>IFERROR(INDEX(FILTER(tblScheduleData[ShiftStart],tblScheduleData[OperationalDate]=SelectedDate),ROWS($A$8:A204)),"")</f>
        <v/>
      </c>
      <c r="G204" s="5">
        <f>IFERROR(INDEX(FILTER(tblScheduleData[ShiftEnd],tblScheduleData[OperationalDate]=SelectedDate),ROWS($A$8:A204)),"")</f>
        <v/>
      </c>
      <c r="H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04" s="2">
        <f>IFERROR(INDEX(FILTER(tblScheduleData[ValidationState],tblScheduleData[OperationalDate]=SelectedDate),ROWS($A$8:A204)),"")</f>
        <v/>
      </c>
    </row>
    <row r="205">
      <c r="A205" s="2">
        <f>IFERROR(INDEX(FILTER(tblScheduleData[EmployeeID],tblScheduleData[OperationalDate]=SelectedDate),ROWS($A$8:A205)),"")</f>
        <v/>
      </c>
      <c r="B205" s="2">
        <f>IFERROR(INDEX(FILTER(tblScheduleData[Name],tblScheduleData[OperationalDate]=SelectedDate),ROWS($A$8:A205)),"")</f>
        <v/>
      </c>
      <c r="C205" s="2">
        <f>IFERROR(INDEX(FILTER(tblScheduleData[ContractualHours],tblScheduleData[OperationalDate]=SelectedDate),ROWS($A$8:A205)),"")</f>
        <v/>
      </c>
      <c r="D205" s="2">
        <f>IFERROR(INDEX(FILTER(tblScheduleData[ActivityCode],tblScheduleData[OperationalDate]=SelectedDate),ROWS($A$8:A205)),"")</f>
        <v/>
      </c>
      <c r="E205" s="4">
        <f>IF(Calc_Engine!A205="","",SelectedDate)</f>
        <v/>
      </c>
      <c r="F205" s="5">
        <f>IFERROR(INDEX(FILTER(tblScheduleData[ShiftStart],tblScheduleData[OperationalDate]=SelectedDate),ROWS($A$8:A205)),"")</f>
        <v/>
      </c>
      <c r="G205" s="5">
        <f>IFERROR(INDEX(FILTER(tblScheduleData[ShiftEnd],tblScheduleData[OperationalDate]=SelectedDate),ROWS($A$8:A205)),"")</f>
        <v/>
      </c>
      <c r="H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05" s="2">
        <f>IFERROR(INDEX(FILTER(tblScheduleData[ValidationState],tblScheduleData[OperationalDate]=SelectedDate),ROWS($A$8:A205)),"")</f>
        <v/>
      </c>
    </row>
    <row r="206">
      <c r="A206" s="2">
        <f>IFERROR(INDEX(FILTER(tblScheduleData[EmployeeID],tblScheduleData[OperationalDate]=SelectedDate),ROWS($A$8:A206)),"")</f>
        <v/>
      </c>
      <c r="B206" s="2">
        <f>IFERROR(INDEX(FILTER(tblScheduleData[Name],tblScheduleData[OperationalDate]=SelectedDate),ROWS($A$8:A206)),"")</f>
        <v/>
      </c>
      <c r="C206" s="2">
        <f>IFERROR(INDEX(FILTER(tblScheduleData[ContractualHours],tblScheduleData[OperationalDate]=SelectedDate),ROWS($A$8:A206)),"")</f>
        <v/>
      </c>
      <c r="D206" s="2">
        <f>IFERROR(INDEX(FILTER(tblScheduleData[ActivityCode],tblScheduleData[OperationalDate]=SelectedDate),ROWS($A$8:A206)),"")</f>
        <v/>
      </c>
      <c r="E206" s="4">
        <f>IF(Calc_Engine!A206="","",SelectedDate)</f>
        <v/>
      </c>
      <c r="F206" s="5">
        <f>IFERROR(INDEX(FILTER(tblScheduleData[ShiftStart],tblScheduleData[OperationalDate]=SelectedDate),ROWS($A$8:A206)),"")</f>
        <v/>
      </c>
      <c r="G206" s="5">
        <f>IFERROR(INDEX(FILTER(tblScheduleData[ShiftEnd],tblScheduleData[OperationalDate]=SelectedDate),ROWS($A$8:A206)),"")</f>
        <v/>
      </c>
      <c r="H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06" s="2">
        <f>IFERROR(INDEX(FILTER(tblScheduleData[ValidationState],tblScheduleData[OperationalDate]=SelectedDate),ROWS($A$8:A206)),"")</f>
        <v/>
      </c>
    </row>
    <row r="207">
      <c r="A207" s="2">
        <f>IFERROR(INDEX(FILTER(tblScheduleData[EmployeeID],tblScheduleData[OperationalDate]=SelectedDate),ROWS($A$8:A207)),"")</f>
        <v/>
      </c>
      <c r="B207" s="2">
        <f>IFERROR(INDEX(FILTER(tblScheduleData[Name],tblScheduleData[OperationalDate]=SelectedDate),ROWS($A$8:A207)),"")</f>
        <v/>
      </c>
      <c r="C207" s="2">
        <f>IFERROR(INDEX(FILTER(tblScheduleData[ContractualHours],tblScheduleData[OperationalDate]=SelectedDate),ROWS($A$8:A207)),"")</f>
        <v/>
      </c>
      <c r="D207" s="2">
        <f>IFERROR(INDEX(FILTER(tblScheduleData[ActivityCode],tblScheduleData[OperationalDate]=SelectedDate),ROWS($A$8:A207)),"")</f>
        <v/>
      </c>
      <c r="E207" s="4">
        <f>IF(Calc_Engine!A207="","",SelectedDate)</f>
        <v/>
      </c>
      <c r="F207" s="5">
        <f>IFERROR(INDEX(FILTER(tblScheduleData[ShiftStart],tblScheduleData[OperationalDate]=SelectedDate),ROWS($A$8:A207)),"")</f>
        <v/>
      </c>
      <c r="G207" s="5">
        <f>IFERROR(INDEX(FILTER(tblScheduleData[ShiftEnd],tblScheduleData[OperationalDate]=SelectedDate),ROWS($A$8:A207)),"")</f>
        <v/>
      </c>
      <c r="H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07" s="2">
        <f>IFERROR(INDEX(FILTER(tblScheduleData[ValidationState],tblScheduleData[OperationalDate]=SelectedDate),ROWS($A$8:A207)),"")</f>
        <v/>
      </c>
    </row>
    <row r="208">
      <c r="A208" s="2">
        <f>IFERROR(INDEX(FILTER(tblScheduleData[EmployeeID],tblScheduleData[OperationalDate]=SelectedDate),ROWS($A$8:A208)),"")</f>
        <v/>
      </c>
      <c r="B208" s="2">
        <f>IFERROR(INDEX(FILTER(tblScheduleData[Name],tblScheduleData[OperationalDate]=SelectedDate),ROWS($A$8:A208)),"")</f>
        <v/>
      </c>
      <c r="C208" s="2">
        <f>IFERROR(INDEX(FILTER(tblScheduleData[ContractualHours],tblScheduleData[OperationalDate]=SelectedDate),ROWS($A$8:A208)),"")</f>
        <v/>
      </c>
      <c r="D208" s="2">
        <f>IFERROR(INDEX(FILTER(tblScheduleData[ActivityCode],tblScheduleData[OperationalDate]=SelectedDate),ROWS($A$8:A208)),"")</f>
        <v/>
      </c>
      <c r="E208" s="4">
        <f>IF(Calc_Engine!A208="","",SelectedDate)</f>
        <v/>
      </c>
      <c r="F208" s="5">
        <f>IFERROR(INDEX(FILTER(tblScheduleData[ShiftStart],tblScheduleData[OperationalDate]=SelectedDate),ROWS($A$8:A208)),"")</f>
        <v/>
      </c>
      <c r="G208" s="5">
        <f>IFERROR(INDEX(FILTER(tblScheduleData[ShiftEnd],tblScheduleData[OperationalDate]=SelectedDate),ROWS($A$8:A208)),"")</f>
        <v/>
      </c>
      <c r="H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08" s="2">
        <f>IFERROR(INDEX(FILTER(tblScheduleData[ValidationState],tblScheduleData[OperationalDate]=SelectedDate),ROWS($A$8:A208)),"")</f>
        <v/>
      </c>
    </row>
    <row r="209">
      <c r="A209" s="2">
        <f>IFERROR(INDEX(FILTER(tblScheduleData[EmployeeID],tblScheduleData[OperationalDate]=SelectedDate),ROWS($A$8:A209)),"")</f>
        <v/>
      </c>
      <c r="B209" s="2">
        <f>IFERROR(INDEX(FILTER(tblScheduleData[Name],tblScheduleData[OperationalDate]=SelectedDate),ROWS($A$8:A209)),"")</f>
        <v/>
      </c>
      <c r="C209" s="2">
        <f>IFERROR(INDEX(FILTER(tblScheduleData[ContractualHours],tblScheduleData[OperationalDate]=SelectedDate),ROWS($A$8:A209)),"")</f>
        <v/>
      </c>
      <c r="D209" s="2">
        <f>IFERROR(INDEX(FILTER(tblScheduleData[ActivityCode],tblScheduleData[OperationalDate]=SelectedDate),ROWS($A$8:A209)),"")</f>
        <v/>
      </c>
      <c r="E209" s="4">
        <f>IF(Calc_Engine!A209="","",SelectedDate)</f>
        <v/>
      </c>
      <c r="F209" s="5">
        <f>IFERROR(INDEX(FILTER(tblScheduleData[ShiftStart],tblScheduleData[OperationalDate]=SelectedDate),ROWS($A$8:A209)),"")</f>
        <v/>
      </c>
      <c r="G209" s="5">
        <f>IFERROR(INDEX(FILTER(tblScheduleData[ShiftEnd],tblScheduleData[OperationalDate]=SelectedDate),ROWS($A$8:A209)),"")</f>
        <v/>
      </c>
      <c r="H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09" s="2">
        <f>IFERROR(INDEX(FILTER(tblScheduleData[ValidationState],tblScheduleData[OperationalDate]=SelectedDate),ROWS($A$8:A209)),"")</f>
        <v/>
      </c>
    </row>
    <row r="210">
      <c r="A210" s="2">
        <f>IFERROR(INDEX(FILTER(tblScheduleData[EmployeeID],tblScheduleData[OperationalDate]=SelectedDate),ROWS($A$8:A210)),"")</f>
        <v/>
      </c>
      <c r="B210" s="2">
        <f>IFERROR(INDEX(FILTER(tblScheduleData[Name],tblScheduleData[OperationalDate]=SelectedDate),ROWS($A$8:A210)),"")</f>
        <v/>
      </c>
      <c r="C210" s="2">
        <f>IFERROR(INDEX(FILTER(tblScheduleData[ContractualHours],tblScheduleData[OperationalDate]=SelectedDate),ROWS($A$8:A210)),"")</f>
        <v/>
      </c>
      <c r="D210" s="2">
        <f>IFERROR(INDEX(FILTER(tblScheduleData[ActivityCode],tblScheduleData[OperationalDate]=SelectedDate),ROWS($A$8:A210)),"")</f>
        <v/>
      </c>
      <c r="E210" s="4">
        <f>IF(Calc_Engine!A210="","",SelectedDate)</f>
        <v/>
      </c>
      <c r="F210" s="5">
        <f>IFERROR(INDEX(FILTER(tblScheduleData[ShiftStart],tblScheduleData[OperationalDate]=SelectedDate),ROWS($A$8:A210)),"")</f>
        <v/>
      </c>
      <c r="G210" s="5">
        <f>IFERROR(INDEX(FILTER(tblScheduleData[ShiftEnd],tblScheduleData[OperationalDate]=SelectedDate),ROWS($A$8:A210)),"")</f>
        <v/>
      </c>
      <c r="H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10" s="2">
        <f>IFERROR(INDEX(FILTER(tblScheduleData[ValidationState],tblScheduleData[OperationalDate]=SelectedDate),ROWS($A$8:A210)),"")</f>
        <v/>
      </c>
    </row>
    <row r="211">
      <c r="A211" s="2">
        <f>IFERROR(INDEX(FILTER(tblScheduleData[EmployeeID],tblScheduleData[OperationalDate]=SelectedDate),ROWS($A$8:A211)),"")</f>
        <v/>
      </c>
      <c r="B211" s="2">
        <f>IFERROR(INDEX(FILTER(tblScheduleData[Name],tblScheduleData[OperationalDate]=SelectedDate),ROWS($A$8:A211)),"")</f>
        <v/>
      </c>
      <c r="C211" s="2">
        <f>IFERROR(INDEX(FILTER(tblScheduleData[ContractualHours],tblScheduleData[OperationalDate]=SelectedDate),ROWS($A$8:A211)),"")</f>
        <v/>
      </c>
      <c r="D211" s="2">
        <f>IFERROR(INDEX(FILTER(tblScheduleData[ActivityCode],tblScheduleData[OperationalDate]=SelectedDate),ROWS($A$8:A211)),"")</f>
        <v/>
      </c>
      <c r="E211" s="4">
        <f>IF(Calc_Engine!A211="","",SelectedDate)</f>
        <v/>
      </c>
      <c r="F211" s="5">
        <f>IFERROR(INDEX(FILTER(tblScheduleData[ShiftStart],tblScheduleData[OperationalDate]=SelectedDate),ROWS($A$8:A211)),"")</f>
        <v/>
      </c>
      <c r="G211" s="5">
        <f>IFERROR(INDEX(FILTER(tblScheduleData[ShiftEnd],tblScheduleData[OperationalDate]=SelectedDate),ROWS($A$8:A211)),"")</f>
        <v/>
      </c>
      <c r="H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11" s="2">
        <f>IFERROR(INDEX(FILTER(tblScheduleData[ValidationState],tblScheduleData[OperationalDate]=SelectedDate),ROWS($A$8:A211)),"")</f>
        <v/>
      </c>
    </row>
    <row r="212">
      <c r="A212" s="2">
        <f>IFERROR(INDEX(FILTER(tblScheduleData[EmployeeID],tblScheduleData[OperationalDate]=SelectedDate),ROWS($A$8:A212)),"")</f>
        <v/>
      </c>
      <c r="B212" s="2">
        <f>IFERROR(INDEX(FILTER(tblScheduleData[Name],tblScheduleData[OperationalDate]=SelectedDate),ROWS($A$8:A212)),"")</f>
        <v/>
      </c>
      <c r="C212" s="2">
        <f>IFERROR(INDEX(FILTER(tblScheduleData[ContractualHours],tblScheduleData[OperationalDate]=SelectedDate),ROWS($A$8:A212)),"")</f>
        <v/>
      </c>
      <c r="D212" s="2">
        <f>IFERROR(INDEX(FILTER(tblScheduleData[ActivityCode],tblScheduleData[OperationalDate]=SelectedDate),ROWS($A$8:A212)),"")</f>
        <v/>
      </c>
      <c r="E212" s="4">
        <f>IF(Calc_Engine!A212="","",SelectedDate)</f>
        <v/>
      </c>
      <c r="F212" s="5">
        <f>IFERROR(INDEX(FILTER(tblScheduleData[ShiftStart],tblScheduleData[OperationalDate]=SelectedDate),ROWS($A$8:A212)),"")</f>
        <v/>
      </c>
      <c r="G212" s="5">
        <f>IFERROR(INDEX(FILTER(tblScheduleData[ShiftEnd],tblScheduleData[OperationalDate]=SelectedDate),ROWS($A$8:A212)),"")</f>
        <v/>
      </c>
      <c r="H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12" s="2">
        <f>IFERROR(INDEX(FILTER(tblScheduleData[ValidationState],tblScheduleData[OperationalDate]=SelectedDate),ROWS($A$8:A212)),"")</f>
        <v/>
      </c>
    </row>
    <row r="213">
      <c r="A213" s="2">
        <f>IFERROR(INDEX(FILTER(tblScheduleData[EmployeeID],tblScheduleData[OperationalDate]=SelectedDate),ROWS($A$8:A213)),"")</f>
        <v/>
      </c>
      <c r="B213" s="2">
        <f>IFERROR(INDEX(FILTER(tblScheduleData[Name],tblScheduleData[OperationalDate]=SelectedDate),ROWS($A$8:A213)),"")</f>
        <v/>
      </c>
      <c r="C213" s="2">
        <f>IFERROR(INDEX(FILTER(tblScheduleData[ContractualHours],tblScheduleData[OperationalDate]=SelectedDate),ROWS($A$8:A213)),"")</f>
        <v/>
      </c>
      <c r="D213" s="2">
        <f>IFERROR(INDEX(FILTER(tblScheduleData[ActivityCode],tblScheduleData[OperationalDate]=SelectedDate),ROWS($A$8:A213)),"")</f>
        <v/>
      </c>
      <c r="E213" s="4">
        <f>IF(Calc_Engine!A213="","",SelectedDate)</f>
        <v/>
      </c>
      <c r="F213" s="5">
        <f>IFERROR(INDEX(FILTER(tblScheduleData[ShiftStart],tblScheduleData[OperationalDate]=SelectedDate),ROWS($A$8:A213)),"")</f>
        <v/>
      </c>
      <c r="G213" s="5">
        <f>IFERROR(INDEX(FILTER(tblScheduleData[ShiftEnd],tblScheduleData[OperationalDate]=SelectedDate),ROWS($A$8:A213)),"")</f>
        <v/>
      </c>
      <c r="H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13" s="2">
        <f>IFERROR(INDEX(FILTER(tblScheduleData[ValidationState],tblScheduleData[OperationalDate]=SelectedDate),ROWS($A$8:A213)),"")</f>
        <v/>
      </c>
    </row>
    <row r="214">
      <c r="A214" s="2">
        <f>IFERROR(INDEX(FILTER(tblScheduleData[EmployeeID],tblScheduleData[OperationalDate]=SelectedDate),ROWS($A$8:A214)),"")</f>
        <v/>
      </c>
      <c r="B214" s="2">
        <f>IFERROR(INDEX(FILTER(tblScheduleData[Name],tblScheduleData[OperationalDate]=SelectedDate),ROWS($A$8:A214)),"")</f>
        <v/>
      </c>
      <c r="C214" s="2">
        <f>IFERROR(INDEX(FILTER(tblScheduleData[ContractualHours],tblScheduleData[OperationalDate]=SelectedDate),ROWS($A$8:A214)),"")</f>
        <v/>
      </c>
      <c r="D214" s="2">
        <f>IFERROR(INDEX(FILTER(tblScheduleData[ActivityCode],tblScheduleData[OperationalDate]=SelectedDate),ROWS($A$8:A214)),"")</f>
        <v/>
      </c>
      <c r="E214" s="4">
        <f>IF(Calc_Engine!A214="","",SelectedDate)</f>
        <v/>
      </c>
      <c r="F214" s="5">
        <f>IFERROR(INDEX(FILTER(tblScheduleData[ShiftStart],tblScheduleData[OperationalDate]=SelectedDate),ROWS($A$8:A214)),"")</f>
        <v/>
      </c>
      <c r="G214" s="5">
        <f>IFERROR(INDEX(FILTER(tblScheduleData[ShiftEnd],tblScheduleData[OperationalDate]=SelectedDate),ROWS($A$8:A214)),"")</f>
        <v/>
      </c>
      <c r="H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14" s="2">
        <f>IFERROR(INDEX(FILTER(tblScheduleData[ValidationState],tblScheduleData[OperationalDate]=SelectedDate),ROWS($A$8:A214)),"")</f>
        <v/>
      </c>
    </row>
    <row r="215">
      <c r="A215" s="2">
        <f>IFERROR(INDEX(FILTER(tblScheduleData[EmployeeID],tblScheduleData[OperationalDate]=SelectedDate),ROWS($A$8:A215)),"")</f>
        <v/>
      </c>
      <c r="B215" s="2">
        <f>IFERROR(INDEX(FILTER(tblScheduleData[Name],tblScheduleData[OperationalDate]=SelectedDate),ROWS($A$8:A215)),"")</f>
        <v/>
      </c>
      <c r="C215" s="2">
        <f>IFERROR(INDEX(FILTER(tblScheduleData[ContractualHours],tblScheduleData[OperationalDate]=SelectedDate),ROWS($A$8:A215)),"")</f>
        <v/>
      </c>
      <c r="D215" s="2">
        <f>IFERROR(INDEX(FILTER(tblScheduleData[ActivityCode],tblScheduleData[OperationalDate]=SelectedDate),ROWS($A$8:A215)),"")</f>
        <v/>
      </c>
      <c r="E215" s="4">
        <f>IF(Calc_Engine!A215="","",SelectedDate)</f>
        <v/>
      </c>
      <c r="F215" s="5">
        <f>IFERROR(INDEX(FILTER(tblScheduleData[ShiftStart],tblScheduleData[OperationalDate]=SelectedDate),ROWS($A$8:A215)),"")</f>
        <v/>
      </c>
      <c r="G215" s="5">
        <f>IFERROR(INDEX(FILTER(tblScheduleData[ShiftEnd],tblScheduleData[OperationalDate]=SelectedDate),ROWS($A$8:A215)),"")</f>
        <v/>
      </c>
      <c r="H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15" s="2">
        <f>IFERROR(INDEX(FILTER(tblScheduleData[ValidationState],tblScheduleData[OperationalDate]=SelectedDate),ROWS($A$8:A215)),"")</f>
        <v/>
      </c>
    </row>
    <row r="216">
      <c r="A216" s="2">
        <f>IFERROR(INDEX(FILTER(tblScheduleData[EmployeeID],tblScheduleData[OperationalDate]=SelectedDate),ROWS($A$8:A216)),"")</f>
        <v/>
      </c>
      <c r="B216" s="2">
        <f>IFERROR(INDEX(FILTER(tblScheduleData[Name],tblScheduleData[OperationalDate]=SelectedDate),ROWS($A$8:A216)),"")</f>
        <v/>
      </c>
      <c r="C216" s="2">
        <f>IFERROR(INDEX(FILTER(tblScheduleData[ContractualHours],tblScheduleData[OperationalDate]=SelectedDate),ROWS($A$8:A216)),"")</f>
        <v/>
      </c>
      <c r="D216" s="2">
        <f>IFERROR(INDEX(FILTER(tblScheduleData[ActivityCode],tblScheduleData[OperationalDate]=SelectedDate),ROWS($A$8:A216)),"")</f>
        <v/>
      </c>
      <c r="E216" s="4">
        <f>IF(Calc_Engine!A216="","",SelectedDate)</f>
        <v/>
      </c>
      <c r="F216" s="5">
        <f>IFERROR(INDEX(FILTER(tblScheduleData[ShiftStart],tblScheduleData[OperationalDate]=SelectedDate),ROWS($A$8:A216)),"")</f>
        <v/>
      </c>
      <c r="G216" s="5">
        <f>IFERROR(INDEX(FILTER(tblScheduleData[ShiftEnd],tblScheduleData[OperationalDate]=SelectedDate),ROWS($A$8:A216)),"")</f>
        <v/>
      </c>
      <c r="H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16" s="2">
        <f>IFERROR(INDEX(FILTER(tblScheduleData[ValidationState],tblScheduleData[OperationalDate]=SelectedDate),ROWS($A$8:A216)),"")</f>
        <v/>
      </c>
    </row>
    <row r="217">
      <c r="A217" s="2">
        <f>IFERROR(INDEX(FILTER(tblScheduleData[EmployeeID],tblScheduleData[OperationalDate]=SelectedDate),ROWS($A$8:A217)),"")</f>
        <v/>
      </c>
      <c r="B217" s="2">
        <f>IFERROR(INDEX(FILTER(tblScheduleData[Name],tblScheduleData[OperationalDate]=SelectedDate),ROWS($A$8:A217)),"")</f>
        <v/>
      </c>
      <c r="C217" s="2">
        <f>IFERROR(INDEX(FILTER(tblScheduleData[ContractualHours],tblScheduleData[OperationalDate]=SelectedDate),ROWS($A$8:A217)),"")</f>
        <v/>
      </c>
      <c r="D217" s="2">
        <f>IFERROR(INDEX(FILTER(tblScheduleData[ActivityCode],tblScheduleData[OperationalDate]=SelectedDate),ROWS($A$8:A217)),"")</f>
        <v/>
      </c>
      <c r="E217" s="4">
        <f>IF(Calc_Engine!A217="","",SelectedDate)</f>
        <v/>
      </c>
      <c r="F217" s="5">
        <f>IFERROR(INDEX(FILTER(tblScheduleData[ShiftStart],tblScheduleData[OperationalDate]=SelectedDate),ROWS($A$8:A217)),"")</f>
        <v/>
      </c>
      <c r="G217" s="5">
        <f>IFERROR(INDEX(FILTER(tblScheduleData[ShiftEnd],tblScheduleData[OperationalDate]=SelectedDate),ROWS($A$8:A217)),"")</f>
        <v/>
      </c>
      <c r="H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17" s="2">
        <f>IFERROR(INDEX(FILTER(tblScheduleData[ValidationState],tblScheduleData[OperationalDate]=SelectedDate),ROWS($A$8:A217)),"")</f>
        <v/>
      </c>
    </row>
    <row r="218">
      <c r="A218" s="2">
        <f>IFERROR(INDEX(FILTER(tblScheduleData[EmployeeID],tblScheduleData[OperationalDate]=SelectedDate),ROWS($A$8:A218)),"")</f>
        <v/>
      </c>
      <c r="B218" s="2">
        <f>IFERROR(INDEX(FILTER(tblScheduleData[Name],tblScheduleData[OperationalDate]=SelectedDate),ROWS($A$8:A218)),"")</f>
        <v/>
      </c>
      <c r="C218" s="2">
        <f>IFERROR(INDEX(FILTER(tblScheduleData[ContractualHours],tblScheduleData[OperationalDate]=SelectedDate),ROWS($A$8:A218)),"")</f>
        <v/>
      </c>
      <c r="D218" s="2">
        <f>IFERROR(INDEX(FILTER(tblScheduleData[ActivityCode],tblScheduleData[OperationalDate]=SelectedDate),ROWS($A$8:A218)),"")</f>
        <v/>
      </c>
      <c r="E218" s="4">
        <f>IF(Calc_Engine!A218="","",SelectedDate)</f>
        <v/>
      </c>
      <c r="F218" s="5">
        <f>IFERROR(INDEX(FILTER(tblScheduleData[ShiftStart],tblScheduleData[OperationalDate]=SelectedDate),ROWS($A$8:A218)),"")</f>
        <v/>
      </c>
      <c r="G218" s="5">
        <f>IFERROR(INDEX(FILTER(tblScheduleData[ShiftEnd],tblScheduleData[OperationalDate]=SelectedDate),ROWS($A$8:A218)),"")</f>
        <v/>
      </c>
      <c r="H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18" s="2">
        <f>IFERROR(INDEX(FILTER(tblScheduleData[ValidationState],tblScheduleData[OperationalDate]=SelectedDate),ROWS($A$8:A218)),"")</f>
        <v/>
      </c>
    </row>
    <row r="219">
      <c r="A219" s="2">
        <f>IFERROR(INDEX(FILTER(tblScheduleData[EmployeeID],tblScheduleData[OperationalDate]=SelectedDate),ROWS($A$8:A219)),"")</f>
        <v/>
      </c>
      <c r="B219" s="2">
        <f>IFERROR(INDEX(FILTER(tblScheduleData[Name],tblScheduleData[OperationalDate]=SelectedDate),ROWS($A$8:A219)),"")</f>
        <v/>
      </c>
      <c r="C219" s="2">
        <f>IFERROR(INDEX(FILTER(tblScheduleData[ContractualHours],tblScheduleData[OperationalDate]=SelectedDate),ROWS($A$8:A219)),"")</f>
        <v/>
      </c>
      <c r="D219" s="2">
        <f>IFERROR(INDEX(FILTER(tblScheduleData[ActivityCode],tblScheduleData[OperationalDate]=SelectedDate),ROWS($A$8:A219)),"")</f>
        <v/>
      </c>
      <c r="E219" s="4">
        <f>IF(Calc_Engine!A219="","",SelectedDate)</f>
        <v/>
      </c>
      <c r="F219" s="5">
        <f>IFERROR(INDEX(FILTER(tblScheduleData[ShiftStart],tblScheduleData[OperationalDate]=SelectedDate),ROWS($A$8:A219)),"")</f>
        <v/>
      </c>
      <c r="G219" s="5">
        <f>IFERROR(INDEX(FILTER(tblScheduleData[ShiftEnd],tblScheduleData[OperationalDate]=SelectedDate),ROWS($A$8:A219)),"")</f>
        <v/>
      </c>
      <c r="H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19" s="2">
        <f>IFERROR(INDEX(FILTER(tblScheduleData[ValidationState],tblScheduleData[OperationalDate]=SelectedDate),ROWS($A$8:A219)),"")</f>
        <v/>
      </c>
    </row>
    <row r="220">
      <c r="A220" s="2">
        <f>IFERROR(INDEX(FILTER(tblScheduleData[EmployeeID],tblScheduleData[OperationalDate]=SelectedDate),ROWS($A$8:A220)),"")</f>
        <v/>
      </c>
      <c r="B220" s="2">
        <f>IFERROR(INDEX(FILTER(tblScheduleData[Name],tblScheduleData[OperationalDate]=SelectedDate),ROWS($A$8:A220)),"")</f>
        <v/>
      </c>
      <c r="C220" s="2">
        <f>IFERROR(INDEX(FILTER(tblScheduleData[ContractualHours],tblScheduleData[OperationalDate]=SelectedDate),ROWS($A$8:A220)),"")</f>
        <v/>
      </c>
      <c r="D220" s="2">
        <f>IFERROR(INDEX(FILTER(tblScheduleData[ActivityCode],tblScheduleData[OperationalDate]=SelectedDate),ROWS($A$8:A220)),"")</f>
        <v/>
      </c>
      <c r="E220" s="4">
        <f>IF(Calc_Engine!A220="","",SelectedDate)</f>
        <v/>
      </c>
      <c r="F220" s="5">
        <f>IFERROR(INDEX(FILTER(tblScheduleData[ShiftStart],tblScheduleData[OperationalDate]=SelectedDate),ROWS($A$8:A220)),"")</f>
        <v/>
      </c>
      <c r="G220" s="5">
        <f>IFERROR(INDEX(FILTER(tblScheduleData[ShiftEnd],tblScheduleData[OperationalDate]=SelectedDate),ROWS($A$8:A220)),"")</f>
        <v/>
      </c>
      <c r="H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20" s="2">
        <f>IFERROR(INDEX(FILTER(tblScheduleData[ValidationState],tblScheduleData[OperationalDate]=SelectedDate),ROWS($A$8:A220)),"")</f>
        <v/>
      </c>
    </row>
    <row r="221">
      <c r="A221" s="2">
        <f>IFERROR(INDEX(FILTER(tblScheduleData[EmployeeID],tblScheduleData[OperationalDate]=SelectedDate),ROWS($A$8:A221)),"")</f>
        <v/>
      </c>
      <c r="B221" s="2">
        <f>IFERROR(INDEX(FILTER(tblScheduleData[Name],tblScheduleData[OperationalDate]=SelectedDate),ROWS($A$8:A221)),"")</f>
        <v/>
      </c>
      <c r="C221" s="2">
        <f>IFERROR(INDEX(FILTER(tblScheduleData[ContractualHours],tblScheduleData[OperationalDate]=SelectedDate),ROWS($A$8:A221)),"")</f>
        <v/>
      </c>
      <c r="D221" s="2">
        <f>IFERROR(INDEX(FILTER(tblScheduleData[ActivityCode],tblScheduleData[OperationalDate]=SelectedDate),ROWS($A$8:A221)),"")</f>
        <v/>
      </c>
      <c r="E221" s="4">
        <f>IF(Calc_Engine!A221="","",SelectedDate)</f>
        <v/>
      </c>
      <c r="F221" s="5">
        <f>IFERROR(INDEX(FILTER(tblScheduleData[ShiftStart],tblScheduleData[OperationalDate]=SelectedDate),ROWS($A$8:A221)),"")</f>
        <v/>
      </c>
      <c r="G221" s="5">
        <f>IFERROR(INDEX(FILTER(tblScheduleData[ShiftEnd],tblScheduleData[OperationalDate]=SelectedDate),ROWS($A$8:A221)),"")</f>
        <v/>
      </c>
      <c r="H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21" s="2">
        <f>IFERROR(INDEX(FILTER(tblScheduleData[ValidationState],tblScheduleData[OperationalDate]=SelectedDate),ROWS($A$8:A221)),"")</f>
        <v/>
      </c>
    </row>
    <row r="222">
      <c r="A222" s="2">
        <f>IFERROR(INDEX(FILTER(tblScheduleData[EmployeeID],tblScheduleData[OperationalDate]=SelectedDate),ROWS($A$8:A222)),"")</f>
        <v/>
      </c>
      <c r="B222" s="2">
        <f>IFERROR(INDEX(FILTER(tblScheduleData[Name],tblScheduleData[OperationalDate]=SelectedDate),ROWS($A$8:A222)),"")</f>
        <v/>
      </c>
      <c r="C222" s="2">
        <f>IFERROR(INDEX(FILTER(tblScheduleData[ContractualHours],tblScheduleData[OperationalDate]=SelectedDate),ROWS($A$8:A222)),"")</f>
        <v/>
      </c>
      <c r="D222" s="2">
        <f>IFERROR(INDEX(FILTER(tblScheduleData[ActivityCode],tblScheduleData[OperationalDate]=SelectedDate),ROWS($A$8:A222)),"")</f>
        <v/>
      </c>
      <c r="E222" s="4">
        <f>IF(Calc_Engine!A222="","",SelectedDate)</f>
        <v/>
      </c>
      <c r="F222" s="5">
        <f>IFERROR(INDEX(FILTER(tblScheduleData[ShiftStart],tblScheduleData[OperationalDate]=SelectedDate),ROWS($A$8:A222)),"")</f>
        <v/>
      </c>
      <c r="G222" s="5">
        <f>IFERROR(INDEX(FILTER(tblScheduleData[ShiftEnd],tblScheduleData[OperationalDate]=SelectedDate),ROWS($A$8:A222)),"")</f>
        <v/>
      </c>
      <c r="H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22" s="2">
        <f>IFERROR(INDEX(FILTER(tblScheduleData[ValidationState],tblScheduleData[OperationalDate]=SelectedDate),ROWS($A$8:A222)),"")</f>
        <v/>
      </c>
    </row>
    <row r="223">
      <c r="A223" s="2">
        <f>IFERROR(INDEX(FILTER(tblScheduleData[EmployeeID],tblScheduleData[OperationalDate]=SelectedDate),ROWS($A$8:A223)),"")</f>
        <v/>
      </c>
      <c r="B223" s="2">
        <f>IFERROR(INDEX(FILTER(tblScheduleData[Name],tblScheduleData[OperationalDate]=SelectedDate),ROWS($A$8:A223)),"")</f>
        <v/>
      </c>
      <c r="C223" s="2">
        <f>IFERROR(INDEX(FILTER(tblScheduleData[ContractualHours],tblScheduleData[OperationalDate]=SelectedDate),ROWS($A$8:A223)),"")</f>
        <v/>
      </c>
      <c r="D223" s="2">
        <f>IFERROR(INDEX(FILTER(tblScheduleData[ActivityCode],tblScheduleData[OperationalDate]=SelectedDate),ROWS($A$8:A223)),"")</f>
        <v/>
      </c>
      <c r="E223" s="4">
        <f>IF(Calc_Engine!A223="","",SelectedDate)</f>
        <v/>
      </c>
      <c r="F223" s="5">
        <f>IFERROR(INDEX(FILTER(tblScheduleData[ShiftStart],tblScheduleData[OperationalDate]=SelectedDate),ROWS($A$8:A223)),"")</f>
        <v/>
      </c>
      <c r="G223" s="5">
        <f>IFERROR(INDEX(FILTER(tblScheduleData[ShiftEnd],tblScheduleData[OperationalDate]=SelectedDate),ROWS($A$8:A223)),"")</f>
        <v/>
      </c>
      <c r="H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23" s="2">
        <f>IFERROR(INDEX(FILTER(tblScheduleData[ValidationState],tblScheduleData[OperationalDate]=SelectedDate),ROWS($A$8:A223)),"")</f>
        <v/>
      </c>
    </row>
    <row r="224">
      <c r="A224" s="2">
        <f>IFERROR(INDEX(FILTER(tblScheduleData[EmployeeID],tblScheduleData[OperationalDate]=SelectedDate),ROWS($A$8:A224)),"")</f>
        <v/>
      </c>
      <c r="B224" s="2">
        <f>IFERROR(INDEX(FILTER(tblScheduleData[Name],tblScheduleData[OperationalDate]=SelectedDate),ROWS($A$8:A224)),"")</f>
        <v/>
      </c>
      <c r="C224" s="2">
        <f>IFERROR(INDEX(FILTER(tblScheduleData[ContractualHours],tblScheduleData[OperationalDate]=SelectedDate),ROWS($A$8:A224)),"")</f>
        <v/>
      </c>
      <c r="D224" s="2">
        <f>IFERROR(INDEX(FILTER(tblScheduleData[ActivityCode],tblScheduleData[OperationalDate]=SelectedDate),ROWS($A$8:A224)),"")</f>
        <v/>
      </c>
      <c r="E224" s="4">
        <f>IF(Calc_Engine!A224="","",SelectedDate)</f>
        <v/>
      </c>
      <c r="F224" s="5">
        <f>IFERROR(INDEX(FILTER(tblScheduleData[ShiftStart],tblScheduleData[OperationalDate]=SelectedDate),ROWS($A$8:A224)),"")</f>
        <v/>
      </c>
      <c r="G224" s="5">
        <f>IFERROR(INDEX(FILTER(tblScheduleData[ShiftEnd],tblScheduleData[OperationalDate]=SelectedDate),ROWS($A$8:A224)),"")</f>
        <v/>
      </c>
      <c r="H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24" s="2">
        <f>IFERROR(INDEX(FILTER(tblScheduleData[ValidationState],tblScheduleData[OperationalDate]=SelectedDate),ROWS($A$8:A224)),"")</f>
        <v/>
      </c>
    </row>
    <row r="225">
      <c r="A225" s="2">
        <f>IFERROR(INDEX(FILTER(tblScheduleData[EmployeeID],tblScheduleData[OperationalDate]=SelectedDate),ROWS($A$8:A225)),"")</f>
        <v/>
      </c>
      <c r="B225" s="2">
        <f>IFERROR(INDEX(FILTER(tblScheduleData[Name],tblScheduleData[OperationalDate]=SelectedDate),ROWS($A$8:A225)),"")</f>
        <v/>
      </c>
      <c r="C225" s="2">
        <f>IFERROR(INDEX(FILTER(tblScheduleData[ContractualHours],tblScheduleData[OperationalDate]=SelectedDate),ROWS($A$8:A225)),"")</f>
        <v/>
      </c>
      <c r="D225" s="2">
        <f>IFERROR(INDEX(FILTER(tblScheduleData[ActivityCode],tblScheduleData[OperationalDate]=SelectedDate),ROWS($A$8:A225)),"")</f>
        <v/>
      </c>
      <c r="E225" s="4">
        <f>IF(Calc_Engine!A225="","",SelectedDate)</f>
        <v/>
      </c>
      <c r="F225" s="5">
        <f>IFERROR(INDEX(FILTER(tblScheduleData[ShiftStart],tblScheduleData[OperationalDate]=SelectedDate),ROWS($A$8:A225)),"")</f>
        <v/>
      </c>
      <c r="G225" s="5">
        <f>IFERROR(INDEX(FILTER(tblScheduleData[ShiftEnd],tblScheduleData[OperationalDate]=SelectedDate),ROWS($A$8:A225)),"")</f>
        <v/>
      </c>
      <c r="H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25" s="2">
        <f>IFERROR(INDEX(FILTER(tblScheduleData[ValidationState],tblScheduleData[OperationalDate]=SelectedDate),ROWS($A$8:A225)),"")</f>
        <v/>
      </c>
    </row>
    <row r="226">
      <c r="A226" s="2">
        <f>IFERROR(INDEX(FILTER(tblScheduleData[EmployeeID],tblScheduleData[OperationalDate]=SelectedDate),ROWS($A$8:A226)),"")</f>
        <v/>
      </c>
      <c r="B226" s="2">
        <f>IFERROR(INDEX(FILTER(tblScheduleData[Name],tblScheduleData[OperationalDate]=SelectedDate),ROWS($A$8:A226)),"")</f>
        <v/>
      </c>
      <c r="C226" s="2">
        <f>IFERROR(INDEX(FILTER(tblScheduleData[ContractualHours],tblScheduleData[OperationalDate]=SelectedDate),ROWS($A$8:A226)),"")</f>
        <v/>
      </c>
      <c r="D226" s="2">
        <f>IFERROR(INDEX(FILTER(tblScheduleData[ActivityCode],tblScheduleData[OperationalDate]=SelectedDate),ROWS($A$8:A226)),"")</f>
        <v/>
      </c>
      <c r="E226" s="4">
        <f>IF(Calc_Engine!A226="","",SelectedDate)</f>
        <v/>
      </c>
      <c r="F226" s="5">
        <f>IFERROR(INDEX(FILTER(tblScheduleData[ShiftStart],tblScheduleData[OperationalDate]=SelectedDate),ROWS($A$8:A226)),"")</f>
        <v/>
      </c>
      <c r="G226" s="5">
        <f>IFERROR(INDEX(FILTER(tblScheduleData[ShiftEnd],tblScheduleData[OperationalDate]=SelectedDate),ROWS($A$8:A226)),"")</f>
        <v/>
      </c>
      <c r="H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26" s="2">
        <f>IFERROR(INDEX(FILTER(tblScheduleData[ValidationState],tblScheduleData[OperationalDate]=SelectedDate),ROWS($A$8:A226)),"")</f>
        <v/>
      </c>
    </row>
    <row r="227">
      <c r="A227" s="2">
        <f>IFERROR(INDEX(FILTER(tblScheduleData[EmployeeID],tblScheduleData[OperationalDate]=SelectedDate),ROWS($A$8:A227)),"")</f>
        <v/>
      </c>
      <c r="B227" s="2">
        <f>IFERROR(INDEX(FILTER(tblScheduleData[Name],tblScheduleData[OperationalDate]=SelectedDate),ROWS($A$8:A227)),"")</f>
        <v/>
      </c>
      <c r="C227" s="2">
        <f>IFERROR(INDEX(FILTER(tblScheduleData[ContractualHours],tblScheduleData[OperationalDate]=SelectedDate),ROWS($A$8:A227)),"")</f>
        <v/>
      </c>
      <c r="D227" s="2">
        <f>IFERROR(INDEX(FILTER(tblScheduleData[ActivityCode],tblScheduleData[OperationalDate]=SelectedDate),ROWS($A$8:A227)),"")</f>
        <v/>
      </c>
      <c r="E227" s="4">
        <f>IF(Calc_Engine!A227="","",SelectedDate)</f>
        <v/>
      </c>
      <c r="F227" s="5">
        <f>IFERROR(INDEX(FILTER(tblScheduleData[ShiftStart],tblScheduleData[OperationalDate]=SelectedDate),ROWS($A$8:A227)),"")</f>
        <v/>
      </c>
      <c r="G227" s="5">
        <f>IFERROR(INDEX(FILTER(tblScheduleData[ShiftEnd],tblScheduleData[OperationalDate]=SelectedDate),ROWS($A$8:A227)),"")</f>
        <v/>
      </c>
      <c r="H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27" s="2">
        <f>IFERROR(INDEX(FILTER(tblScheduleData[ValidationState],tblScheduleData[OperationalDate]=SelectedDate),ROWS($A$8:A227)),"")</f>
        <v/>
      </c>
    </row>
    <row r="228">
      <c r="A228" s="2">
        <f>IFERROR(INDEX(FILTER(tblScheduleData[EmployeeID],tblScheduleData[OperationalDate]=SelectedDate),ROWS($A$8:A228)),"")</f>
        <v/>
      </c>
      <c r="B228" s="2">
        <f>IFERROR(INDEX(FILTER(tblScheduleData[Name],tblScheduleData[OperationalDate]=SelectedDate),ROWS($A$8:A228)),"")</f>
        <v/>
      </c>
      <c r="C228" s="2">
        <f>IFERROR(INDEX(FILTER(tblScheduleData[ContractualHours],tblScheduleData[OperationalDate]=SelectedDate),ROWS($A$8:A228)),"")</f>
        <v/>
      </c>
      <c r="D228" s="2">
        <f>IFERROR(INDEX(FILTER(tblScheduleData[ActivityCode],tblScheduleData[OperationalDate]=SelectedDate),ROWS($A$8:A228)),"")</f>
        <v/>
      </c>
      <c r="E228" s="4">
        <f>IF(Calc_Engine!A228="","",SelectedDate)</f>
        <v/>
      </c>
      <c r="F228" s="5">
        <f>IFERROR(INDEX(FILTER(tblScheduleData[ShiftStart],tblScheduleData[OperationalDate]=SelectedDate),ROWS($A$8:A228)),"")</f>
        <v/>
      </c>
      <c r="G228" s="5">
        <f>IFERROR(INDEX(FILTER(tblScheduleData[ShiftEnd],tblScheduleData[OperationalDate]=SelectedDate),ROWS($A$8:A228)),"")</f>
        <v/>
      </c>
      <c r="H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28" s="2">
        <f>IFERROR(INDEX(FILTER(tblScheduleData[ValidationState],tblScheduleData[OperationalDate]=SelectedDate),ROWS($A$8:A228)),"")</f>
        <v/>
      </c>
    </row>
    <row r="229">
      <c r="A229" s="2">
        <f>IFERROR(INDEX(FILTER(tblScheduleData[EmployeeID],tblScheduleData[OperationalDate]=SelectedDate),ROWS($A$8:A229)),"")</f>
        <v/>
      </c>
      <c r="B229" s="2">
        <f>IFERROR(INDEX(FILTER(tblScheduleData[Name],tblScheduleData[OperationalDate]=SelectedDate),ROWS($A$8:A229)),"")</f>
        <v/>
      </c>
      <c r="C229" s="2">
        <f>IFERROR(INDEX(FILTER(tblScheduleData[ContractualHours],tblScheduleData[OperationalDate]=SelectedDate),ROWS($A$8:A229)),"")</f>
        <v/>
      </c>
      <c r="D229" s="2">
        <f>IFERROR(INDEX(FILTER(tblScheduleData[ActivityCode],tblScheduleData[OperationalDate]=SelectedDate),ROWS($A$8:A229)),"")</f>
        <v/>
      </c>
      <c r="E229" s="4">
        <f>IF(Calc_Engine!A229="","",SelectedDate)</f>
        <v/>
      </c>
      <c r="F229" s="5">
        <f>IFERROR(INDEX(FILTER(tblScheduleData[ShiftStart],tblScheduleData[OperationalDate]=SelectedDate),ROWS($A$8:A229)),"")</f>
        <v/>
      </c>
      <c r="G229" s="5">
        <f>IFERROR(INDEX(FILTER(tblScheduleData[ShiftEnd],tblScheduleData[OperationalDate]=SelectedDate),ROWS($A$8:A229)),"")</f>
        <v/>
      </c>
      <c r="H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29" s="2">
        <f>IFERROR(INDEX(FILTER(tblScheduleData[ValidationState],tblScheduleData[OperationalDate]=SelectedDate),ROWS($A$8:A229)),"")</f>
        <v/>
      </c>
    </row>
    <row r="230">
      <c r="A230" s="2">
        <f>IFERROR(INDEX(FILTER(tblScheduleData[EmployeeID],tblScheduleData[OperationalDate]=SelectedDate),ROWS($A$8:A230)),"")</f>
        <v/>
      </c>
      <c r="B230" s="2">
        <f>IFERROR(INDEX(FILTER(tblScheduleData[Name],tblScheduleData[OperationalDate]=SelectedDate),ROWS($A$8:A230)),"")</f>
        <v/>
      </c>
      <c r="C230" s="2">
        <f>IFERROR(INDEX(FILTER(tblScheduleData[ContractualHours],tblScheduleData[OperationalDate]=SelectedDate),ROWS($A$8:A230)),"")</f>
        <v/>
      </c>
      <c r="D230" s="2">
        <f>IFERROR(INDEX(FILTER(tblScheduleData[ActivityCode],tblScheduleData[OperationalDate]=SelectedDate),ROWS($A$8:A230)),"")</f>
        <v/>
      </c>
      <c r="E230" s="4">
        <f>IF(Calc_Engine!A230="","",SelectedDate)</f>
        <v/>
      </c>
      <c r="F230" s="5">
        <f>IFERROR(INDEX(FILTER(tblScheduleData[ShiftStart],tblScheduleData[OperationalDate]=SelectedDate),ROWS($A$8:A230)),"")</f>
        <v/>
      </c>
      <c r="G230" s="5">
        <f>IFERROR(INDEX(FILTER(tblScheduleData[ShiftEnd],tblScheduleData[OperationalDate]=SelectedDate),ROWS($A$8:A230)),"")</f>
        <v/>
      </c>
      <c r="H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30" s="2">
        <f>IFERROR(INDEX(FILTER(tblScheduleData[ValidationState],tblScheduleData[OperationalDate]=SelectedDate),ROWS($A$8:A230)),"")</f>
        <v/>
      </c>
    </row>
    <row r="231">
      <c r="A231" s="2">
        <f>IFERROR(INDEX(FILTER(tblScheduleData[EmployeeID],tblScheduleData[OperationalDate]=SelectedDate),ROWS($A$8:A231)),"")</f>
        <v/>
      </c>
      <c r="B231" s="2">
        <f>IFERROR(INDEX(FILTER(tblScheduleData[Name],tblScheduleData[OperationalDate]=SelectedDate),ROWS($A$8:A231)),"")</f>
        <v/>
      </c>
      <c r="C231" s="2">
        <f>IFERROR(INDEX(FILTER(tblScheduleData[ContractualHours],tblScheduleData[OperationalDate]=SelectedDate),ROWS($A$8:A231)),"")</f>
        <v/>
      </c>
      <c r="D231" s="2">
        <f>IFERROR(INDEX(FILTER(tblScheduleData[ActivityCode],tblScheduleData[OperationalDate]=SelectedDate),ROWS($A$8:A231)),"")</f>
        <v/>
      </c>
      <c r="E231" s="4">
        <f>IF(Calc_Engine!A231="","",SelectedDate)</f>
        <v/>
      </c>
      <c r="F231" s="5">
        <f>IFERROR(INDEX(FILTER(tblScheduleData[ShiftStart],tblScheduleData[OperationalDate]=SelectedDate),ROWS($A$8:A231)),"")</f>
        <v/>
      </c>
      <c r="G231" s="5">
        <f>IFERROR(INDEX(FILTER(tblScheduleData[ShiftEnd],tblScheduleData[OperationalDate]=SelectedDate),ROWS($A$8:A231)),"")</f>
        <v/>
      </c>
      <c r="H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31" s="2">
        <f>IFERROR(INDEX(FILTER(tblScheduleData[ValidationState],tblScheduleData[OperationalDate]=SelectedDate),ROWS($A$8:A231)),"")</f>
        <v/>
      </c>
    </row>
    <row r="232">
      <c r="A232" s="2">
        <f>IFERROR(INDEX(FILTER(tblScheduleData[EmployeeID],tblScheduleData[OperationalDate]=SelectedDate),ROWS($A$8:A232)),"")</f>
        <v/>
      </c>
      <c r="B232" s="2">
        <f>IFERROR(INDEX(FILTER(tblScheduleData[Name],tblScheduleData[OperationalDate]=SelectedDate),ROWS($A$8:A232)),"")</f>
        <v/>
      </c>
      <c r="C232" s="2">
        <f>IFERROR(INDEX(FILTER(tblScheduleData[ContractualHours],tblScheduleData[OperationalDate]=SelectedDate),ROWS($A$8:A232)),"")</f>
        <v/>
      </c>
      <c r="D232" s="2">
        <f>IFERROR(INDEX(FILTER(tblScheduleData[ActivityCode],tblScheduleData[OperationalDate]=SelectedDate),ROWS($A$8:A232)),"")</f>
        <v/>
      </c>
      <c r="E232" s="4">
        <f>IF(Calc_Engine!A232="","",SelectedDate)</f>
        <v/>
      </c>
      <c r="F232" s="5">
        <f>IFERROR(INDEX(FILTER(tblScheduleData[ShiftStart],tblScheduleData[OperationalDate]=SelectedDate),ROWS($A$8:A232)),"")</f>
        <v/>
      </c>
      <c r="G232" s="5">
        <f>IFERROR(INDEX(FILTER(tblScheduleData[ShiftEnd],tblScheduleData[OperationalDate]=SelectedDate),ROWS($A$8:A232)),"")</f>
        <v/>
      </c>
      <c r="H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32" s="2">
        <f>IFERROR(INDEX(FILTER(tblScheduleData[ValidationState],tblScheduleData[OperationalDate]=SelectedDate),ROWS($A$8:A232)),"")</f>
        <v/>
      </c>
    </row>
    <row r="233">
      <c r="A233" s="2">
        <f>IFERROR(INDEX(FILTER(tblScheduleData[EmployeeID],tblScheduleData[OperationalDate]=SelectedDate),ROWS($A$8:A233)),"")</f>
        <v/>
      </c>
      <c r="B233" s="2">
        <f>IFERROR(INDEX(FILTER(tblScheduleData[Name],tblScheduleData[OperationalDate]=SelectedDate),ROWS($A$8:A233)),"")</f>
        <v/>
      </c>
      <c r="C233" s="2">
        <f>IFERROR(INDEX(FILTER(tblScheduleData[ContractualHours],tblScheduleData[OperationalDate]=SelectedDate),ROWS($A$8:A233)),"")</f>
        <v/>
      </c>
      <c r="D233" s="2">
        <f>IFERROR(INDEX(FILTER(tblScheduleData[ActivityCode],tblScheduleData[OperationalDate]=SelectedDate),ROWS($A$8:A233)),"")</f>
        <v/>
      </c>
      <c r="E233" s="4">
        <f>IF(Calc_Engine!A233="","",SelectedDate)</f>
        <v/>
      </c>
      <c r="F233" s="5">
        <f>IFERROR(INDEX(FILTER(tblScheduleData[ShiftStart],tblScheduleData[OperationalDate]=SelectedDate),ROWS($A$8:A233)),"")</f>
        <v/>
      </c>
      <c r="G233" s="5">
        <f>IFERROR(INDEX(FILTER(tblScheduleData[ShiftEnd],tblScheduleData[OperationalDate]=SelectedDate),ROWS($A$8:A233)),"")</f>
        <v/>
      </c>
      <c r="H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33" s="2">
        <f>IFERROR(INDEX(FILTER(tblScheduleData[ValidationState],tblScheduleData[OperationalDate]=SelectedDate),ROWS($A$8:A233)),"")</f>
        <v/>
      </c>
    </row>
    <row r="234">
      <c r="A234" s="2">
        <f>IFERROR(INDEX(FILTER(tblScheduleData[EmployeeID],tblScheduleData[OperationalDate]=SelectedDate),ROWS($A$8:A234)),"")</f>
        <v/>
      </c>
      <c r="B234" s="2">
        <f>IFERROR(INDEX(FILTER(tblScheduleData[Name],tblScheduleData[OperationalDate]=SelectedDate),ROWS($A$8:A234)),"")</f>
        <v/>
      </c>
      <c r="C234" s="2">
        <f>IFERROR(INDEX(FILTER(tblScheduleData[ContractualHours],tblScheduleData[OperationalDate]=SelectedDate),ROWS($A$8:A234)),"")</f>
        <v/>
      </c>
      <c r="D234" s="2">
        <f>IFERROR(INDEX(FILTER(tblScheduleData[ActivityCode],tblScheduleData[OperationalDate]=SelectedDate),ROWS($A$8:A234)),"")</f>
        <v/>
      </c>
      <c r="E234" s="4">
        <f>IF(Calc_Engine!A234="","",SelectedDate)</f>
        <v/>
      </c>
      <c r="F234" s="5">
        <f>IFERROR(INDEX(FILTER(tblScheduleData[ShiftStart],tblScheduleData[OperationalDate]=SelectedDate),ROWS($A$8:A234)),"")</f>
        <v/>
      </c>
      <c r="G234" s="5">
        <f>IFERROR(INDEX(FILTER(tblScheduleData[ShiftEnd],tblScheduleData[OperationalDate]=SelectedDate),ROWS($A$8:A234)),"")</f>
        <v/>
      </c>
      <c r="H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34" s="2">
        <f>IFERROR(INDEX(FILTER(tblScheduleData[ValidationState],tblScheduleData[OperationalDate]=SelectedDate),ROWS($A$8:A234)),"")</f>
        <v/>
      </c>
    </row>
    <row r="235">
      <c r="A235" s="2">
        <f>IFERROR(INDEX(FILTER(tblScheduleData[EmployeeID],tblScheduleData[OperationalDate]=SelectedDate),ROWS($A$8:A235)),"")</f>
        <v/>
      </c>
      <c r="B235" s="2">
        <f>IFERROR(INDEX(FILTER(tblScheduleData[Name],tblScheduleData[OperationalDate]=SelectedDate),ROWS($A$8:A235)),"")</f>
        <v/>
      </c>
      <c r="C235" s="2">
        <f>IFERROR(INDEX(FILTER(tblScheduleData[ContractualHours],tblScheduleData[OperationalDate]=SelectedDate),ROWS($A$8:A235)),"")</f>
        <v/>
      </c>
      <c r="D235" s="2">
        <f>IFERROR(INDEX(FILTER(tblScheduleData[ActivityCode],tblScheduleData[OperationalDate]=SelectedDate),ROWS($A$8:A235)),"")</f>
        <v/>
      </c>
      <c r="E235" s="4">
        <f>IF(Calc_Engine!A235="","",SelectedDate)</f>
        <v/>
      </c>
      <c r="F235" s="5">
        <f>IFERROR(INDEX(FILTER(tblScheduleData[ShiftStart],tblScheduleData[OperationalDate]=SelectedDate),ROWS($A$8:A235)),"")</f>
        <v/>
      </c>
      <c r="G235" s="5">
        <f>IFERROR(INDEX(FILTER(tblScheduleData[ShiftEnd],tblScheduleData[OperationalDate]=SelectedDate),ROWS($A$8:A235)),"")</f>
        <v/>
      </c>
      <c r="H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35" s="2">
        <f>IFERROR(INDEX(FILTER(tblScheduleData[ValidationState],tblScheduleData[OperationalDate]=SelectedDate),ROWS($A$8:A235)),"")</f>
        <v/>
      </c>
    </row>
    <row r="236">
      <c r="A236" s="2">
        <f>IFERROR(INDEX(FILTER(tblScheduleData[EmployeeID],tblScheduleData[OperationalDate]=SelectedDate),ROWS($A$8:A236)),"")</f>
        <v/>
      </c>
      <c r="B236" s="2">
        <f>IFERROR(INDEX(FILTER(tblScheduleData[Name],tblScheduleData[OperationalDate]=SelectedDate),ROWS($A$8:A236)),"")</f>
        <v/>
      </c>
      <c r="C236" s="2">
        <f>IFERROR(INDEX(FILTER(tblScheduleData[ContractualHours],tblScheduleData[OperationalDate]=SelectedDate),ROWS($A$8:A236)),"")</f>
        <v/>
      </c>
      <c r="D236" s="2">
        <f>IFERROR(INDEX(FILTER(tblScheduleData[ActivityCode],tblScheduleData[OperationalDate]=SelectedDate),ROWS($A$8:A236)),"")</f>
        <v/>
      </c>
      <c r="E236" s="4">
        <f>IF(Calc_Engine!A236="","",SelectedDate)</f>
        <v/>
      </c>
      <c r="F236" s="5">
        <f>IFERROR(INDEX(FILTER(tblScheduleData[ShiftStart],tblScheduleData[OperationalDate]=SelectedDate),ROWS($A$8:A236)),"")</f>
        <v/>
      </c>
      <c r="G236" s="5">
        <f>IFERROR(INDEX(FILTER(tblScheduleData[ShiftEnd],tblScheduleData[OperationalDate]=SelectedDate),ROWS($A$8:A236)),"")</f>
        <v/>
      </c>
      <c r="H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36" s="2">
        <f>IFERROR(INDEX(FILTER(tblScheduleData[ValidationState],tblScheduleData[OperationalDate]=SelectedDate),ROWS($A$8:A236)),"")</f>
        <v/>
      </c>
    </row>
    <row r="237">
      <c r="A237" s="2">
        <f>IFERROR(INDEX(FILTER(tblScheduleData[EmployeeID],tblScheduleData[OperationalDate]=SelectedDate),ROWS($A$8:A237)),"")</f>
        <v/>
      </c>
      <c r="B237" s="2">
        <f>IFERROR(INDEX(FILTER(tblScheduleData[Name],tblScheduleData[OperationalDate]=SelectedDate),ROWS($A$8:A237)),"")</f>
        <v/>
      </c>
      <c r="C237" s="2">
        <f>IFERROR(INDEX(FILTER(tblScheduleData[ContractualHours],tblScheduleData[OperationalDate]=SelectedDate),ROWS($A$8:A237)),"")</f>
        <v/>
      </c>
      <c r="D237" s="2">
        <f>IFERROR(INDEX(FILTER(tblScheduleData[ActivityCode],tblScheduleData[OperationalDate]=SelectedDate),ROWS($A$8:A237)),"")</f>
        <v/>
      </c>
      <c r="E237" s="4">
        <f>IF(Calc_Engine!A237="","",SelectedDate)</f>
        <v/>
      </c>
      <c r="F237" s="5">
        <f>IFERROR(INDEX(FILTER(tblScheduleData[ShiftStart],tblScheduleData[OperationalDate]=SelectedDate),ROWS($A$8:A237)),"")</f>
        <v/>
      </c>
      <c r="G237" s="5">
        <f>IFERROR(INDEX(FILTER(tblScheduleData[ShiftEnd],tblScheduleData[OperationalDate]=SelectedDate),ROWS($A$8:A237)),"")</f>
        <v/>
      </c>
      <c r="H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37" s="2">
        <f>IFERROR(INDEX(FILTER(tblScheduleData[ValidationState],tblScheduleData[OperationalDate]=SelectedDate),ROWS($A$8:A237)),"")</f>
        <v/>
      </c>
    </row>
    <row r="238">
      <c r="A238" s="2">
        <f>IFERROR(INDEX(FILTER(tblScheduleData[EmployeeID],tblScheduleData[OperationalDate]=SelectedDate),ROWS($A$8:A238)),"")</f>
        <v/>
      </c>
      <c r="B238" s="2">
        <f>IFERROR(INDEX(FILTER(tblScheduleData[Name],tblScheduleData[OperationalDate]=SelectedDate),ROWS($A$8:A238)),"")</f>
        <v/>
      </c>
      <c r="C238" s="2">
        <f>IFERROR(INDEX(FILTER(tblScheduleData[ContractualHours],tblScheduleData[OperationalDate]=SelectedDate),ROWS($A$8:A238)),"")</f>
        <v/>
      </c>
      <c r="D238" s="2">
        <f>IFERROR(INDEX(FILTER(tblScheduleData[ActivityCode],tblScheduleData[OperationalDate]=SelectedDate),ROWS($A$8:A238)),"")</f>
        <v/>
      </c>
      <c r="E238" s="4">
        <f>IF(Calc_Engine!A238="","",SelectedDate)</f>
        <v/>
      </c>
      <c r="F238" s="5">
        <f>IFERROR(INDEX(FILTER(tblScheduleData[ShiftStart],tblScheduleData[OperationalDate]=SelectedDate),ROWS($A$8:A238)),"")</f>
        <v/>
      </c>
      <c r="G238" s="5">
        <f>IFERROR(INDEX(FILTER(tblScheduleData[ShiftEnd],tblScheduleData[OperationalDate]=SelectedDate),ROWS($A$8:A238)),"")</f>
        <v/>
      </c>
      <c r="H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38" s="2">
        <f>IFERROR(INDEX(FILTER(tblScheduleData[ValidationState],tblScheduleData[OperationalDate]=SelectedDate),ROWS($A$8:A238)),"")</f>
        <v/>
      </c>
    </row>
    <row r="239">
      <c r="A239" s="2">
        <f>IFERROR(INDEX(FILTER(tblScheduleData[EmployeeID],tblScheduleData[OperationalDate]=SelectedDate),ROWS($A$8:A239)),"")</f>
        <v/>
      </c>
      <c r="B239" s="2">
        <f>IFERROR(INDEX(FILTER(tblScheduleData[Name],tblScheduleData[OperationalDate]=SelectedDate),ROWS($A$8:A239)),"")</f>
        <v/>
      </c>
      <c r="C239" s="2">
        <f>IFERROR(INDEX(FILTER(tblScheduleData[ContractualHours],tblScheduleData[OperationalDate]=SelectedDate),ROWS($A$8:A239)),"")</f>
        <v/>
      </c>
      <c r="D239" s="2">
        <f>IFERROR(INDEX(FILTER(tblScheduleData[ActivityCode],tblScheduleData[OperationalDate]=SelectedDate),ROWS($A$8:A239)),"")</f>
        <v/>
      </c>
      <c r="E239" s="4">
        <f>IF(Calc_Engine!A239="","",SelectedDate)</f>
        <v/>
      </c>
      <c r="F239" s="5">
        <f>IFERROR(INDEX(FILTER(tblScheduleData[ShiftStart],tblScheduleData[OperationalDate]=SelectedDate),ROWS($A$8:A239)),"")</f>
        <v/>
      </c>
      <c r="G239" s="5">
        <f>IFERROR(INDEX(FILTER(tblScheduleData[ShiftEnd],tblScheduleData[OperationalDate]=SelectedDate),ROWS($A$8:A239)),"")</f>
        <v/>
      </c>
      <c r="H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39" s="2">
        <f>IFERROR(INDEX(FILTER(tblScheduleData[ValidationState],tblScheduleData[OperationalDate]=SelectedDate),ROWS($A$8:A239)),"")</f>
        <v/>
      </c>
    </row>
    <row r="240">
      <c r="A240" s="2">
        <f>IFERROR(INDEX(FILTER(tblScheduleData[EmployeeID],tblScheduleData[OperationalDate]=SelectedDate),ROWS($A$8:A240)),"")</f>
        <v/>
      </c>
      <c r="B240" s="2">
        <f>IFERROR(INDEX(FILTER(tblScheduleData[Name],tblScheduleData[OperationalDate]=SelectedDate),ROWS($A$8:A240)),"")</f>
        <v/>
      </c>
      <c r="C240" s="2">
        <f>IFERROR(INDEX(FILTER(tblScheduleData[ContractualHours],tblScheduleData[OperationalDate]=SelectedDate),ROWS($A$8:A240)),"")</f>
        <v/>
      </c>
      <c r="D240" s="2">
        <f>IFERROR(INDEX(FILTER(tblScheduleData[ActivityCode],tblScheduleData[OperationalDate]=SelectedDate),ROWS($A$8:A240)),"")</f>
        <v/>
      </c>
      <c r="E240" s="4">
        <f>IF(Calc_Engine!A240="","",SelectedDate)</f>
        <v/>
      </c>
      <c r="F240" s="5">
        <f>IFERROR(INDEX(FILTER(tblScheduleData[ShiftStart],tblScheduleData[OperationalDate]=SelectedDate),ROWS($A$8:A240)),"")</f>
        <v/>
      </c>
      <c r="G240" s="5">
        <f>IFERROR(INDEX(FILTER(tblScheduleData[ShiftEnd],tblScheduleData[OperationalDate]=SelectedDate),ROWS($A$8:A240)),"")</f>
        <v/>
      </c>
      <c r="H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40" s="2">
        <f>IFERROR(INDEX(FILTER(tblScheduleData[ValidationState],tblScheduleData[OperationalDate]=SelectedDate),ROWS($A$8:A240)),"")</f>
        <v/>
      </c>
    </row>
    <row r="241">
      <c r="A241" s="2">
        <f>IFERROR(INDEX(FILTER(tblScheduleData[EmployeeID],tblScheduleData[OperationalDate]=SelectedDate),ROWS($A$8:A241)),"")</f>
        <v/>
      </c>
      <c r="B241" s="2">
        <f>IFERROR(INDEX(FILTER(tblScheduleData[Name],tblScheduleData[OperationalDate]=SelectedDate),ROWS($A$8:A241)),"")</f>
        <v/>
      </c>
      <c r="C241" s="2">
        <f>IFERROR(INDEX(FILTER(tblScheduleData[ContractualHours],tblScheduleData[OperationalDate]=SelectedDate),ROWS($A$8:A241)),"")</f>
        <v/>
      </c>
      <c r="D241" s="2">
        <f>IFERROR(INDEX(FILTER(tblScheduleData[ActivityCode],tblScheduleData[OperationalDate]=SelectedDate),ROWS($A$8:A241)),"")</f>
        <v/>
      </c>
      <c r="E241" s="4">
        <f>IF(Calc_Engine!A241="","",SelectedDate)</f>
        <v/>
      </c>
      <c r="F241" s="5">
        <f>IFERROR(INDEX(FILTER(tblScheduleData[ShiftStart],tblScheduleData[OperationalDate]=SelectedDate),ROWS($A$8:A241)),"")</f>
        <v/>
      </c>
      <c r="G241" s="5">
        <f>IFERROR(INDEX(FILTER(tblScheduleData[ShiftEnd],tblScheduleData[OperationalDate]=SelectedDate),ROWS($A$8:A241)),"")</f>
        <v/>
      </c>
      <c r="H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41" s="2">
        <f>IFERROR(INDEX(FILTER(tblScheduleData[ValidationState],tblScheduleData[OperationalDate]=SelectedDate),ROWS($A$8:A241)),"")</f>
        <v/>
      </c>
    </row>
    <row r="242">
      <c r="A242" s="2">
        <f>IFERROR(INDEX(FILTER(tblScheduleData[EmployeeID],tblScheduleData[OperationalDate]=SelectedDate),ROWS($A$8:A242)),"")</f>
        <v/>
      </c>
      <c r="B242" s="2">
        <f>IFERROR(INDEX(FILTER(tblScheduleData[Name],tblScheduleData[OperationalDate]=SelectedDate),ROWS($A$8:A242)),"")</f>
        <v/>
      </c>
      <c r="C242" s="2">
        <f>IFERROR(INDEX(FILTER(tblScheduleData[ContractualHours],tblScheduleData[OperationalDate]=SelectedDate),ROWS($A$8:A242)),"")</f>
        <v/>
      </c>
      <c r="D242" s="2">
        <f>IFERROR(INDEX(FILTER(tblScheduleData[ActivityCode],tblScheduleData[OperationalDate]=SelectedDate),ROWS($A$8:A242)),"")</f>
        <v/>
      </c>
      <c r="E242" s="4">
        <f>IF(Calc_Engine!A242="","",SelectedDate)</f>
        <v/>
      </c>
      <c r="F242" s="5">
        <f>IFERROR(INDEX(FILTER(tblScheduleData[ShiftStart],tblScheduleData[OperationalDate]=SelectedDate),ROWS($A$8:A242)),"")</f>
        <v/>
      </c>
      <c r="G242" s="5">
        <f>IFERROR(INDEX(FILTER(tblScheduleData[ShiftEnd],tblScheduleData[OperationalDate]=SelectedDate),ROWS($A$8:A242)),"")</f>
        <v/>
      </c>
      <c r="H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42" s="2">
        <f>IFERROR(INDEX(FILTER(tblScheduleData[ValidationState],tblScheduleData[OperationalDate]=SelectedDate),ROWS($A$8:A242)),"")</f>
        <v/>
      </c>
    </row>
    <row r="243">
      <c r="A243" s="2">
        <f>IFERROR(INDEX(FILTER(tblScheduleData[EmployeeID],tblScheduleData[OperationalDate]=SelectedDate),ROWS($A$8:A243)),"")</f>
        <v/>
      </c>
      <c r="B243" s="2">
        <f>IFERROR(INDEX(FILTER(tblScheduleData[Name],tblScheduleData[OperationalDate]=SelectedDate),ROWS($A$8:A243)),"")</f>
        <v/>
      </c>
      <c r="C243" s="2">
        <f>IFERROR(INDEX(FILTER(tblScheduleData[ContractualHours],tblScheduleData[OperationalDate]=SelectedDate),ROWS($A$8:A243)),"")</f>
        <v/>
      </c>
      <c r="D243" s="2">
        <f>IFERROR(INDEX(FILTER(tblScheduleData[ActivityCode],tblScheduleData[OperationalDate]=SelectedDate),ROWS($A$8:A243)),"")</f>
        <v/>
      </c>
      <c r="E243" s="4">
        <f>IF(Calc_Engine!A243="","",SelectedDate)</f>
        <v/>
      </c>
      <c r="F243" s="5">
        <f>IFERROR(INDEX(FILTER(tblScheduleData[ShiftStart],tblScheduleData[OperationalDate]=SelectedDate),ROWS($A$8:A243)),"")</f>
        <v/>
      </c>
      <c r="G243" s="5">
        <f>IFERROR(INDEX(FILTER(tblScheduleData[ShiftEnd],tblScheduleData[OperationalDate]=SelectedDate),ROWS($A$8:A243)),"")</f>
        <v/>
      </c>
      <c r="H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43" s="2">
        <f>IFERROR(INDEX(FILTER(tblScheduleData[ValidationState],tblScheduleData[OperationalDate]=SelectedDate),ROWS($A$8:A243)),"")</f>
        <v/>
      </c>
    </row>
    <row r="244">
      <c r="A244" s="2">
        <f>IFERROR(INDEX(FILTER(tblScheduleData[EmployeeID],tblScheduleData[OperationalDate]=SelectedDate),ROWS($A$8:A244)),"")</f>
        <v/>
      </c>
      <c r="B244" s="2">
        <f>IFERROR(INDEX(FILTER(tblScheduleData[Name],tblScheduleData[OperationalDate]=SelectedDate),ROWS($A$8:A244)),"")</f>
        <v/>
      </c>
      <c r="C244" s="2">
        <f>IFERROR(INDEX(FILTER(tblScheduleData[ContractualHours],tblScheduleData[OperationalDate]=SelectedDate),ROWS($A$8:A244)),"")</f>
        <v/>
      </c>
      <c r="D244" s="2">
        <f>IFERROR(INDEX(FILTER(tblScheduleData[ActivityCode],tblScheduleData[OperationalDate]=SelectedDate),ROWS($A$8:A244)),"")</f>
        <v/>
      </c>
      <c r="E244" s="4">
        <f>IF(Calc_Engine!A244="","",SelectedDate)</f>
        <v/>
      </c>
      <c r="F244" s="5">
        <f>IFERROR(INDEX(FILTER(tblScheduleData[ShiftStart],tblScheduleData[OperationalDate]=SelectedDate),ROWS($A$8:A244)),"")</f>
        <v/>
      </c>
      <c r="G244" s="5">
        <f>IFERROR(INDEX(FILTER(tblScheduleData[ShiftEnd],tblScheduleData[OperationalDate]=SelectedDate),ROWS($A$8:A244)),"")</f>
        <v/>
      </c>
      <c r="H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44" s="2">
        <f>IFERROR(INDEX(FILTER(tblScheduleData[ValidationState],tblScheduleData[OperationalDate]=SelectedDate),ROWS($A$8:A244)),"")</f>
        <v/>
      </c>
    </row>
    <row r="245">
      <c r="A245" s="2">
        <f>IFERROR(INDEX(FILTER(tblScheduleData[EmployeeID],tblScheduleData[OperationalDate]=SelectedDate),ROWS($A$8:A245)),"")</f>
        <v/>
      </c>
      <c r="B245" s="2">
        <f>IFERROR(INDEX(FILTER(tblScheduleData[Name],tblScheduleData[OperationalDate]=SelectedDate),ROWS($A$8:A245)),"")</f>
        <v/>
      </c>
      <c r="C245" s="2">
        <f>IFERROR(INDEX(FILTER(tblScheduleData[ContractualHours],tblScheduleData[OperationalDate]=SelectedDate),ROWS($A$8:A245)),"")</f>
        <v/>
      </c>
      <c r="D245" s="2">
        <f>IFERROR(INDEX(FILTER(tblScheduleData[ActivityCode],tblScheduleData[OperationalDate]=SelectedDate),ROWS($A$8:A245)),"")</f>
        <v/>
      </c>
      <c r="E245" s="4">
        <f>IF(Calc_Engine!A245="","",SelectedDate)</f>
        <v/>
      </c>
      <c r="F245" s="5">
        <f>IFERROR(INDEX(FILTER(tblScheduleData[ShiftStart],tblScheduleData[OperationalDate]=SelectedDate),ROWS($A$8:A245)),"")</f>
        <v/>
      </c>
      <c r="G245" s="5">
        <f>IFERROR(INDEX(FILTER(tblScheduleData[ShiftEnd],tblScheduleData[OperationalDate]=SelectedDate),ROWS($A$8:A245)),"")</f>
        <v/>
      </c>
      <c r="H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45" s="2">
        <f>IFERROR(INDEX(FILTER(tblScheduleData[ValidationState],tblScheduleData[OperationalDate]=SelectedDate),ROWS($A$8:A245)),"")</f>
        <v/>
      </c>
    </row>
    <row r="246">
      <c r="A246" s="2">
        <f>IFERROR(INDEX(FILTER(tblScheduleData[EmployeeID],tblScheduleData[OperationalDate]=SelectedDate),ROWS($A$8:A246)),"")</f>
        <v/>
      </c>
      <c r="B246" s="2">
        <f>IFERROR(INDEX(FILTER(tblScheduleData[Name],tblScheduleData[OperationalDate]=SelectedDate),ROWS($A$8:A246)),"")</f>
        <v/>
      </c>
      <c r="C246" s="2">
        <f>IFERROR(INDEX(FILTER(tblScheduleData[ContractualHours],tblScheduleData[OperationalDate]=SelectedDate),ROWS($A$8:A246)),"")</f>
        <v/>
      </c>
      <c r="D246" s="2">
        <f>IFERROR(INDEX(FILTER(tblScheduleData[ActivityCode],tblScheduleData[OperationalDate]=SelectedDate),ROWS($A$8:A246)),"")</f>
        <v/>
      </c>
      <c r="E246" s="4">
        <f>IF(Calc_Engine!A246="","",SelectedDate)</f>
        <v/>
      </c>
      <c r="F246" s="5">
        <f>IFERROR(INDEX(FILTER(tblScheduleData[ShiftStart],tblScheduleData[OperationalDate]=SelectedDate),ROWS($A$8:A246)),"")</f>
        <v/>
      </c>
      <c r="G246" s="5">
        <f>IFERROR(INDEX(FILTER(tblScheduleData[ShiftEnd],tblScheduleData[OperationalDate]=SelectedDate),ROWS($A$8:A246)),"")</f>
        <v/>
      </c>
      <c r="H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46" s="2">
        <f>IFERROR(INDEX(FILTER(tblScheduleData[ValidationState],tblScheduleData[OperationalDate]=SelectedDate),ROWS($A$8:A246)),"")</f>
        <v/>
      </c>
    </row>
    <row r="247">
      <c r="A247" s="2">
        <f>IFERROR(INDEX(FILTER(tblScheduleData[EmployeeID],tblScheduleData[OperationalDate]=SelectedDate),ROWS($A$8:A247)),"")</f>
        <v/>
      </c>
      <c r="B247" s="2">
        <f>IFERROR(INDEX(FILTER(tblScheduleData[Name],tblScheduleData[OperationalDate]=SelectedDate),ROWS($A$8:A247)),"")</f>
        <v/>
      </c>
      <c r="C247" s="2">
        <f>IFERROR(INDEX(FILTER(tblScheduleData[ContractualHours],tblScheduleData[OperationalDate]=SelectedDate),ROWS($A$8:A247)),"")</f>
        <v/>
      </c>
      <c r="D247" s="2">
        <f>IFERROR(INDEX(FILTER(tblScheduleData[ActivityCode],tblScheduleData[OperationalDate]=SelectedDate),ROWS($A$8:A247)),"")</f>
        <v/>
      </c>
      <c r="E247" s="4">
        <f>IF(Calc_Engine!A247="","",SelectedDate)</f>
        <v/>
      </c>
      <c r="F247" s="5">
        <f>IFERROR(INDEX(FILTER(tblScheduleData[ShiftStart],tblScheduleData[OperationalDate]=SelectedDate),ROWS($A$8:A247)),"")</f>
        <v/>
      </c>
      <c r="G247" s="5">
        <f>IFERROR(INDEX(FILTER(tblScheduleData[ShiftEnd],tblScheduleData[OperationalDate]=SelectedDate),ROWS($A$8:A247)),"")</f>
        <v/>
      </c>
      <c r="H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47" s="2">
        <f>IFERROR(INDEX(FILTER(tblScheduleData[ValidationState],tblScheduleData[OperationalDate]=SelectedDate),ROWS($A$8:A247)),"")</f>
        <v/>
      </c>
    </row>
    <row r="248">
      <c r="A248" s="2">
        <f>IFERROR(INDEX(FILTER(tblScheduleData[EmployeeID],tblScheduleData[OperationalDate]=SelectedDate),ROWS($A$8:A248)),"")</f>
        <v/>
      </c>
      <c r="B248" s="2">
        <f>IFERROR(INDEX(FILTER(tblScheduleData[Name],tblScheduleData[OperationalDate]=SelectedDate),ROWS($A$8:A248)),"")</f>
        <v/>
      </c>
      <c r="C248" s="2">
        <f>IFERROR(INDEX(FILTER(tblScheduleData[ContractualHours],tblScheduleData[OperationalDate]=SelectedDate),ROWS($A$8:A248)),"")</f>
        <v/>
      </c>
      <c r="D248" s="2">
        <f>IFERROR(INDEX(FILTER(tblScheduleData[ActivityCode],tblScheduleData[OperationalDate]=SelectedDate),ROWS($A$8:A248)),"")</f>
        <v/>
      </c>
      <c r="E248" s="4">
        <f>IF(Calc_Engine!A248="","",SelectedDate)</f>
        <v/>
      </c>
      <c r="F248" s="5">
        <f>IFERROR(INDEX(FILTER(tblScheduleData[ShiftStart],tblScheduleData[OperationalDate]=SelectedDate),ROWS($A$8:A248)),"")</f>
        <v/>
      </c>
      <c r="G248" s="5">
        <f>IFERROR(INDEX(FILTER(tblScheduleData[ShiftEnd],tblScheduleData[OperationalDate]=SelectedDate),ROWS($A$8:A248)),"")</f>
        <v/>
      </c>
      <c r="H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48" s="2">
        <f>IFERROR(INDEX(FILTER(tblScheduleData[ValidationState],tblScheduleData[OperationalDate]=SelectedDate),ROWS($A$8:A248)),"")</f>
        <v/>
      </c>
    </row>
    <row r="249">
      <c r="A249" s="2">
        <f>IFERROR(INDEX(FILTER(tblScheduleData[EmployeeID],tblScheduleData[OperationalDate]=SelectedDate),ROWS($A$8:A249)),"")</f>
        <v/>
      </c>
      <c r="B249" s="2">
        <f>IFERROR(INDEX(FILTER(tblScheduleData[Name],tblScheduleData[OperationalDate]=SelectedDate),ROWS($A$8:A249)),"")</f>
        <v/>
      </c>
      <c r="C249" s="2">
        <f>IFERROR(INDEX(FILTER(tblScheduleData[ContractualHours],tblScheduleData[OperationalDate]=SelectedDate),ROWS($A$8:A249)),"")</f>
        <v/>
      </c>
      <c r="D249" s="2">
        <f>IFERROR(INDEX(FILTER(tblScheduleData[ActivityCode],tblScheduleData[OperationalDate]=SelectedDate),ROWS($A$8:A249)),"")</f>
        <v/>
      </c>
      <c r="E249" s="4">
        <f>IF(Calc_Engine!A249="","",SelectedDate)</f>
        <v/>
      </c>
      <c r="F249" s="5">
        <f>IFERROR(INDEX(FILTER(tblScheduleData[ShiftStart],tblScheduleData[OperationalDate]=SelectedDate),ROWS($A$8:A249)),"")</f>
        <v/>
      </c>
      <c r="G249" s="5">
        <f>IFERROR(INDEX(FILTER(tblScheduleData[ShiftEnd],tblScheduleData[OperationalDate]=SelectedDate),ROWS($A$8:A249)),"")</f>
        <v/>
      </c>
      <c r="H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49" s="2">
        <f>IFERROR(INDEX(FILTER(tblScheduleData[ValidationState],tblScheduleData[OperationalDate]=SelectedDate),ROWS($A$8:A249)),"")</f>
        <v/>
      </c>
    </row>
    <row r="250">
      <c r="A250" s="2">
        <f>IFERROR(INDEX(FILTER(tblScheduleData[EmployeeID],tblScheduleData[OperationalDate]=SelectedDate),ROWS($A$8:A250)),"")</f>
        <v/>
      </c>
      <c r="B250" s="2">
        <f>IFERROR(INDEX(FILTER(tblScheduleData[Name],tblScheduleData[OperationalDate]=SelectedDate),ROWS($A$8:A250)),"")</f>
        <v/>
      </c>
      <c r="C250" s="2">
        <f>IFERROR(INDEX(FILTER(tblScheduleData[ContractualHours],tblScheduleData[OperationalDate]=SelectedDate),ROWS($A$8:A250)),"")</f>
        <v/>
      </c>
      <c r="D250" s="2">
        <f>IFERROR(INDEX(FILTER(tblScheduleData[ActivityCode],tblScheduleData[OperationalDate]=SelectedDate),ROWS($A$8:A250)),"")</f>
        <v/>
      </c>
      <c r="E250" s="4">
        <f>IF(Calc_Engine!A250="","",SelectedDate)</f>
        <v/>
      </c>
      <c r="F250" s="5">
        <f>IFERROR(INDEX(FILTER(tblScheduleData[ShiftStart],tblScheduleData[OperationalDate]=SelectedDate),ROWS($A$8:A250)),"")</f>
        <v/>
      </c>
      <c r="G250" s="5">
        <f>IFERROR(INDEX(FILTER(tblScheduleData[ShiftEnd],tblScheduleData[OperationalDate]=SelectedDate),ROWS($A$8:A250)),"")</f>
        <v/>
      </c>
      <c r="H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50" s="2">
        <f>IFERROR(INDEX(FILTER(tblScheduleData[ValidationState],tblScheduleData[OperationalDate]=SelectedDate),ROWS($A$8:A250)),"")</f>
        <v/>
      </c>
    </row>
    <row r="251">
      <c r="A251" s="2">
        <f>IFERROR(INDEX(FILTER(tblScheduleData[EmployeeID],tblScheduleData[OperationalDate]=SelectedDate),ROWS($A$8:A251)),"")</f>
        <v/>
      </c>
      <c r="B251" s="2">
        <f>IFERROR(INDEX(FILTER(tblScheduleData[Name],tblScheduleData[OperationalDate]=SelectedDate),ROWS($A$8:A251)),"")</f>
        <v/>
      </c>
      <c r="C251" s="2">
        <f>IFERROR(INDEX(FILTER(tblScheduleData[ContractualHours],tblScheduleData[OperationalDate]=SelectedDate),ROWS($A$8:A251)),"")</f>
        <v/>
      </c>
      <c r="D251" s="2">
        <f>IFERROR(INDEX(FILTER(tblScheduleData[ActivityCode],tblScheduleData[OperationalDate]=SelectedDate),ROWS($A$8:A251)),"")</f>
        <v/>
      </c>
      <c r="E251" s="4">
        <f>IF(Calc_Engine!A251="","",SelectedDate)</f>
        <v/>
      </c>
      <c r="F251" s="5">
        <f>IFERROR(INDEX(FILTER(tblScheduleData[ShiftStart],tblScheduleData[OperationalDate]=SelectedDate),ROWS($A$8:A251)),"")</f>
        <v/>
      </c>
      <c r="G251" s="5">
        <f>IFERROR(INDEX(FILTER(tblScheduleData[ShiftEnd],tblScheduleData[OperationalDate]=SelectedDate),ROWS($A$8:A251)),"")</f>
        <v/>
      </c>
      <c r="H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51" s="2">
        <f>IFERROR(INDEX(FILTER(tblScheduleData[ValidationState],tblScheduleData[OperationalDate]=SelectedDate),ROWS($A$8:A251)),"")</f>
        <v/>
      </c>
    </row>
    <row r="252">
      <c r="A252" s="2">
        <f>IFERROR(INDEX(FILTER(tblScheduleData[EmployeeID],tblScheduleData[OperationalDate]=SelectedDate),ROWS($A$8:A252)),"")</f>
        <v/>
      </c>
      <c r="B252" s="2">
        <f>IFERROR(INDEX(FILTER(tblScheduleData[Name],tblScheduleData[OperationalDate]=SelectedDate),ROWS($A$8:A252)),"")</f>
        <v/>
      </c>
      <c r="C252" s="2">
        <f>IFERROR(INDEX(FILTER(tblScheduleData[ContractualHours],tblScheduleData[OperationalDate]=SelectedDate),ROWS($A$8:A252)),"")</f>
        <v/>
      </c>
      <c r="D252" s="2">
        <f>IFERROR(INDEX(FILTER(tblScheduleData[ActivityCode],tblScheduleData[OperationalDate]=SelectedDate),ROWS($A$8:A252)),"")</f>
        <v/>
      </c>
      <c r="E252" s="4">
        <f>IF(Calc_Engine!A252="","",SelectedDate)</f>
        <v/>
      </c>
      <c r="F252" s="5">
        <f>IFERROR(INDEX(FILTER(tblScheduleData[ShiftStart],tblScheduleData[OperationalDate]=SelectedDate),ROWS($A$8:A252)),"")</f>
        <v/>
      </c>
      <c r="G252" s="5">
        <f>IFERROR(INDEX(FILTER(tblScheduleData[ShiftEnd],tblScheduleData[OperationalDate]=SelectedDate),ROWS($A$8:A252)),"")</f>
        <v/>
      </c>
      <c r="H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52" s="2">
        <f>IFERROR(INDEX(FILTER(tblScheduleData[ValidationState],tblScheduleData[OperationalDate]=SelectedDate),ROWS($A$8:A252)),"")</f>
        <v/>
      </c>
    </row>
    <row r="253">
      <c r="A253" s="2">
        <f>IFERROR(INDEX(FILTER(tblScheduleData[EmployeeID],tblScheduleData[OperationalDate]=SelectedDate),ROWS($A$8:A253)),"")</f>
        <v/>
      </c>
      <c r="B253" s="2">
        <f>IFERROR(INDEX(FILTER(tblScheduleData[Name],tblScheduleData[OperationalDate]=SelectedDate),ROWS($A$8:A253)),"")</f>
        <v/>
      </c>
      <c r="C253" s="2">
        <f>IFERROR(INDEX(FILTER(tblScheduleData[ContractualHours],tblScheduleData[OperationalDate]=SelectedDate),ROWS($A$8:A253)),"")</f>
        <v/>
      </c>
      <c r="D253" s="2">
        <f>IFERROR(INDEX(FILTER(tblScheduleData[ActivityCode],tblScheduleData[OperationalDate]=SelectedDate),ROWS($A$8:A253)),"")</f>
        <v/>
      </c>
      <c r="E253" s="4">
        <f>IF(Calc_Engine!A253="","",SelectedDate)</f>
        <v/>
      </c>
      <c r="F253" s="5">
        <f>IFERROR(INDEX(FILTER(tblScheduleData[ShiftStart],tblScheduleData[OperationalDate]=SelectedDate),ROWS($A$8:A253)),"")</f>
        <v/>
      </c>
      <c r="G253" s="5">
        <f>IFERROR(INDEX(FILTER(tblScheduleData[ShiftEnd],tblScheduleData[OperationalDate]=SelectedDate),ROWS($A$8:A253)),"")</f>
        <v/>
      </c>
      <c r="H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53" s="2">
        <f>IFERROR(INDEX(FILTER(tblScheduleData[ValidationState],tblScheduleData[OperationalDate]=SelectedDate),ROWS($A$8:A253)),"")</f>
        <v/>
      </c>
    </row>
    <row r="254">
      <c r="A254" s="2">
        <f>IFERROR(INDEX(FILTER(tblScheduleData[EmployeeID],tblScheduleData[OperationalDate]=SelectedDate),ROWS($A$8:A254)),"")</f>
        <v/>
      </c>
      <c r="B254" s="2">
        <f>IFERROR(INDEX(FILTER(tblScheduleData[Name],tblScheduleData[OperationalDate]=SelectedDate),ROWS($A$8:A254)),"")</f>
        <v/>
      </c>
      <c r="C254" s="2">
        <f>IFERROR(INDEX(FILTER(tblScheduleData[ContractualHours],tblScheduleData[OperationalDate]=SelectedDate),ROWS($A$8:A254)),"")</f>
        <v/>
      </c>
      <c r="D254" s="2">
        <f>IFERROR(INDEX(FILTER(tblScheduleData[ActivityCode],tblScheduleData[OperationalDate]=SelectedDate),ROWS($A$8:A254)),"")</f>
        <v/>
      </c>
      <c r="E254" s="4">
        <f>IF(Calc_Engine!A254="","",SelectedDate)</f>
        <v/>
      </c>
      <c r="F254" s="5">
        <f>IFERROR(INDEX(FILTER(tblScheduleData[ShiftStart],tblScheduleData[OperationalDate]=SelectedDate),ROWS($A$8:A254)),"")</f>
        <v/>
      </c>
      <c r="G254" s="5">
        <f>IFERROR(INDEX(FILTER(tblScheduleData[ShiftEnd],tblScheduleData[OperationalDate]=SelectedDate),ROWS($A$8:A254)),"")</f>
        <v/>
      </c>
      <c r="H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54" s="2">
        <f>IFERROR(INDEX(FILTER(tblScheduleData[ValidationState],tblScheduleData[OperationalDate]=SelectedDate),ROWS($A$8:A254)),"")</f>
        <v/>
      </c>
    </row>
    <row r="255">
      <c r="A255" s="2">
        <f>IFERROR(INDEX(FILTER(tblScheduleData[EmployeeID],tblScheduleData[OperationalDate]=SelectedDate),ROWS($A$8:A255)),"")</f>
        <v/>
      </c>
      <c r="B255" s="2">
        <f>IFERROR(INDEX(FILTER(tblScheduleData[Name],tblScheduleData[OperationalDate]=SelectedDate),ROWS($A$8:A255)),"")</f>
        <v/>
      </c>
      <c r="C255" s="2">
        <f>IFERROR(INDEX(FILTER(tblScheduleData[ContractualHours],tblScheduleData[OperationalDate]=SelectedDate),ROWS($A$8:A255)),"")</f>
        <v/>
      </c>
      <c r="D255" s="2">
        <f>IFERROR(INDEX(FILTER(tblScheduleData[ActivityCode],tblScheduleData[OperationalDate]=SelectedDate),ROWS($A$8:A255)),"")</f>
        <v/>
      </c>
      <c r="E255" s="4">
        <f>IF(Calc_Engine!A255="","",SelectedDate)</f>
        <v/>
      </c>
      <c r="F255" s="5">
        <f>IFERROR(INDEX(FILTER(tblScheduleData[ShiftStart],tblScheduleData[OperationalDate]=SelectedDate),ROWS($A$8:A255)),"")</f>
        <v/>
      </c>
      <c r="G255" s="5">
        <f>IFERROR(INDEX(FILTER(tblScheduleData[ShiftEnd],tblScheduleData[OperationalDate]=SelectedDate),ROWS($A$8:A255)),"")</f>
        <v/>
      </c>
      <c r="H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55" s="2">
        <f>IFERROR(INDEX(FILTER(tblScheduleData[ValidationState],tblScheduleData[OperationalDate]=SelectedDate),ROWS($A$8:A255)),"")</f>
        <v/>
      </c>
    </row>
    <row r="256">
      <c r="A256" s="2">
        <f>IFERROR(INDEX(FILTER(tblScheduleData[EmployeeID],tblScheduleData[OperationalDate]=SelectedDate),ROWS($A$8:A256)),"")</f>
        <v/>
      </c>
      <c r="B256" s="2">
        <f>IFERROR(INDEX(FILTER(tblScheduleData[Name],tblScheduleData[OperationalDate]=SelectedDate),ROWS($A$8:A256)),"")</f>
        <v/>
      </c>
      <c r="C256" s="2">
        <f>IFERROR(INDEX(FILTER(tblScheduleData[ContractualHours],tblScheduleData[OperationalDate]=SelectedDate),ROWS($A$8:A256)),"")</f>
        <v/>
      </c>
      <c r="D256" s="2">
        <f>IFERROR(INDEX(FILTER(tblScheduleData[ActivityCode],tblScheduleData[OperationalDate]=SelectedDate),ROWS($A$8:A256)),"")</f>
        <v/>
      </c>
      <c r="E256" s="4">
        <f>IF(Calc_Engine!A256="","",SelectedDate)</f>
        <v/>
      </c>
      <c r="F256" s="5">
        <f>IFERROR(INDEX(FILTER(tblScheduleData[ShiftStart],tblScheduleData[OperationalDate]=SelectedDate),ROWS($A$8:A256)),"")</f>
        <v/>
      </c>
      <c r="G256" s="5">
        <f>IFERROR(INDEX(FILTER(tblScheduleData[ShiftEnd],tblScheduleData[OperationalDate]=SelectedDate),ROWS($A$8:A256)),"")</f>
        <v/>
      </c>
      <c r="H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56" s="2">
        <f>IFERROR(INDEX(FILTER(tblScheduleData[ValidationState],tblScheduleData[OperationalDate]=SelectedDate),ROWS($A$8:A256)),"")</f>
        <v/>
      </c>
    </row>
    <row r="257">
      <c r="A257" s="2">
        <f>IFERROR(INDEX(FILTER(tblScheduleData[EmployeeID],tblScheduleData[OperationalDate]=SelectedDate),ROWS($A$8:A257)),"")</f>
        <v/>
      </c>
      <c r="B257" s="2">
        <f>IFERROR(INDEX(FILTER(tblScheduleData[Name],tblScheduleData[OperationalDate]=SelectedDate),ROWS($A$8:A257)),"")</f>
        <v/>
      </c>
      <c r="C257" s="2">
        <f>IFERROR(INDEX(FILTER(tblScheduleData[ContractualHours],tblScheduleData[OperationalDate]=SelectedDate),ROWS($A$8:A257)),"")</f>
        <v/>
      </c>
      <c r="D257" s="2">
        <f>IFERROR(INDEX(FILTER(tblScheduleData[ActivityCode],tblScheduleData[OperationalDate]=SelectedDate),ROWS($A$8:A257)),"")</f>
        <v/>
      </c>
      <c r="E257" s="4">
        <f>IF(Calc_Engine!A257="","",SelectedDate)</f>
        <v/>
      </c>
      <c r="F257" s="5">
        <f>IFERROR(INDEX(FILTER(tblScheduleData[ShiftStart],tblScheduleData[OperationalDate]=SelectedDate),ROWS($A$8:A257)),"")</f>
        <v/>
      </c>
      <c r="G257" s="5">
        <f>IFERROR(INDEX(FILTER(tblScheduleData[ShiftEnd],tblScheduleData[OperationalDate]=SelectedDate),ROWS($A$8:A257)),"")</f>
        <v/>
      </c>
      <c r="H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  <c r="BD257" s="2">
        <f>IFERROR(INDEX(FILTER(tblScheduleData[ValidationState],tblScheduleData[OperationalDate]=SelectedDate),ROWS($A$8:A257)),"")</f>
        <v/>
      </c>
    </row>
    <row r="260">
      <c r="A260" s="9" t="n"/>
      <c r="B260" s="9" t="n"/>
      <c r="C260" s="9" t="n"/>
      <c r="D260" s="9" t="n"/>
      <c r="E260" s="9" t="n"/>
      <c r="F260" s="9" t="n"/>
      <c r="G260" s="9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  <c r="AD260" s="10" t="n"/>
      <c r="AE260" s="10" t="n"/>
      <c r="AF260" s="10" t="n"/>
      <c r="AG260" s="10" t="n"/>
      <c r="AH260" s="10" t="n"/>
      <c r="AI260" s="10" t="n"/>
      <c r="AJ260" s="10" t="n"/>
      <c r="AK260" s="10" t="n"/>
      <c r="AL260" s="10" t="n"/>
      <c r="AM260" s="10" t="n"/>
      <c r="AN260" s="10" t="n"/>
      <c r="AO260" s="10" t="n"/>
      <c r="AP260" s="10" t="n"/>
      <c r="AQ260" s="10" t="n"/>
      <c r="AR260" s="10" t="n"/>
      <c r="AS260" s="10" t="n"/>
      <c r="AT260" s="10" t="n"/>
      <c r="AU260" s="10" t="n"/>
      <c r="AV260" s="10" t="n"/>
      <c r="AW260" s="10" t="n"/>
      <c r="AX260" s="10" t="n"/>
      <c r="AY260" s="10" t="n"/>
      <c r="AZ260" s="10" t="n"/>
      <c r="BA260" s="10" t="n"/>
      <c r="BB260" s="10" t="n"/>
      <c r="BC260" s="10" t="n"/>
      <c r="B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  <c r="AD261" s="10" t="n"/>
      <c r="AE261" s="10" t="n"/>
      <c r="AF261" s="10" t="n"/>
      <c r="AG261" s="10" t="n"/>
      <c r="AH261" s="10" t="n"/>
      <c r="AI261" s="10" t="n"/>
      <c r="AJ261" s="10" t="n"/>
      <c r="AK261" s="10" t="n"/>
      <c r="AL261" s="10" t="n"/>
      <c r="AM261" s="10" t="n"/>
      <c r="AN261" s="10" t="n"/>
      <c r="AO261" s="10" t="n"/>
      <c r="AP261" s="10" t="n"/>
      <c r="AQ261" s="10" t="n"/>
      <c r="AR261" s="10" t="n"/>
      <c r="AS261" s="10" t="n"/>
      <c r="AT261" s="10" t="n"/>
      <c r="AU261" s="10" t="n"/>
      <c r="AV261" s="10" t="n"/>
      <c r="AW261" s="10" t="n"/>
      <c r="AX261" s="10" t="n"/>
      <c r="AY261" s="10" t="n"/>
      <c r="AZ261" s="10" t="n"/>
      <c r="BA261" s="10" t="n"/>
      <c r="BB261" s="10" t="n"/>
      <c r="BC261" s="10" t="n"/>
      <c r="B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  <c r="AD262" s="10" t="n"/>
      <c r="AE262" s="10" t="n"/>
      <c r="AF262" s="10" t="n"/>
      <c r="AG262" s="10" t="n"/>
      <c r="AH262" s="10" t="n"/>
      <c r="AI262" s="10" t="n"/>
      <c r="AJ262" s="10" t="n"/>
      <c r="AK262" s="10" t="n"/>
      <c r="AL262" s="10" t="n"/>
      <c r="AM262" s="10" t="n"/>
      <c r="AN262" s="10" t="n"/>
      <c r="AO262" s="10" t="n"/>
      <c r="AP262" s="10" t="n"/>
      <c r="AQ262" s="10" t="n"/>
      <c r="AR262" s="10" t="n"/>
      <c r="AS262" s="10" t="n"/>
      <c r="AT262" s="10" t="n"/>
      <c r="AU262" s="10" t="n"/>
      <c r="AV262" s="10" t="n"/>
      <c r="AW262" s="10" t="n"/>
      <c r="AX262" s="10" t="n"/>
      <c r="AY262" s="10" t="n"/>
      <c r="AZ262" s="10" t="n"/>
      <c r="BA262" s="10" t="n"/>
      <c r="BB262" s="10" t="n"/>
      <c r="BC262" s="10" t="n"/>
      <c r="BD262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D262"/>
  <sheetViews>
    <sheetView showGridLines="1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hidden="1" width="13" customWidth="1" min="56" max="56"/>
  </cols>
  <sheetData>
    <row r="1">
      <c r="A1" s="1" t="inlineStr">
        <is>
          <t>EmployeeID</t>
        </is>
      </c>
      <c r="B1" s="1" t="inlineStr">
        <is>
          <t>Name</t>
        </is>
      </c>
      <c r="C1" s="1" t="inlineStr">
        <is>
          <t>ContractualHours</t>
        </is>
      </c>
      <c r="D1" s="1" t="inlineStr">
        <is>
          <t>CurrentShift</t>
        </is>
      </c>
      <c r="E1" s="1" t="inlineStr">
        <is>
          <t>TargetDaySelect</t>
        </is>
      </c>
      <c r="F1" s="1" t="inlineStr">
        <is>
          <t>ShiftStart</t>
        </is>
      </c>
      <c r="G1" s="1" t="inlineStr">
        <is>
          <t>ShiftEnd</t>
        </is>
      </c>
      <c r="H1" s="6">
        <f>TIME(0,0,0)+(COLUMN()-COLUMN($H$1))*TIME(0,30,0)</f>
        <v/>
      </c>
      <c r="I1" s="6">
        <f>TIME(0,0,0)+(COLUMN()-COLUMN($H$1))*TIME(0,30,0)</f>
        <v/>
      </c>
      <c r="J1" s="6">
        <f>TIME(0,0,0)+(COLUMN()-COLUMN($H$1))*TIME(0,30,0)</f>
        <v/>
      </c>
      <c r="K1" s="6">
        <f>TIME(0,0,0)+(COLUMN()-COLUMN($H$1))*TIME(0,30,0)</f>
        <v/>
      </c>
      <c r="L1" s="6">
        <f>TIME(0,0,0)+(COLUMN()-COLUMN($H$1))*TIME(0,30,0)</f>
        <v/>
      </c>
      <c r="M1" s="6">
        <f>TIME(0,0,0)+(COLUMN()-COLUMN($H$1))*TIME(0,30,0)</f>
        <v/>
      </c>
      <c r="N1" s="6">
        <f>TIME(0,0,0)+(COLUMN()-COLUMN($H$1))*TIME(0,30,0)</f>
        <v/>
      </c>
      <c r="O1" s="6">
        <f>TIME(0,0,0)+(COLUMN()-COLUMN($H$1))*TIME(0,30,0)</f>
        <v/>
      </c>
      <c r="P1" s="6">
        <f>TIME(0,0,0)+(COLUMN()-COLUMN($H$1))*TIME(0,30,0)</f>
        <v/>
      </c>
      <c r="Q1" s="6">
        <f>TIME(0,0,0)+(COLUMN()-COLUMN($H$1))*TIME(0,30,0)</f>
        <v/>
      </c>
      <c r="R1" s="6">
        <f>TIME(0,0,0)+(COLUMN()-COLUMN($H$1))*TIME(0,30,0)</f>
        <v/>
      </c>
      <c r="S1" s="6">
        <f>TIME(0,0,0)+(COLUMN()-COLUMN($H$1))*TIME(0,30,0)</f>
        <v/>
      </c>
      <c r="T1" s="6">
        <f>TIME(0,0,0)+(COLUMN()-COLUMN($H$1))*TIME(0,30,0)</f>
        <v/>
      </c>
      <c r="U1" s="6">
        <f>TIME(0,0,0)+(COLUMN()-COLUMN($H$1))*TIME(0,30,0)</f>
        <v/>
      </c>
      <c r="V1" s="6">
        <f>TIME(0,0,0)+(COLUMN()-COLUMN($H$1))*TIME(0,30,0)</f>
        <v/>
      </c>
      <c r="W1" s="6">
        <f>TIME(0,0,0)+(COLUMN()-COLUMN($H$1))*TIME(0,30,0)</f>
        <v/>
      </c>
      <c r="X1" s="6">
        <f>TIME(0,0,0)+(COLUMN()-COLUMN($H$1))*TIME(0,30,0)</f>
        <v/>
      </c>
      <c r="Y1" s="6">
        <f>TIME(0,0,0)+(COLUMN()-COLUMN($H$1))*TIME(0,30,0)</f>
        <v/>
      </c>
      <c r="Z1" s="6">
        <f>TIME(0,0,0)+(COLUMN()-COLUMN($H$1))*TIME(0,30,0)</f>
        <v/>
      </c>
      <c r="AA1" s="6">
        <f>TIME(0,0,0)+(COLUMN()-COLUMN($H$1))*TIME(0,30,0)</f>
        <v/>
      </c>
      <c r="AB1" s="6">
        <f>TIME(0,0,0)+(COLUMN()-COLUMN($H$1))*TIME(0,30,0)</f>
        <v/>
      </c>
      <c r="AC1" s="6">
        <f>TIME(0,0,0)+(COLUMN()-COLUMN($H$1))*TIME(0,30,0)</f>
        <v/>
      </c>
      <c r="AD1" s="6">
        <f>TIME(0,0,0)+(COLUMN()-COLUMN($H$1))*TIME(0,30,0)</f>
        <v/>
      </c>
      <c r="AE1" s="6">
        <f>TIME(0,0,0)+(COLUMN()-COLUMN($H$1))*TIME(0,30,0)</f>
        <v/>
      </c>
      <c r="AF1" s="6">
        <f>TIME(0,0,0)+(COLUMN()-COLUMN($H$1))*TIME(0,30,0)</f>
        <v/>
      </c>
      <c r="AG1" s="6">
        <f>TIME(0,0,0)+(COLUMN()-COLUMN($H$1))*TIME(0,30,0)</f>
        <v/>
      </c>
      <c r="AH1" s="6">
        <f>TIME(0,0,0)+(COLUMN()-COLUMN($H$1))*TIME(0,30,0)</f>
        <v/>
      </c>
      <c r="AI1" s="6">
        <f>TIME(0,0,0)+(COLUMN()-COLUMN($H$1))*TIME(0,30,0)</f>
        <v/>
      </c>
      <c r="AJ1" s="6">
        <f>TIME(0,0,0)+(COLUMN()-COLUMN($H$1))*TIME(0,30,0)</f>
        <v/>
      </c>
      <c r="AK1" s="6">
        <f>TIME(0,0,0)+(COLUMN()-COLUMN($H$1))*TIME(0,30,0)</f>
        <v/>
      </c>
      <c r="AL1" s="6">
        <f>TIME(0,0,0)+(COLUMN()-COLUMN($H$1))*TIME(0,30,0)</f>
        <v/>
      </c>
      <c r="AM1" s="6">
        <f>TIME(0,0,0)+(COLUMN()-COLUMN($H$1))*TIME(0,30,0)</f>
        <v/>
      </c>
      <c r="AN1" s="6">
        <f>TIME(0,0,0)+(COLUMN()-COLUMN($H$1))*TIME(0,30,0)</f>
        <v/>
      </c>
      <c r="AO1" s="6">
        <f>TIME(0,0,0)+(COLUMN()-COLUMN($H$1))*TIME(0,30,0)</f>
        <v/>
      </c>
      <c r="AP1" s="6">
        <f>TIME(0,0,0)+(COLUMN()-COLUMN($H$1))*TIME(0,30,0)</f>
        <v/>
      </c>
      <c r="AQ1" s="6">
        <f>TIME(0,0,0)+(COLUMN()-COLUMN($H$1))*TIME(0,30,0)</f>
        <v/>
      </c>
      <c r="AR1" s="6">
        <f>TIME(0,0,0)+(COLUMN()-COLUMN($H$1))*TIME(0,30,0)</f>
        <v/>
      </c>
      <c r="AS1" s="6">
        <f>TIME(0,0,0)+(COLUMN()-COLUMN($H$1))*TIME(0,30,0)</f>
        <v/>
      </c>
      <c r="AT1" s="6">
        <f>TIME(0,0,0)+(COLUMN()-COLUMN($H$1))*TIME(0,30,0)</f>
        <v/>
      </c>
      <c r="AU1" s="6">
        <f>TIME(0,0,0)+(COLUMN()-COLUMN($H$1))*TIME(0,30,0)</f>
        <v/>
      </c>
      <c r="AV1" s="6">
        <f>TIME(0,0,0)+(COLUMN()-COLUMN($H$1))*TIME(0,30,0)</f>
        <v/>
      </c>
      <c r="AW1" s="6">
        <f>TIME(0,0,0)+(COLUMN()-COLUMN($H$1))*TIME(0,30,0)</f>
        <v/>
      </c>
      <c r="AX1" s="6">
        <f>TIME(0,0,0)+(COLUMN()-COLUMN($H$1))*TIME(0,30,0)</f>
        <v/>
      </c>
      <c r="AY1" s="6">
        <f>TIME(0,0,0)+(COLUMN()-COLUMN($H$1))*TIME(0,30,0)</f>
        <v/>
      </c>
      <c r="AZ1" s="6">
        <f>TIME(0,0,0)+(COLUMN()-COLUMN($H$1))*TIME(0,30,0)</f>
        <v/>
      </c>
      <c r="BA1" s="6">
        <f>TIME(0,0,0)+(COLUMN()-COLUMN($H$1))*TIME(0,30,0)</f>
        <v/>
      </c>
      <c r="BB1" s="6">
        <f>TIME(0,0,0)+(COLUMN()-COLUMN($H$1))*TIME(0,30,0)</f>
        <v/>
      </c>
      <c r="BC1" s="6">
        <f>TIME(0,0,0)+(COLUMN()-COLUMN($H$1))*TIME(0,30,0)</f>
        <v/>
      </c>
      <c r="BD1" s="1" t="inlineStr">
        <is>
          <t>ValidationState</t>
        </is>
      </c>
    </row>
    <row r="2">
      <c r="A2" s="2" t="n"/>
      <c r="B2" s="2" t="n"/>
      <c r="C2" s="2" t="n"/>
      <c r="D2" s="2" t="n"/>
      <c r="E2" s="4" t="n">
        <v>46184</v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</row>
    <row r="5">
      <c r="A5" s="1" t="n"/>
      <c r="B5" s="1" t="n"/>
      <c r="C5" s="1" t="n"/>
      <c r="D5" s="1" t="n"/>
      <c r="E5" s="1" t="n"/>
      <c r="F5" s="1" t="n"/>
      <c r="G5" s="1" t="inlineStr">
        <is>
          <t>Scheduled Productive</t>
        </is>
      </c>
      <c r="H5" s="7">
        <f>SUM(Calc_Engine!H$8:H$257)</f>
        <v/>
      </c>
      <c r="I5" s="7">
        <f>SUM(Calc_Engine!I$8:I$257)</f>
        <v/>
      </c>
      <c r="J5" s="7">
        <f>SUM(Calc_Engine!J$8:J$257)</f>
        <v/>
      </c>
      <c r="K5" s="7">
        <f>SUM(Calc_Engine!K$8:K$257)</f>
        <v/>
      </c>
      <c r="L5" s="7">
        <f>SUM(Calc_Engine!L$8:L$257)</f>
        <v/>
      </c>
      <c r="M5" s="7">
        <f>SUM(Calc_Engine!M$8:M$257)</f>
        <v/>
      </c>
      <c r="N5" s="7">
        <f>SUM(Calc_Engine!N$8:N$257)</f>
        <v/>
      </c>
      <c r="O5" s="7">
        <f>SUM(Calc_Engine!O$8:O$257)</f>
        <v/>
      </c>
      <c r="P5" s="7">
        <f>SUM(Calc_Engine!P$8:P$257)</f>
        <v/>
      </c>
      <c r="Q5" s="7">
        <f>SUM(Calc_Engine!Q$8:Q$257)</f>
        <v/>
      </c>
      <c r="R5" s="7">
        <f>SUM(Calc_Engine!R$8:R$257)</f>
        <v/>
      </c>
      <c r="S5" s="7">
        <f>SUM(Calc_Engine!S$8:S$257)</f>
        <v/>
      </c>
      <c r="T5" s="7">
        <f>SUM(Calc_Engine!T$8:T$257)</f>
        <v/>
      </c>
      <c r="U5" s="7">
        <f>SUM(Calc_Engine!U$8:U$257)</f>
        <v/>
      </c>
      <c r="V5" s="7">
        <f>SUM(Calc_Engine!V$8:V$257)</f>
        <v/>
      </c>
      <c r="W5" s="7">
        <f>SUM(Calc_Engine!W$8:W$257)</f>
        <v/>
      </c>
      <c r="X5" s="7">
        <f>SUM(Calc_Engine!X$8:X$257)</f>
        <v/>
      </c>
      <c r="Y5" s="7">
        <f>SUM(Calc_Engine!Y$8:Y$257)</f>
        <v/>
      </c>
      <c r="Z5" s="7">
        <f>SUM(Calc_Engine!Z$8:Z$257)</f>
        <v/>
      </c>
      <c r="AA5" s="7">
        <f>SUM(Calc_Engine!AA$8:AA$257)</f>
        <v/>
      </c>
      <c r="AB5" s="7">
        <f>SUM(Calc_Engine!AB$8:AB$257)</f>
        <v/>
      </c>
      <c r="AC5" s="7">
        <f>SUM(Calc_Engine!AC$8:AC$257)</f>
        <v/>
      </c>
      <c r="AD5" s="7">
        <f>SUM(Calc_Engine!AD$8:AD$257)</f>
        <v/>
      </c>
      <c r="AE5" s="7">
        <f>SUM(Calc_Engine!AE$8:AE$257)</f>
        <v/>
      </c>
      <c r="AF5" s="7">
        <f>SUM(Calc_Engine!AF$8:AF$257)</f>
        <v/>
      </c>
      <c r="AG5" s="7">
        <f>SUM(Calc_Engine!AG$8:AG$257)</f>
        <v/>
      </c>
      <c r="AH5" s="7">
        <f>SUM(Calc_Engine!AH$8:AH$257)</f>
        <v/>
      </c>
      <c r="AI5" s="7">
        <f>SUM(Calc_Engine!AI$8:AI$257)</f>
        <v/>
      </c>
      <c r="AJ5" s="7">
        <f>SUM(Calc_Engine!AJ$8:AJ$257)</f>
        <v/>
      </c>
      <c r="AK5" s="7">
        <f>SUM(Calc_Engine!AK$8:AK$257)</f>
        <v/>
      </c>
      <c r="AL5" s="7">
        <f>SUM(Calc_Engine!AL$8:AL$257)</f>
        <v/>
      </c>
      <c r="AM5" s="7">
        <f>SUM(Calc_Engine!AM$8:AM$257)</f>
        <v/>
      </c>
      <c r="AN5" s="7">
        <f>SUM(Calc_Engine!AN$8:AN$257)</f>
        <v/>
      </c>
      <c r="AO5" s="7">
        <f>SUM(Calc_Engine!AO$8:AO$257)</f>
        <v/>
      </c>
      <c r="AP5" s="7">
        <f>SUM(Calc_Engine!AP$8:AP$257)</f>
        <v/>
      </c>
      <c r="AQ5" s="7">
        <f>SUM(Calc_Engine!AQ$8:AQ$257)</f>
        <v/>
      </c>
      <c r="AR5" s="7">
        <f>SUM(Calc_Engine!AR$8:AR$257)</f>
        <v/>
      </c>
      <c r="AS5" s="7">
        <f>SUM(Calc_Engine!AS$8:AS$257)</f>
        <v/>
      </c>
      <c r="AT5" s="7">
        <f>SUM(Calc_Engine!AT$8:AT$257)</f>
        <v/>
      </c>
      <c r="AU5" s="7">
        <f>SUM(Calc_Engine!AU$8:AU$257)</f>
        <v/>
      </c>
      <c r="AV5" s="7">
        <f>SUM(Calc_Engine!AV$8:AV$257)</f>
        <v/>
      </c>
      <c r="AW5" s="7">
        <f>SUM(Calc_Engine!AW$8:AW$257)</f>
        <v/>
      </c>
      <c r="AX5" s="7">
        <f>SUM(Calc_Engine!AX$8:AX$257)</f>
        <v/>
      </c>
      <c r="AY5" s="7">
        <f>SUM(Calc_Engine!AY$8:AY$257)</f>
        <v/>
      </c>
      <c r="AZ5" s="7">
        <f>SUM(Calc_Engine!AZ$8:AZ$257)</f>
        <v/>
      </c>
      <c r="BA5" s="7">
        <f>SUM(Calc_Engine!BA$8:BA$257)</f>
        <v/>
      </c>
      <c r="BB5" s="7">
        <f>SUM(Calc_Engine!BB$8:BB$257)</f>
        <v/>
      </c>
      <c r="BC5" s="7">
        <f>SUM(Calc_Engine!BC$8:BC$257)</f>
        <v/>
      </c>
      <c r="BD5" s="1" t="n"/>
    </row>
    <row r="6">
      <c r="A6" s="1" t="n"/>
      <c r="B6" s="1" t="n"/>
      <c r="C6" s="1" t="n"/>
      <c r="D6" s="1" t="n"/>
      <c r="E6" s="1" t="n"/>
      <c r="F6" s="1" t="n"/>
      <c r="G6" s="1" t="inlineStr">
        <is>
          <t>Required</t>
        </is>
      </c>
      <c r="H6" s="7">
        <f>IF(COUNTIFS(tblRequirements[OperationalDate],$E$2,tblRequirements[IntervalStart],H$1)=0,"",SUMIFS(tblRequirements[RequiredHeadcount],tblRequirements[OperationalDate],$E$2,tblRequirements[IntervalStart],H$1))</f>
        <v/>
      </c>
      <c r="I6" s="7">
        <f>IF(COUNTIFS(tblRequirements[OperationalDate],$E$2,tblRequirements[IntervalStart],I$1)=0,"",SUMIFS(tblRequirements[RequiredHeadcount],tblRequirements[OperationalDate],$E$2,tblRequirements[IntervalStart],I$1))</f>
        <v/>
      </c>
      <c r="J6" s="7">
        <f>IF(COUNTIFS(tblRequirements[OperationalDate],$E$2,tblRequirements[IntervalStart],J$1)=0,"",SUMIFS(tblRequirements[RequiredHeadcount],tblRequirements[OperationalDate],$E$2,tblRequirements[IntervalStart],J$1))</f>
        <v/>
      </c>
      <c r="K6" s="7">
        <f>IF(COUNTIFS(tblRequirements[OperationalDate],$E$2,tblRequirements[IntervalStart],K$1)=0,"",SUMIFS(tblRequirements[RequiredHeadcount],tblRequirements[OperationalDate],$E$2,tblRequirements[IntervalStart],K$1))</f>
        <v/>
      </c>
      <c r="L6" s="7">
        <f>IF(COUNTIFS(tblRequirements[OperationalDate],$E$2,tblRequirements[IntervalStart],L$1)=0,"",SUMIFS(tblRequirements[RequiredHeadcount],tblRequirements[OperationalDate],$E$2,tblRequirements[IntervalStart],L$1))</f>
        <v/>
      </c>
      <c r="M6" s="7">
        <f>IF(COUNTIFS(tblRequirements[OperationalDate],$E$2,tblRequirements[IntervalStart],M$1)=0,"",SUMIFS(tblRequirements[RequiredHeadcount],tblRequirements[OperationalDate],$E$2,tblRequirements[IntervalStart],M$1))</f>
        <v/>
      </c>
      <c r="N6" s="7">
        <f>IF(COUNTIFS(tblRequirements[OperationalDate],$E$2,tblRequirements[IntervalStart],N$1)=0,"",SUMIFS(tblRequirements[RequiredHeadcount],tblRequirements[OperationalDate],$E$2,tblRequirements[IntervalStart],N$1))</f>
        <v/>
      </c>
      <c r="O6" s="7">
        <f>IF(COUNTIFS(tblRequirements[OperationalDate],$E$2,tblRequirements[IntervalStart],O$1)=0,"",SUMIFS(tblRequirements[RequiredHeadcount],tblRequirements[OperationalDate],$E$2,tblRequirements[IntervalStart],O$1))</f>
        <v/>
      </c>
      <c r="P6" s="7">
        <f>IF(COUNTIFS(tblRequirements[OperationalDate],$E$2,tblRequirements[IntervalStart],P$1)=0,"",SUMIFS(tblRequirements[RequiredHeadcount],tblRequirements[OperationalDate],$E$2,tblRequirements[IntervalStart],P$1))</f>
        <v/>
      </c>
      <c r="Q6" s="7">
        <f>IF(COUNTIFS(tblRequirements[OperationalDate],$E$2,tblRequirements[IntervalStart],Q$1)=0,"",SUMIFS(tblRequirements[RequiredHeadcount],tblRequirements[OperationalDate],$E$2,tblRequirements[IntervalStart],Q$1))</f>
        <v/>
      </c>
      <c r="R6" s="7">
        <f>IF(COUNTIFS(tblRequirements[OperationalDate],$E$2,tblRequirements[IntervalStart],R$1)=0,"",SUMIFS(tblRequirements[RequiredHeadcount],tblRequirements[OperationalDate],$E$2,tblRequirements[IntervalStart],R$1))</f>
        <v/>
      </c>
      <c r="S6" s="7">
        <f>IF(COUNTIFS(tblRequirements[OperationalDate],$E$2,tblRequirements[IntervalStart],S$1)=0,"",SUMIFS(tblRequirements[RequiredHeadcount],tblRequirements[OperationalDate],$E$2,tblRequirements[IntervalStart],S$1))</f>
        <v/>
      </c>
      <c r="T6" s="7">
        <f>IF(COUNTIFS(tblRequirements[OperationalDate],$E$2,tblRequirements[IntervalStart],T$1)=0,"",SUMIFS(tblRequirements[RequiredHeadcount],tblRequirements[OperationalDate],$E$2,tblRequirements[IntervalStart],T$1))</f>
        <v/>
      </c>
      <c r="U6" s="7">
        <f>IF(COUNTIFS(tblRequirements[OperationalDate],$E$2,tblRequirements[IntervalStart],U$1)=0,"",SUMIFS(tblRequirements[RequiredHeadcount],tblRequirements[OperationalDate],$E$2,tblRequirements[IntervalStart],U$1))</f>
        <v/>
      </c>
      <c r="V6" s="7">
        <f>IF(COUNTIFS(tblRequirements[OperationalDate],$E$2,tblRequirements[IntervalStart],V$1)=0,"",SUMIFS(tblRequirements[RequiredHeadcount],tblRequirements[OperationalDate],$E$2,tblRequirements[IntervalStart],V$1))</f>
        <v/>
      </c>
      <c r="W6" s="7">
        <f>IF(COUNTIFS(tblRequirements[OperationalDate],$E$2,tblRequirements[IntervalStart],W$1)=0,"",SUMIFS(tblRequirements[RequiredHeadcount],tblRequirements[OperationalDate],$E$2,tblRequirements[IntervalStart],W$1))</f>
        <v/>
      </c>
      <c r="X6" s="7">
        <f>IF(COUNTIFS(tblRequirements[OperationalDate],$E$2,tblRequirements[IntervalStart],X$1)=0,"",SUMIFS(tblRequirements[RequiredHeadcount],tblRequirements[OperationalDate],$E$2,tblRequirements[IntervalStart],X$1))</f>
        <v/>
      </c>
      <c r="Y6" s="7">
        <f>IF(COUNTIFS(tblRequirements[OperationalDate],$E$2,tblRequirements[IntervalStart],Y$1)=0,"",SUMIFS(tblRequirements[RequiredHeadcount],tblRequirements[OperationalDate],$E$2,tblRequirements[IntervalStart],Y$1))</f>
        <v/>
      </c>
      <c r="Z6" s="7">
        <f>IF(COUNTIFS(tblRequirements[OperationalDate],$E$2,tblRequirements[IntervalStart],Z$1)=0,"",SUMIFS(tblRequirements[RequiredHeadcount],tblRequirements[OperationalDate],$E$2,tblRequirements[IntervalStart],Z$1))</f>
        <v/>
      </c>
      <c r="AA6" s="7">
        <f>IF(COUNTIFS(tblRequirements[OperationalDate],$E$2,tblRequirements[IntervalStart],AA$1)=0,"",SUMIFS(tblRequirements[RequiredHeadcount],tblRequirements[OperationalDate],$E$2,tblRequirements[IntervalStart],AA$1))</f>
        <v/>
      </c>
      <c r="AB6" s="7">
        <f>IF(COUNTIFS(tblRequirements[OperationalDate],$E$2,tblRequirements[IntervalStart],AB$1)=0,"",SUMIFS(tblRequirements[RequiredHeadcount],tblRequirements[OperationalDate],$E$2,tblRequirements[IntervalStart],AB$1))</f>
        <v/>
      </c>
      <c r="AC6" s="7">
        <f>IF(COUNTIFS(tblRequirements[OperationalDate],$E$2,tblRequirements[IntervalStart],AC$1)=0,"",SUMIFS(tblRequirements[RequiredHeadcount],tblRequirements[OperationalDate],$E$2,tblRequirements[IntervalStart],AC$1))</f>
        <v/>
      </c>
      <c r="AD6" s="7">
        <f>IF(COUNTIFS(tblRequirements[OperationalDate],$E$2,tblRequirements[IntervalStart],AD$1)=0,"",SUMIFS(tblRequirements[RequiredHeadcount],tblRequirements[OperationalDate],$E$2,tblRequirements[IntervalStart],AD$1))</f>
        <v/>
      </c>
      <c r="AE6" s="7">
        <f>IF(COUNTIFS(tblRequirements[OperationalDate],$E$2,tblRequirements[IntervalStart],AE$1)=0,"",SUMIFS(tblRequirements[RequiredHeadcount],tblRequirements[OperationalDate],$E$2,tblRequirements[IntervalStart],AE$1))</f>
        <v/>
      </c>
      <c r="AF6" s="7">
        <f>IF(COUNTIFS(tblRequirements[OperationalDate],$E$2,tblRequirements[IntervalStart],AF$1)=0,"",SUMIFS(tblRequirements[RequiredHeadcount],tblRequirements[OperationalDate],$E$2,tblRequirements[IntervalStart],AF$1))</f>
        <v/>
      </c>
      <c r="AG6" s="7">
        <f>IF(COUNTIFS(tblRequirements[OperationalDate],$E$2,tblRequirements[IntervalStart],AG$1)=0,"",SUMIFS(tblRequirements[RequiredHeadcount],tblRequirements[OperationalDate],$E$2,tblRequirements[IntervalStart],AG$1))</f>
        <v/>
      </c>
      <c r="AH6" s="7">
        <f>IF(COUNTIFS(tblRequirements[OperationalDate],$E$2,tblRequirements[IntervalStart],AH$1)=0,"",SUMIFS(tblRequirements[RequiredHeadcount],tblRequirements[OperationalDate],$E$2,tblRequirements[IntervalStart],AH$1))</f>
        <v/>
      </c>
      <c r="AI6" s="7">
        <f>IF(COUNTIFS(tblRequirements[OperationalDate],$E$2,tblRequirements[IntervalStart],AI$1)=0,"",SUMIFS(tblRequirements[RequiredHeadcount],tblRequirements[OperationalDate],$E$2,tblRequirements[IntervalStart],AI$1))</f>
        <v/>
      </c>
      <c r="AJ6" s="7">
        <f>IF(COUNTIFS(tblRequirements[OperationalDate],$E$2,tblRequirements[IntervalStart],AJ$1)=0,"",SUMIFS(tblRequirements[RequiredHeadcount],tblRequirements[OperationalDate],$E$2,tblRequirements[IntervalStart],AJ$1))</f>
        <v/>
      </c>
      <c r="AK6" s="7">
        <f>IF(COUNTIFS(tblRequirements[OperationalDate],$E$2,tblRequirements[IntervalStart],AK$1)=0,"",SUMIFS(tblRequirements[RequiredHeadcount],tblRequirements[OperationalDate],$E$2,tblRequirements[IntervalStart],AK$1))</f>
        <v/>
      </c>
      <c r="AL6" s="7">
        <f>IF(COUNTIFS(tblRequirements[OperationalDate],$E$2,tblRequirements[IntervalStart],AL$1)=0,"",SUMIFS(tblRequirements[RequiredHeadcount],tblRequirements[OperationalDate],$E$2,tblRequirements[IntervalStart],AL$1))</f>
        <v/>
      </c>
      <c r="AM6" s="7">
        <f>IF(COUNTIFS(tblRequirements[OperationalDate],$E$2,tblRequirements[IntervalStart],AM$1)=0,"",SUMIFS(tblRequirements[RequiredHeadcount],tblRequirements[OperationalDate],$E$2,tblRequirements[IntervalStart],AM$1))</f>
        <v/>
      </c>
      <c r="AN6" s="7">
        <f>IF(COUNTIFS(tblRequirements[OperationalDate],$E$2,tblRequirements[IntervalStart],AN$1)=0,"",SUMIFS(tblRequirements[RequiredHeadcount],tblRequirements[OperationalDate],$E$2,tblRequirements[IntervalStart],AN$1))</f>
        <v/>
      </c>
      <c r="AO6" s="7">
        <f>IF(COUNTIFS(tblRequirements[OperationalDate],$E$2,tblRequirements[IntervalStart],AO$1)=0,"",SUMIFS(tblRequirements[RequiredHeadcount],tblRequirements[OperationalDate],$E$2,tblRequirements[IntervalStart],AO$1))</f>
        <v/>
      </c>
      <c r="AP6" s="7">
        <f>IF(COUNTIFS(tblRequirements[OperationalDate],$E$2,tblRequirements[IntervalStart],AP$1)=0,"",SUMIFS(tblRequirements[RequiredHeadcount],tblRequirements[OperationalDate],$E$2,tblRequirements[IntervalStart],AP$1))</f>
        <v/>
      </c>
      <c r="AQ6" s="7">
        <f>IF(COUNTIFS(tblRequirements[OperationalDate],$E$2,tblRequirements[IntervalStart],AQ$1)=0,"",SUMIFS(tblRequirements[RequiredHeadcount],tblRequirements[OperationalDate],$E$2,tblRequirements[IntervalStart],AQ$1))</f>
        <v/>
      </c>
      <c r="AR6" s="7">
        <f>IF(COUNTIFS(tblRequirements[OperationalDate],$E$2,tblRequirements[IntervalStart],AR$1)=0,"",SUMIFS(tblRequirements[RequiredHeadcount],tblRequirements[OperationalDate],$E$2,tblRequirements[IntervalStart],AR$1))</f>
        <v/>
      </c>
      <c r="AS6" s="7">
        <f>IF(COUNTIFS(tblRequirements[OperationalDate],$E$2,tblRequirements[IntervalStart],AS$1)=0,"",SUMIFS(tblRequirements[RequiredHeadcount],tblRequirements[OperationalDate],$E$2,tblRequirements[IntervalStart],AS$1))</f>
        <v/>
      </c>
      <c r="AT6" s="7">
        <f>IF(COUNTIFS(tblRequirements[OperationalDate],$E$2,tblRequirements[IntervalStart],AT$1)=0,"",SUMIFS(tblRequirements[RequiredHeadcount],tblRequirements[OperationalDate],$E$2,tblRequirements[IntervalStart],AT$1))</f>
        <v/>
      </c>
      <c r="AU6" s="7">
        <f>IF(COUNTIFS(tblRequirements[OperationalDate],$E$2,tblRequirements[IntervalStart],AU$1)=0,"",SUMIFS(tblRequirements[RequiredHeadcount],tblRequirements[OperationalDate],$E$2,tblRequirements[IntervalStart],AU$1))</f>
        <v/>
      </c>
      <c r="AV6" s="7">
        <f>IF(COUNTIFS(tblRequirements[OperationalDate],$E$2,tblRequirements[IntervalStart],AV$1)=0,"",SUMIFS(tblRequirements[RequiredHeadcount],tblRequirements[OperationalDate],$E$2,tblRequirements[IntervalStart],AV$1))</f>
        <v/>
      </c>
      <c r="AW6" s="7">
        <f>IF(COUNTIFS(tblRequirements[OperationalDate],$E$2,tblRequirements[IntervalStart],AW$1)=0,"",SUMIFS(tblRequirements[RequiredHeadcount],tblRequirements[OperationalDate],$E$2,tblRequirements[IntervalStart],AW$1))</f>
        <v/>
      </c>
      <c r="AX6" s="7">
        <f>IF(COUNTIFS(tblRequirements[OperationalDate],$E$2,tblRequirements[IntervalStart],AX$1)=0,"",SUMIFS(tblRequirements[RequiredHeadcount],tblRequirements[OperationalDate],$E$2,tblRequirements[IntervalStart],AX$1))</f>
        <v/>
      </c>
      <c r="AY6" s="7">
        <f>IF(COUNTIFS(tblRequirements[OperationalDate],$E$2,tblRequirements[IntervalStart],AY$1)=0,"",SUMIFS(tblRequirements[RequiredHeadcount],tblRequirements[OperationalDate],$E$2,tblRequirements[IntervalStart],AY$1))</f>
        <v/>
      </c>
      <c r="AZ6" s="7">
        <f>IF(COUNTIFS(tblRequirements[OperationalDate],$E$2,tblRequirements[IntervalStart],AZ$1)=0,"",SUMIFS(tblRequirements[RequiredHeadcount],tblRequirements[OperationalDate],$E$2,tblRequirements[IntervalStart],AZ$1))</f>
        <v/>
      </c>
      <c r="BA6" s="7">
        <f>IF(COUNTIFS(tblRequirements[OperationalDate],$E$2,tblRequirements[IntervalStart],BA$1)=0,"",SUMIFS(tblRequirements[RequiredHeadcount],tblRequirements[OperationalDate],$E$2,tblRequirements[IntervalStart],BA$1))</f>
        <v/>
      </c>
      <c r="BB6" s="7">
        <f>IF(COUNTIFS(tblRequirements[OperationalDate],$E$2,tblRequirements[IntervalStart],BB$1)=0,"",SUMIFS(tblRequirements[RequiredHeadcount],tblRequirements[OperationalDate],$E$2,tblRequirements[IntervalStart],BB$1))</f>
        <v/>
      </c>
      <c r="BC6" s="7">
        <f>IF(COUNTIFS(tblRequirements[OperationalDate],$E$2,tblRequirements[IntervalStart],BC$1)=0,"",SUMIFS(tblRequirements[RequiredHeadcount],tblRequirements[OperationalDate],$E$2,tblRequirements[IntervalStart],BC$1))</f>
        <v/>
      </c>
      <c r="BD6" s="1" t="n"/>
    </row>
    <row r="7">
      <c r="A7" s="1" t="n"/>
      <c r="B7" s="1" t="n"/>
      <c r="C7" s="1" t="n"/>
      <c r="D7" s="1" t="n"/>
      <c r="E7" s="1" t="n"/>
      <c r="F7" s="1" t="n"/>
      <c r="G7" s="1" t="inlineStr">
        <is>
          <t>Over/Under</t>
        </is>
      </c>
      <c r="H7" s="7">
        <f>IF($E$2="","MissingDate",IF(H$6="","MissingRequirement",ROUND(H$5-H$6,2)))</f>
        <v/>
      </c>
      <c r="I7" s="7">
        <f>IF($E$2="","MissingDate",IF(I$6="","MissingRequirement",ROUND(I$5-I$6,2)))</f>
        <v/>
      </c>
      <c r="J7" s="7">
        <f>IF($E$2="","MissingDate",IF(J$6="","MissingRequirement",ROUND(J$5-J$6,2)))</f>
        <v/>
      </c>
      <c r="K7" s="7">
        <f>IF($E$2="","MissingDate",IF(K$6="","MissingRequirement",ROUND(K$5-K$6,2)))</f>
        <v/>
      </c>
      <c r="L7" s="7">
        <f>IF($E$2="","MissingDate",IF(L$6="","MissingRequirement",ROUND(L$5-L$6,2)))</f>
        <v/>
      </c>
      <c r="M7" s="7">
        <f>IF($E$2="","MissingDate",IF(M$6="","MissingRequirement",ROUND(M$5-M$6,2)))</f>
        <v/>
      </c>
      <c r="N7" s="7">
        <f>IF($E$2="","MissingDate",IF(N$6="","MissingRequirement",ROUND(N$5-N$6,2)))</f>
        <v/>
      </c>
      <c r="O7" s="7">
        <f>IF($E$2="","MissingDate",IF(O$6="","MissingRequirement",ROUND(O$5-O$6,2)))</f>
        <v/>
      </c>
      <c r="P7" s="7">
        <f>IF($E$2="","MissingDate",IF(P$6="","MissingRequirement",ROUND(P$5-P$6,2)))</f>
        <v/>
      </c>
      <c r="Q7" s="7">
        <f>IF($E$2="","MissingDate",IF(Q$6="","MissingRequirement",ROUND(Q$5-Q$6,2)))</f>
        <v/>
      </c>
      <c r="R7" s="7">
        <f>IF($E$2="","MissingDate",IF(R$6="","MissingRequirement",ROUND(R$5-R$6,2)))</f>
        <v/>
      </c>
      <c r="S7" s="7">
        <f>IF($E$2="","MissingDate",IF(S$6="","MissingRequirement",ROUND(S$5-S$6,2)))</f>
        <v/>
      </c>
      <c r="T7" s="7">
        <f>IF($E$2="","MissingDate",IF(T$6="","MissingRequirement",ROUND(T$5-T$6,2)))</f>
        <v/>
      </c>
      <c r="U7" s="7">
        <f>IF($E$2="","MissingDate",IF(U$6="","MissingRequirement",ROUND(U$5-U$6,2)))</f>
        <v/>
      </c>
      <c r="V7" s="7">
        <f>IF($E$2="","MissingDate",IF(V$6="","MissingRequirement",ROUND(V$5-V$6,2)))</f>
        <v/>
      </c>
      <c r="W7" s="7">
        <f>IF($E$2="","MissingDate",IF(W$6="","MissingRequirement",ROUND(W$5-W$6,2)))</f>
        <v/>
      </c>
      <c r="X7" s="7">
        <f>IF($E$2="","MissingDate",IF(X$6="","MissingRequirement",ROUND(X$5-X$6,2)))</f>
        <v/>
      </c>
      <c r="Y7" s="7">
        <f>IF($E$2="","MissingDate",IF(Y$6="","MissingRequirement",ROUND(Y$5-Y$6,2)))</f>
        <v/>
      </c>
      <c r="Z7" s="7">
        <f>IF($E$2="","MissingDate",IF(Z$6="","MissingRequirement",ROUND(Z$5-Z$6,2)))</f>
        <v/>
      </c>
      <c r="AA7" s="7">
        <f>IF($E$2="","MissingDate",IF(AA$6="","MissingRequirement",ROUND(AA$5-AA$6,2)))</f>
        <v/>
      </c>
      <c r="AB7" s="7">
        <f>IF($E$2="","MissingDate",IF(AB$6="","MissingRequirement",ROUND(AB$5-AB$6,2)))</f>
        <v/>
      </c>
      <c r="AC7" s="7">
        <f>IF($E$2="","MissingDate",IF(AC$6="","MissingRequirement",ROUND(AC$5-AC$6,2)))</f>
        <v/>
      </c>
      <c r="AD7" s="7">
        <f>IF($E$2="","MissingDate",IF(AD$6="","MissingRequirement",ROUND(AD$5-AD$6,2)))</f>
        <v/>
      </c>
      <c r="AE7" s="7">
        <f>IF($E$2="","MissingDate",IF(AE$6="","MissingRequirement",ROUND(AE$5-AE$6,2)))</f>
        <v/>
      </c>
      <c r="AF7" s="7">
        <f>IF($E$2="","MissingDate",IF(AF$6="","MissingRequirement",ROUND(AF$5-AF$6,2)))</f>
        <v/>
      </c>
      <c r="AG7" s="7">
        <f>IF($E$2="","MissingDate",IF(AG$6="","MissingRequirement",ROUND(AG$5-AG$6,2)))</f>
        <v/>
      </c>
      <c r="AH7" s="7">
        <f>IF($E$2="","MissingDate",IF(AH$6="","MissingRequirement",ROUND(AH$5-AH$6,2)))</f>
        <v/>
      </c>
      <c r="AI7" s="7">
        <f>IF($E$2="","MissingDate",IF(AI$6="","MissingRequirement",ROUND(AI$5-AI$6,2)))</f>
        <v/>
      </c>
      <c r="AJ7" s="7">
        <f>IF($E$2="","MissingDate",IF(AJ$6="","MissingRequirement",ROUND(AJ$5-AJ$6,2)))</f>
        <v/>
      </c>
      <c r="AK7" s="7">
        <f>IF($E$2="","MissingDate",IF(AK$6="","MissingRequirement",ROUND(AK$5-AK$6,2)))</f>
        <v/>
      </c>
      <c r="AL7" s="7">
        <f>IF($E$2="","MissingDate",IF(AL$6="","MissingRequirement",ROUND(AL$5-AL$6,2)))</f>
        <v/>
      </c>
      <c r="AM7" s="7">
        <f>IF($E$2="","MissingDate",IF(AM$6="","MissingRequirement",ROUND(AM$5-AM$6,2)))</f>
        <v/>
      </c>
      <c r="AN7" s="7">
        <f>IF($E$2="","MissingDate",IF(AN$6="","MissingRequirement",ROUND(AN$5-AN$6,2)))</f>
        <v/>
      </c>
      <c r="AO7" s="7">
        <f>IF($E$2="","MissingDate",IF(AO$6="","MissingRequirement",ROUND(AO$5-AO$6,2)))</f>
        <v/>
      </c>
      <c r="AP7" s="7">
        <f>IF($E$2="","MissingDate",IF(AP$6="","MissingRequirement",ROUND(AP$5-AP$6,2)))</f>
        <v/>
      </c>
      <c r="AQ7" s="7">
        <f>IF($E$2="","MissingDate",IF(AQ$6="","MissingRequirement",ROUND(AQ$5-AQ$6,2)))</f>
        <v/>
      </c>
      <c r="AR7" s="7">
        <f>IF($E$2="","MissingDate",IF(AR$6="","MissingRequirement",ROUND(AR$5-AR$6,2)))</f>
        <v/>
      </c>
      <c r="AS7" s="7">
        <f>IF($E$2="","MissingDate",IF(AS$6="","MissingRequirement",ROUND(AS$5-AS$6,2)))</f>
        <v/>
      </c>
      <c r="AT7" s="7">
        <f>IF($E$2="","MissingDate",IF(AT$6="","MissingRequirement",ROUND(AT$5-AT$6,2)))</f>
        <v/>
      </c>
      <c r="AU7" s="7">
        <f>IF($E$2="","MissingDate",IF(AU$6="","MissingRequirement",ROUND(AU$5-AU$6,2)))</f>
        <v/>
      </c>
      <c r="AV7" s="7">
        <f>IF($E$2="","MissingDate",IF(AV$6="","MissingRequirement",ROUND(AV$5-AV$6,2)))</f>
        <v/>
      </c>
      <c r="AW7" s="7">
        <f>IF($E$2="","MissingDate",IF(AW$6="","MissingRequirement",ROUND(AW$5-AW$6,2)))</f>
        <v/>
      </c>
      <c r="AX7" s="7">
        <f>IF($E$2="","MissingDate",IF(AX$6="","MissingRequirement",ROUND(AX$5-AX$6,2)))</f>
        <v/>
      </c>
      <c r="AY7" s="7">
        <f>IF($E$2="","MissingDate",IF(AY$6="","MissingRequirement",ROUND(AY$5-AY$6,2)))</f>
        <v/>
      </c>
      <c r="AZ7" s="7">
        <f>IF($E$2="","MissingDate",IF(AZ$6="","MissingRequirement",ROUND(AZ$5-AZ$6,2)))</f>
        <v/>
      </c>
      <c r="BA7" s="7">
        <f>IF($E$2="","MissingDate",IF(BA$6="","MissingRequirement",ROUND(BA$5-BA$6,2)))</f>
        <v/>
      </c>
      <c r="BB7" s="7">
        <f>IF($E$2="","MissingDate",IF(BB$6="","MissingRequirement",ROUND(BB$5-BB$6,2)))</f>
        <v/>
      </c>
      <c r="BC7" s="7">
        <f>IF($E$2="","MissingDate",IF(BC$6="","MissingRequirement",ROUND(BC$5-BC$6,2)))</f>
        <v/>
      </c>
      <c r="BD7" s="1" t="n"/>
    </row>
    <row r="8">
      <c r="A8" s="2">
        <f>Calc_Engine!A8</f>
        <v/>
      </c>
      <c r="B8" s="2">
        <f>Calc_Engine!B8</f>
        <v/>
      </c>
      <c r="C8" s="2">
        <f>Calc_Engine!C8</f>
        <v/>
      </c>
      <c r="D8" s="2">
        <f>Calc_Engine!D8</f>
        <v/>
      </c>
      <c r="E8" s="4">
        <f>Calc_Engine!E8</f>
        <v/>
      </c>
      <c r="F8" s="5">
        <f>Calc_Engine!F8</f>
        <v/>
      </c>
      <c r="G8" s="5">
        <f>Calc_Engine!G8</f>
        <v/>
      </c>
      <c r="H8" s="2">
        <f>LET(id,$A8,code,UPPER(TRIM($D8)),rawStart,$F8,rawEnd,$G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" s="2">
        <f>LET(id,$A8,code,UPPER(TRIM($D8)),rawStart,$F8,rawEnd,$G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" s="2">
        <f>LET(id,$A8,code,UPPER(TRIM($D8)),rawStart,$F8,rawEnd,$G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" s="2">
        <f>LET(id,$A8,code,UPPER(TRIM($D8)),rawStart,$F8,rawEnd,$G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" s="2">
        <f>LET(id,$A8,code,UPPER(TRIM($D8)),rawStart,$F8,rawEnd,$G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" s="2">
        <f>LET(id,$A8,code,UPPER(TRIM($D8)),rawStart,$F8,rawEnd,$G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" s="2">
        <f>LET(id,$A8,code,UPPER(TRIM($D8)),rawStart,$F8,rawEnd,$G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" s="2">
        <f>LET(id,$A8,code,UPPER(TRIM($D8)),rawStart,$F8,rawEnd,$G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" s="2">
        <f>LET(id,$A8,code,UPPER(TRIM($D8)),rawStart,$F8,rawEnd,$G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" s="2">
        <f>LET(id,$A8,code,UPPER(TRIM($D8)),rawStart,$F8,rawEnd,$G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" s="2">
        <f>LET(id,$A8,code,UPPER(TRIM($D8)),rawStart,$F8,rawEnd,$G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" s="2">
        <f>LET(id,$A8,code,UPPER(TRIM($D8)),rawStart,$F8,rawEnd,$G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" s="2">
        <f>LET(id,$A8,code,UPPER(TRIM($D8)),rawStart,$F8,rawEnd,$G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" s="2">
        <f>LET(id,$A8,code,UPPER(TRIM($D8)),rawStart,$F8,rawEnd,$G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" s="2">
        <f>LET(id,$A8,code,UPPER(TRIM($D8)),rawStart,$F8,rawEnd,$G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" s="2">
        <f>LET(id,$A8,code,UPPER(TRIM($D8)),rawStart,$F8,rawEnd,$G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" s="2">
        <f>LET(id,$A8,code,UPPER(TRIM($D8)),rawStart,$F8,rawEnd,$G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" s="2">
        <f>LET(id,$A8,code,UPPER(TRIM($D8)),rawStart,$F8,rawEnd,$G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" s="2">
        <f>LET(id,$A8,code,UPPER(TRIM($D8)),rawStart,$F8,rawEnd,$G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" s="2">
        <f>LET(id,$A8,code,UPPER(TRIM($D8)),rawStart,$F8,rawEnd,$G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" s="2">
        <f>LET(id,$A8,code,UPPER(TRIM($D8)),rawStart,$F8,rawEnd,$G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" s="2">
        <f>LET(id,$A8,code,UPPER(TRIM($D8)),rawStart,$F8,rawEnd,$G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" s="2">
        <f>LET(id,$A8,code,UPPER(TRIM($D8)),rawStart,$F8,rawEnd,$G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" s="2">
        <f>LET(id,$A8,code,UPPER(TRIM($D8)),rawStart,$F8,rawEnd,$G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" s="2">
        <f>LET(id,$A8,code,UPPER(TRIM($D8)),rawStart,$F8,rawEnd,$G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" s="2">
        <f>LET(id,$A8,code,UPPER(TRIM($D8)),rawStart,$F8,rawEnd,$G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" s="2">
        <f>LET(id,$A8,code,UPPER(TRIM($D8)),rawStart,$F8,rawEnd,$G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" s="2">
        <f>LET(id,$A8,code,UPPER(TRIM($D8)),rawStart,$F8,rawEnd,$G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" s="2">
        <f>LET(id,$A8,code,UPPER(TRIM($D8)),rawStart,$F8,rawEnd,$G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" s="2">
        <f>LET(id,$A8,code,UPPER(TRIM($D8)),rawStart,$F8,rawEnd,$G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" s="2">
        <f>LET(id,$A8,code,UPPER(TRIM($D8)),rawStart,$F8,rawEnd,$G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" s="2">
        <f>LET(id,$A8,code,UPPER(TRIM($D8)),rawStart,$F8,rawEnd,$G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" s="2">
        <f>LET(id,$A8,code,UPPER(TRIM($D8)),rawStart,$F8,rawEnd,$G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" s="2">
        <f>LET(id,$A8,code,UPPER(TRIM($D8)),rawStart,$F8,rawEnd,$G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" s="2">
        <f>LET(id,$A8,code,UPPER(TRIM($D8)),rawStart,$F8,rawEnd,$G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" s="2">
        <f>LET(id,$A8,code,UPPER(TRIM($D8)),rawStart,$F8,rawEnd,$G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" s="2">
        <f>LET(id,$A8,code,UPPER(TRIM($D8)),rawStart,$F8,rawEnd,$G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" s="2">
        <f>LET(id,$A8,code,UPPER(TRIM($D8)),rawStart,$F8,rawEnd,$G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" s="2">
        <f>LET(id,$A8,code,UPPER(TRIM($D8)),rawStart,$F8,rawEnd,$G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" s="2">
        <f>LET(id,$A8,code,UPPER(TRIM($D8)),rawStart,$F8,rawEnd,$G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" s="2">
        <f>LET(id,$A8,code,UPPER(TRIM($D8)),rawStart,$F8,rawEnd,$G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" s="2">
        <f>LET(id,$A8,code,UPPER(TRIM($D8)),rawStart,$F8,rawEnd,$G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" s="2">
        <f>LET(id,$A8,code,UPPER(TRIM($D8)),rawStart,$F8,rawEnd,$G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" s="2">
        <f>LET(id,$A8,code,UPPER(TRIM($D8)),rawStart,$F8,rawEnd,$G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" s="2">
        <f>LET(id,$A8,code,UPPER(TRIM($D8)),rawStart,$F8,rawEnd,$G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" s="2">
        <f>LET(id,$A8,code,UPPER(TRIM($D8)),rawStart,$F8,rawEnd,$G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" s="2">
        <f>LET(id,$A8,code,UPPER(TRIM($D8)),rawStart,$F8,rawEnd,$G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" s="2">
        <f>LET(id,$A8,code,UPPER(TRIM($D8)),rawStart,$F8,rawEnd,$G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8" s="2">
        <f>Calc_Engine!BD8</f>
        <v/>
      </c>
    </row>
    <row r="9">
      <c r="A9" s="2">
        <f>Calc_Engine!A9</f>
        <v/>
      </c>
      <c r="B9" s="2">
        <f>Calc_Engine!B9</f>
        <v/>
      </c>
      <c r="C9" s="2">
        <f>Calc_Engine!C9</f>
        <v/>
      </c>
      <c r="D9" s="2">
        <f>Calc_Engine!D9</f>
        <v/>
      </c>
      <c r="E9" s="4">
        <f>Calc_Engine!E9</f>
        <v/>
      </c>
      <c r="F9" s="5">
        <f>Calc_Engine!F9</f>
        <v/>
      </c>
      <c r="G9" s="5">
        <f>Calc_Engine!G9</f>
        <v/>
      </c>
      <c r="H9" s="2">
        <f>LET(id,$A9,code,UPPER(TRIM($D9)),rawStart,$F9,rawEnd,$G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" s="2">
        <f>LET(id,$A9,code,UPPER(TRIM($D9)),rawStart,$F9,rawEnd,$G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" s="2">
        <f>LET(id,$A9,code,UPPER(TRIM($D9)),rawStart,$F9,rawEnd,$G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" s="2">
        <f>LET(id,$A9,code,UPPER(TRIM($D9)),rawStart,$F9,rawEnd,$G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" s="2">
        <f>LET(id,$A9,code,UPPER(TRIM($D9)),rawStart,$F9,rawEnd,$G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" s="2">
        <f>LET(id,$A9,code,UPPER(TRIM($D9)),rawStart,$F9,rawEnd,$G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" s="2">
        <f>LET(id,$A9,code,UPPER(TRIM($D9)),rawStart,$F9,rawEnd,$G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" s="2">
        <f>LET(id,$A9,code,UPPER(TRIM($D9)),rawStart,$F9,rawEnd,$G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" s="2">
        <f>LET(id,$A9,code,UPPER(TRIM($D9)),rawStart,$F9,rawEnd,$G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" s="2">
        <f>LET(id,$A9,code,UPPER(TRIM($D9)),rawStart,$F9,rawEnd,$G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" s="2">
        <f>LET(id,$A9,code,UPPER(TRIM($D9)),rawStart,$F9,rawEnd,$G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" s="2">
        <f>LET(id,$A9,code,UPPER(TRIM($D9)),rawStart,$F9,rawEnd,$G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" s="2">
        <f>LET(id,$A9,code,UPPER(TRIM($D9)),rawStart,$F9,rawEnd,$G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" s="2">
        <f>LET(id,$A9,code,UPPER(TRIM($D9)),rawStart,$F9,rawEnd,$G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" s="2">
        <f>LET(id,$A9,code,UPPER(TRIM($D9)),rawStart,$F9,rawEnd,$G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" s="2">
        <f>LET(id,$A9,code,UPPER(TRIM($D9)),rawStart,$F9,rawEnd,$G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" s="2">
        <f>LET(id,$A9,code,UPPER(TRIM($D9)),rawStart,$F9,rawEnd,$G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" s="2">
        <f>LET(id,$A9,code,UPPER(TRIM($D9)),rawStart,$F9,rawEnd,$G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" s="2">
        <f>LET(id,$A9,code,UPPER(TRIM($D9)),rawStart,$F9,rawEnd,$G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" s="2">
        <f>LET(id,$A9,code,UPPER(TRIM($D9)),rawStart,$F9,rawEnd,$G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" s="2">
        <f>LET(id,$A9,code,UPPER(TRIM($D9)),rawStart,$F9,rawEnd,$G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" s="2">
        <f>LET(id,$A9,code,UPPER(TRIM($D9)),rawStart,$F9,rawEnd,$G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" s="2">
        <f>LET(id,$A9,code,UPPER(TRIM($D9)),rawStart,$F9,rawEnd,$G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" s="2">
        <f>LET(id,$A9,code,UPPER(TRIM($D9)),rawStart,$F9,rawEnd,$G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" s="2">
        <f>LET(id,$A9,code,UPPER(TRIM($D9)),rawStart,$F9,rawEnd,$G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" s="2">
        <f>LET(id,$A9,code,UPPER(TRIM($D9)),rawStart,$F9,rawEnd,$G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" s="2">
        <f>LET(id,$A9,code,UPPER(TRIM($D9)),rawStart,$F9,rawEnd,$G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" s="2">
        <f>LET(id,$A9,code,UPPER(TRIM($D9)),rawStart,$F9,rawEnd,$G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" s="2">
        <f>LET(id,$A9,code,UPPER(TRIM($D9)),rawStart,$F9,rawEnd,$G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" s="2">
        <f>LET(id,$A9,code,UPPER(TRIM($D9)),rawStart,$F9,rawEnd,$G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" s="2">
        <f>LET(id,$A9,code,UPPER(TRIM($D9)),rawStart,$F9,rawEnd,$G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" s="2">
        <f>LET(id,$A9,code,UPPER(TRIM($D9)),rawStart,$F9,rawEnd,$G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" s="2">
        <f>LET(id,$A9,code,UPPER(TRIM($D9)),rawStart,$F9,rawEnd,$G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" s="2">
        <f>LET(id,$A9,code,UPPER(TRIM($D9)),rawStart,$F9,rawEnd,$G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" s="2">
        <f>LET(id,$A9,code,UPPER(TRIM($D9)),rawStart,$F9,rawEnd,$G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" s="2">
        <f>LET(id,$A9,code,UPPER(TRIM($D9)),rawStart,$F9,rawEnd,$G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" s="2">
        <f>LET(id,$A9,code,UPPER(TRIM($D9)),rawStart,$F9,rawEnd,$G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" s="2">
        <f>LET(id,$A9,code,UPPER(TRIM($D9)),rawStart,$F9,rawEnd,$G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" s="2">
        <f>LET(id,$A9,code,UPPER(TRIM($D9)),rawStart,$F9,rawEnd,$G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" s="2">
        <f>LET(id,$A9,code,UPPER(TRIM($D9)),rawStart,$F9,rawEnd,$G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" s="2">
        <f>LET(id,$A9,code,UPPER(TRIM($D9)),rawStart,$F9,rawEnd,$G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" s="2">
        <f>LET(id,$A9,code,UPPER(TRIM($D9)),rawStart,$F9,rawEnd,$G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" s="2">
        <f>LET(id,$A9,code,UPPER(TRIM($D9)),rawStart,$F9,rawEnd,$G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" s="2">
        <f>LET(id,$A9,code,UPPER(TRIM($D9)),rawStart,$F9,rawEnd,$G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" s="2">
        <f>LET(id,$A9,code,UPPER(TRIM($D9)),rawStart,$F9,rawEnd,$G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" s="2">
        <f>LET(id,$A9,code,UPPER(TRIM($D9)),rawStart,$F9,rawEnd,$G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" s="2">
        <f>LET(id,$A9,code,UPPER(TRIM($D9)),rawStart,$F9,rawEnd,$G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" s="2">
        <f>LET(id,$A9,code,UPPER(TRIM($D9)),rawStart,$F9,rawEnd,$G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9" s="2">
        <f>Calc_Engine!BD9</f>
        <v/>
      </c>
    </row>
    <row r="10">
      <c r="A10" s="2">
        <f>Calc_Engine!A10</f>
        <v/>
      </c>
      <c r="B10" s="2">
        <f>Calc_Engine!B10</f>
        <v/>
      </c>
      <c r="C10" s="2">
        <f>Calc_Engine!C10</f>
        <v/>
      </c>
      <c r="D10" s="2">
        <f>Calc_Engine!D10</f>
        <v/>
      </c>
      <c r="E10" s="4">
        <f>Calc_Engine!E10</f>
        <v/>
      </c>
      <c r="F10" s="5">
        <f>Calc_Engine!F10</f>
        <v/>
      </c>
      <c r="G10" s="5">
        <f>Calc_Engine!G10</f>
        <v/>
      </c>
      <c r="H10" s="2">
        <f>LET(id,$A10,code,UPPER(TRIM($D10)),rawStart,$F10,rawEnd,$G10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" s="2">
        <f>LET(id,$A10,code,UPPER(TRIM($D10)),rawStart,$F10,rawEnd,$G10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" s="2">
        <f>LET(id,$A10,code,UPPER(TRIM($D10)),rawStart,$F10,rawEnd,$G10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" s="2">
        <f>LET(id,$A10,code,UPPER(TRIM($D10)),rawStart,$F10,rawEnd,$G10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" s="2">
        <f>LET(id,$A10,code,UPPER(TRIM($D10)),rawStart,$F10,rawEnd,$G10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" s="2">
        <f>LET(id,$A10,code,UPPER(TRIM($D10)),rawStart,$F10,rawEnd,$G10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" s="2">
        <f>LET(id,$A10,code,UPPER(TRIM($D10)),rawStart,$F10,rawEnd,$G10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" s="2">
        <f>LET(id,$A10,code,UPPER(TRIM($D10)),rawStart,$F10,rawEnd,$G10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" s="2">
        <f>LET(id,$A10,code,UPPER(TRIM($D10)),rawStart,$F10,rawEnd,$G10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" s="2">
        <f>LET(id,$A10,code,UPPER(TRIM($D10)),rawStart,$F10,rawEnd,$G10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" s="2">
        <f>LET(id,$A10,code,UPPER(TRIM($D10)),rawStart,$F10,rawEnd,$G10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" s="2">
        <f>LET(id,$A10,code,UPPER(TRIM($D10)),rawStart,$F10,rawEnd,$G10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" s="2">
        <f>LET(id,$A10,code,UPPER(TRIM($D10)),rawStart,$F10,rawEnd,$G10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" s="2">
        <f>LET(id,$A10,code,UPPER(TRIM($D10)),rawStart,$F10,rawEnd,$G10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" s="2">
        <f>LET(id,$A10,code,UPPER(TRIM($D10)),rawStart,$F10,rawEnd,$G10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" s="2">
        <f>LET(id,$A10,code,UPPER(TRIM($D10)),rawStart,$F10,rawEnd,$G10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" s="2">
        <f>LET(id,$A10,code,UPPER(TRIM($D10)),rawStart,$F10,rawEnd,$G10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" s="2">
        <f>LET(id,$A10,code,UPPER(TRIM($D10)),rawStart,$F10,rawEnd,$G10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" s="2">
        <f>LET(id,$A10,code,UPPER(TRIM($D10)),rawStart,$F10,rawEnd,$G10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" s="2">
        <f>LET(id,$A10,code,UPPER(TRIM($D10)),rawStart,$F10,rawEnd,$G10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" s="2">
        <f>LET(id,$A10,code,UPPER(TRIM($D10)),rawStart,$F10,rawEnd,$G10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" s="2">
        <f>LET(id,$A10,code,UPPER(TRIM($D10)),rawStart,$F10,rawEnd,$G10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" s="2">
        <f>LET(id,$A10,code,UPPER(TRIM($D10)),rawStart,$F10,rawEnd,$G10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" s="2">
        <f>LET(id,$A10,code,UPPER(TRIM($D10)),rawStart,$F10,rawEnd,$G10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" s="2">
        <f>LET(id,$A10,code,UPPER(TRIM($D10)),rawStart,$F10,rawEnd,$G10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" s="2">
        <f>LET(id,$A10,code,UPPER(TRIM($D10)),rawStart,$F10,rawEnd,$G10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" s="2">
        <f>LET(id,$A10,code,UPPER(TRIM($D10)),rawStart,$F10,rawEnd,$G10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" s="2">
        <f>LET(id,$A10,code,UPPER(TRIM($D10)),rawStart,$F10,rawEnd,$G10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" s="2">
        <f>LET(id,$A10,code,UPPER(TRIM($D10)),rawStart,$F10,rawEnd,$G10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" s="2">
        <f>LET(id,$A10,code,UPPER(TRIM($D10)),rawStart,$F10,rawEnd,$G10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" s="2">
        <f>LET(id,$A10,code,UPPER(TRIM($D10)),rawStart,$F10,rawEnd,$G10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" s="2">
        <f>LET(id,$A10,code,UPPER(TRIM($D10)),rawStart,$F10,rawEnd,$G10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" s="2">
        <f>LET(id,$A10,code,UPPER(TRIM($D10)),rawStart,$F10,rawEnd,$G10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" s="2">
        <f>LET(id,$A10,code,UPPER(TRIM($D10)),rawStart,$F10,rawEnd,$G10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" s="2">
        <f>LET(id,$A10,code,UPPER(TRIM($D10)),rawStart,$F10,rawEnd,$G10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" s="2">
        <f>LET(id,$A10,code,UPPER(TRIM($D10)),rawStart,$F10,rawEnd,$G10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" s="2">
        <f>LET(id,$A10,code,UPPER(TRIM($D10)),rawStart,$F10,rawEnd,$G10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" s="2">
        <f>LET(id,$A10,code,UPPER(TRIM($D10)),rawStart,$F10,rawEnd,$G10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" s="2">
        <f>LET(id,$A10,code,UPPER(TRIM($D10)),rawStart,$F10,rawEnd,$G10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" s="2">
        <f>LET(id,$A10,code,UPPER(TRIM($D10)),rawStart,$F10,rawEnd,$G10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" s="2">
        <f>LET(id,$A10,code,UPPER(TRIM($D10)),rawStart,$F10,rawEnd,$G10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" s="2">
        <f>LET(id,$A10,code,UPPER(TRIM($D10)),rawStart,$F10,rawEnd,$G10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" s="2">
        <f>LET(id,$A10,code,UPPER(TRIM($D10)),rawStart,$F10,rawEnd,$G10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" s="2">
        <f>LET(id,$A10,code,UPPER(TRIM($D10)),rawStart,$F10,rawEnd,$G10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" s="2">
        <f>LET(id,$A10,code,UPPER(TRIM($D10)),rawStart,$F10,rawEnd,$G10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" s="2">
        <f>LET(id,$A10,code,UPPER(TRIM($D10)),rawStart,$F10,rawEnd,$G10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" s="2">
        <f>LET(id,$A10,code,UPPER(TRIM($D10)),rawStart,$F10,rawEnd,$G10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" s="2">
        <f>LET(id,$A10,code,UPPER(TRIM($D10)),rawStart,$F10,rawEnd,$G10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0" s="2">
        <f>Calc_Engine!BD10</f>
        <v/>
      </c>
    </row>
    <row r="11">
      <c r="A11" s="2">
        <f>Calc_Engine!A11</f>
        <v/>
      </c>
      <c r="B11" s="2">
        <f>Calc_Engine!B11</f>
        <v/>
      </c>
      <c r="C11" s="2">
        <f>Calc_Engine!C11</f>
        <v/>
      </c>
      <c r="D11" s="2">
        <f>Calc_Engine!D11</f>
        <v/>
      </c>
      <c r="E11" s="4">
        <f>Calc_Engine!E11</f>
        <v/>
      </c>
      <c r="F11" s="5">
        <f>Calc_Engine!F11</f>
        <v/>
      </c>
      <c r="G11" s="5">
        <f>Calc_Engine!G11</f>
        <v/>
      </c>
      <c r="H11" s="2">
        <f>LET(id,$A11,code,UPPER(TRIM($D11)),rawStart,$F11,rawEnd,$G11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" s="2">
        <f>LET(id,$A11,code,UPPER(TRIM($D11)),rawStart,$F11,rawEnd,$G11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" s="2">
        <f>LET(id,$A11,code,UPPER(TRIM($D11)),rawStart,$F11,rawEnd,$G11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" s="2">
        <f>LET(id,$A11,code,UPPER(TRIM($D11)),rawStart,$F11,rawEnd,$G11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" s="2">
        <f>LET(id,$A11,code,UPPER(TRIM($D11)),rawStart,$F11,rawEnd,$G11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" s="2">
        <f>LET(id,$A11,code,UPPER(TRIM($D11)),rawStart,$F11,rawEnd,$G11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" s="2">
        <f>LET(id,$A11,code,UPPER(TRIM($D11)),rawStart,$F11,rawEnd,$G11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" s="2">
        <f>LET(id,$A11,code,UPPER(TRIM($D11)),rawStart,$F11,rawEnd,$G11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" s="2">
        <f>LET(id,$A11,code,UPPER(TRIM($D11)),rawStart,$F11,rawEnd,$G11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" s="2">
        <f>LET(id,$A11,code,UPPER(TRIM($D11)),rawStart,$F11,rawEnd,$G11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" s="2">
        <f>LET(id,$A11,code,UPPER(TRIM($D11)),rawStart,$F11,rawEnd,$G11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" s="2">
        <f>LET(id,$A11,code,UPPER(TRIM($D11)),rawStart,$F11,rawEnd,$G11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" s="2">
        <f>LET(id,$A11,code,UPPER(TRIM($D11)),rawStart,$F11,rawEnd,$G11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" s="2">
        <f>LET(id,$A11,code,UPPER(TRIM($D11)),rawStart,$F11,rawEnd,$G11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" s="2">
        <f>LET(id,$A11,code,UPPER(TRIM($D11)),rawStart,$F11,rawEnd,$G11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" s="2">
        <f>LET(id,$A11,code,UPPER(TRIM($D11)),rawStart,$F11,rawEnd,$G11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" s="2">
        <f>LET(id,$A11,code,UPPER(TRIM($D11)),rawStart,$F11,rawEnd,$G11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" s="2">
        <f>LET(id,$A11,code,UPPER(TRIM($D11)),rawStart,$F11,rawEnd,$G11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" s="2">
        <f>LET(id,$A11,code,UPPER(TRIM($D11)),rawStart,$F11,rawEnd,$G11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" s="2">
        <f>LET(id,$A11,code,UPPER(TRIM($D11)),rawStart,$F11,rawEnd,$G11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" s="2">
        <f>LET(id,$A11,code,UPPER(TRIM($D11)),rawStart,$F11,rawEnd,$G11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" s="2">
        <f>LET(id,$A11,code,UPPER(TRIM($D11)),rawStart,$F11,rawEnd,$G11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" s="2">
        <f>LET(id,$A11,code,UPPER(TRIM($D11)),rawStart,$F11,rawEnd,$G11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" s="2">
        <f>LET(id,$A11,code,UPPER(TRIM($D11)),rawStart,$F11,rawEnd,$G11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" s="2">
        <f>LET(id,$A11,code,UPPER(TRIM($D11)),rawStart,$F11,rawEnd,$G11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" s="2">
        <f>LET(id,$A11,code,UPPER(TRIM($D11)),rawStart,$F11,rawEnd,$G11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" s="2">
        <f>LET(id,$A11,code,UPPER(TRIM($D11)),rawStart,$F11,rawEnd,$G11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" s="2">
        <f>LET(id,$A11,code,UPPER(TRIM($D11)),rawStart,$F11,rawEnd,$G11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" s="2">
        <f>LET(id,$A11,code,UPPER(TRIM($D11)),rawStart,$F11,rawEnd,$G11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" s="2">
        <f>LET(id,$A11,code,UPPER(TRIM($D11)),rawStart,$F11,rawEnd,$G11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" s="2">
        <f>LET(id,$A11,code,UPPER(TRIM($D11)),rawStart,$F11,rawEnd,$G11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" s="2">
        <f>LET(id,$A11,code,UPPER(TRIM($D11)),rawStart,$F11,rawEnd,$G11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" s="2">
        <f>LET(id,$A11,code,UPPER(TRIM($D11)),rawStart,$F11,rawEnd,$G11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" s="2">
        <f>LET(id,$A11,code,UPPER(TRIM($D11)),rawStart,$F11,rawEnd,$G11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" s="2">
        <f>LET(id,$A11,code,UPPER(TRIM($D11)),rawStart,$F11,rawEnd,$G11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" s="2">
        <f>LET(id,$A11,code,UPPER(TRIM($D11)),rawStart,$F11,rawEnd,$G11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" s="2">
        <f>LET(id,$A11,code,UPPER(TRIM($D11)),rawStart,$F11,rawEnd,$G11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" s="2">
        <f>LET(id,$A11,code,UPPER(TRIM($D11)),rawStart,$F11,rawEnd,$G11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" s="2">
        <f>LET(id,$A11,code,UPPER(TRIM($D11)),rawStart,$F11,rawEnd,$G11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" s="2">
        <f>LET(id,$A11,code,UPPER(TRIM($D11)),rawStart,$F11,rawEnd,$G11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" s="2">
        <f>LET(id,$A11,code,UPPER(TRIM($D11)),rawStart,$F11,rawEnd,$G11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" s="2">
        <f>LET(id,$A11,code,UPPER(TRIM($D11)),rawStart,$F11,rawEnd,$G11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" s="2">
        <f>LET(id,$A11,code,UPPER(TRIM($D11)),rawStart,$F11,rawEnd,$G11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" s="2">
        <f>LET(id,$A11,code,UPPER(TRIM($D11)),rawStart,$F11,rawEnd,$G11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" s="2">
        <f>LET(id,$A11,code,UPPER(TRIM($D11)),rawStart,$F11,rawEnd,$G11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" s="2">
        <f>LET(id,$A11,code,UPPER(TRIM($D11)),rawStart,$F11,rawEnd,$G11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" s="2">
        <f>LET(id,$A11,code,UPPER(TRIM($D11)),rawStart,$F11,rawEnd,$G11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" s="2">
        <f>LET(id,$A11,code,UPPER(TRIM($D11)),rawStart,$F11,rawEnd,$G11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1" s="2">
        <f>Calc_Engine!BD11</f>
        <v/>
      </c>
    </row>
    <row r="12">
      <c r="A12" s="2">
        <f>Calc_Engine!A12</f>
        <v/>
      </c>
      <c r="B12" s="2">
        <f>Calc_Engine!B12</f>
        <v/>
      </c>
      <c r="C12" s="2">
        <f>Calc_Engine!C12</f>
        <v/>
      </c>
      <c r="D12" s="2">
        <f>Calc_Engine!D12</f>
        <v/>
      </c>
      <c r="E12" s="4">
        <f>Calc_Engine!E12</f>
        <v/>
      </c>
      <c r="F12" s="5">
        <f>Calc_Engine!F12</f>
        <v/>
      </c>
      <c r="G12" s="5">
        <f>Calc_Engine!G12</f>
        <v/>
      </c>
      <c r="H12" s="2">
        <f>LET(id,$A12,code,UPPER(TRIM($D12)),rawStart,$F12,rawEnd,$G12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" s="2">
        <f>LET(id,$A12,code,UPPER(TRIM($D12)),rawStart,$F12,rawEnd,$G12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" s="2">
        <f>LET(id,$A12,code,UPPER(TRIM($D12)),rawStart,$F12,rawEnd,$G12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" s="2">
        <f>LET(id,$A12,code,UPPER(TRIM($D12)),rawStart,$F12,rawEnd,$G12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" s="2">
        <f>LET(id,$A12,code,UPPER(TRIM($D12)),rawStart,$F12,rawEnd,$G12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" s="2">
        <f>LET(id,$A12,code,UPPER(TRIM($D12)),rawStart,$F12,rawEnd,$G12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" s="2">
        <f>LET(id,$A12,code,UPPER(TRIM($D12)),rawStart,$F12,rawEnd,$G12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" s="2">
        <f>LET(id,$A12,code,UPPER(TRIM($D12)),rawStart,$F12,rawEnd,$G12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" s="2">
        <f>LET(id,$A12,code,UPPER(TRIM($D12)),rawStart,$F12,rawEnd,$G12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" s="2">
        <f>LET(id,$A12,code,UPPER(TRIM($D12)),rawStart,$F12,rawEnd,$G12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" s="2">
        <f>LET(id,$A12,code,UPPER(TRIM($D12)),rawStart,$F12,rawEnd,$G12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" s="2">
        <f>LET(id,$A12,code,UPPER(TRIM($D12)),rawStart,$F12,rawEnd,$G12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" s="2">
        <f>LET(id,$A12,code,UPPER(TRIM($D12)),rawStart,$F12,rawEnd,$G12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" s="2">
        <f>LET(id,$A12,code,UPPER(TRIM($D12)),rawStart,$F12,rawEnd,$G12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" s="2">
        <f>LET(id,$A12,code,UPPER(TRIM($D12)),rawStart,$F12,rawEnd,$G12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" s="2">
        <f>LET(id,$A12,code,UPPER(TRIM($D12)),rawStart,$F12,rawEnd,$G12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" s="2">
        <f>LET(id,$A12,code,UPPER(TRIM($D12)),rawStart,$F12,rawEnd,$G12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" s="2">
        <f>LET(id,$A12,code,UPPER(TRIM($D12)),rawStart,$F12,rawEnd,$G12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" s="2">
        <f>LET(id,$A12,code,UPPER(TRIM($D12)),rawStart,$F12,rawEnd,$G12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" s="2">
        <f>LET(id,$A12,code,UPPER(TRIM($D12)),rawStart,$F12,rawEnd,$G12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" s="2">
        <f>LET(id,$A12,code,UPPER(TRIM($D12)),rawStart,$F12,rawEnd,$G12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" s="2">
        <f>LET(id,$A12,code,UPPER(TRIM($D12)),rawStart,$F12,rawEnd,$G12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" s="2">
        <f>LET(id,$A12,code,UPPER(TRIM($D12)),rawStart,$F12,rawEnd,$G12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" s="2">
        <f>LET(id,$A12,code,UPPER(TRIM($D12)),rawStart,$F12,rawEnd,$G12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" s="2">
        <f>LET(id,$A12,code,UPPER(TRIM($D12)),rawStart,$F12,rawEnd,$G12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" s="2">
        <f>LET(id,$A12,code,UPPER(TRIM($D12)),rawStart,$F12,rawEnd,$G12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" s="2">
        <f>LET(id,$A12,code,UPPER(TRIM($D12)),rawStart,$F12,rawEnd,$G12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" s="2">
        <f>LET(id,$A12,code,UPPER(TRIM($D12)),rawStart,$F12,rawEnd,$G12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" s="2">
        <f>LET(id,$A12,code,UPPER(TRIM($D12)),rawStart,$F12,rawEnd,$G12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" s="2">
        <f>LET(id,$A12,code,UPPER(TRIM($D12)),rawStart,$F12,rawEnd,$G12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" s="2">
        <f>LET(id,$A12,code,UPPER(TRIM($D12)),rawStart,$F12,rawEnd,$G12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" s="2">
        <f>LET(id,$A12,code,UPPER(TRIM($D12)),rawStart,$F12,rawEnd,$G12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" s="2">
        <f>LET(id,$A12,code,UPPER(TRIM($D12)),rawStart,$F12,rawEnd,$G12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" s="2">
        <f>LET(id,$A12,code,UPPER(TRIM($D12)),rawStart,$F12,rawEnd,$G12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" s="2">
        <f>LET(id,$A12,code,UPPER(TRIM($D12)),rawStart,$F12,rawEnd,$G12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" s="2">
        <f>LET(id,$A12,code,UPPER(TRIM($D12)),rawStart,$F12,rawEnd,$G12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" s="2">
        <f>LET(id,$A12,code,UPPER(TRIM($D12)),rawStart,$F12,rawEnd,$G12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" s="2">
        <f>LET(id,$A12,code,UPPER(TRIM($D12)),rawStart,$F12,rawEnd,$G12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" s="2">
        <f>LET(id,$A12,code,UPPER(TRIM($D12)),rawStart,$F12,rawEnd,$G12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" s="2">
        <f>LET(id,$A12,code,UPPER(TRIM($D12)),rawStart,$F12,rawEnd,$G12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" s="2">
        <f>LET(id,$A12,code,UPPER(TRIM($D12)),rawStart,$F12,rawEnd,$G12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" s="2">
        <f>LET(id,$A12,code,UPPER(TRIM($D12)),rawStart,$F12,rawEnd,$G12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" s="2">
        <f>LET(id,$A12,code,UPPER(TRIM($D12)),rawStart,$F12,rawEnd,$G12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" s="2">
        <f>LET(id,$A12,code,UPPER(TRIM($D12)),rawStart,$F12,rawEnd,$G12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" s="2">
        <f>LET(id,$A12,code,UPPER(TRIM($D12)),rawStart,$F12,rawEnd,$G12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" s="2">
        <f>LET(id,$A12,code,UPPER(TRIM($D12)),rawStart,$F12,rawEnd,$G12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" s="2">
        <f>LET(id,$A12,code,UPPER(TRIM($D12)),rawStart,$F12,rawEnd,$G12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" s="2">
        <f>LET(id,$A12,code,UPPER(TRIM($D12)),rawStart,$F12,rawEnd,$G12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2" s="2">
        <f>Calc_Engine!BD12</f>
        <v/>
      </c>
    </row>
    <row r="13">
      <c r="A13" s="2">
        <f>Calc_Engine!A13</f>
        <v/>
      </c>
      <c r="B13" s="2">
        <f>Calc_Engine!B13</f>
        <v/>
      </c>
      <c r="C13" s="2">
        <f>Calc_Engine!C13</f>
        <v/>
      </c>
      <c r="D13" s="2">
        <f>Calc_Engine!D13</f>
        <v/>
      </c>
      <c r="E13" s="4">
        <f>Calc_Engine!E13</f>
        <v/>
      </c>
      <c r="F13" s="5">
        <f>Calc_Engine!F13</f>
        <v/>
      </c>
      <c r="G13" s="5">
        <f>Calc_Engine!G13</f>
        <v/>
      </c>
      <c r="H13" s="2">
        <f>LET(id,$A13,code,UPPER(TRIM($D13)),rawStart,$F13,rawEnd,$G13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" s="2">
        <f>LET(id,$A13,code,UPPER(TRIM($D13)),rawStart,$F13,rawEnd,$G13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" s="2">
        <f>LET(id,$A13,code,UPPER(TRIM($D13)),rawStart,$F13,rawEnd,$G13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" s="2">
        <f>LET(id,$A13,code,UPPER(TRIM($D13)),rawStart,$F13,rawEnd,$G13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" s="2">
        <f>LET(id,$A13,code,UPPER(TRIM($D13)),rawStart,$F13,rawEnd,$G13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" s="2">
        <f>LET(id,$A13,code,UPPER(TRIM($D13)),rawStart,$F13,rawEnd,$G13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" s="2">
        <f>LET(id,$A13,code,UPPER(TRIM($D13)),rawStart,$F13,rawEnd,$G13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" s="2">
        <f>LET(id,$A13,code,UPPER(TRIM($D13)),rawStart,$F13,rawEnd,$G13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" s="2">
        <f>LET(id,$A13,code,UPPER(TRIM($D13)),rawStart,$F13,rawEnd,$G13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" s="2">
        <f>LET(id,$A13,code,UPPER(TRIM($D13)),rawStart,$F13,rawEnd,$G13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" s="2">
        <f>LET(id,$A13,code,UPPER(TRIM($D13)),rawStart,$F13,rawEnd,$G13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" s="2">
        <f>LET(id,$A13,code,UPPER(TRIM($D13)),rawStart,$F13,rawEnd,$G13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" s="2">
        <f>LET(id,$A13,code,UPPER(TRIM($D13)),rawStart,$F13,rawEnd,$G13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" s="2">
        <f>LET(id,$A13,code,UPPER(TRIM($D13)),rawStart,$F13,rawEnd,$G13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" s="2">
        <f>LET(id,$A13,code,UPPER(TRIM($D13)),rawStart,$F13,rawEnd,$G13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" s="2">
        <f>LET(id,$A13,code,UPPER(TRIM($D13)),rawStart,$F13,rawEnd,$G13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" s="2">
        <f>LET(id,$A13,code,UPPER(TRIM($D13)),rawStart,$F13,rawEnd,$G13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" s="2">
        <f>LET(id,$A13,code,UPPER(TRIM($D13)),rawStart,$F13,rawEnd,$G13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" s="2">
        <f>LET(id,$A13,code,UPPER(TRIM($D13)),rawStart,$F13,rawEnd,$G13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" s="2">
        <f>LET(id,$A13,code,UPPER(TRIM($D13)),rawStart,$F13,rawEnd,$G13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" s="2">
        <f>LET(id,$A13,code,UPPER(TRIM($D13)),rawStart,$F13,rawEnd,$G13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" s="2">
        <f>LET(id,$A13,code,UPPER(TRIM($D13)),rawStart,$F13,rawEnd,$G13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" s="2">
        <f>LET(id,$A13,code,UPPER(TRIM($D13)),rawStart,$F13,rawEnd,$G13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" s="2">
        <f>LET(id,$A13,code,UPPER(TRIM($D13)),rawStart,$F13,rawEnd,$G13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" s="2">
        <f>LET(id,$A13,code,UPPER(TRIM($D13)),rawStart,$F13,rawEnd,$G13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" s="2">
        <f>LET(id,$A13,code,UPPER(TRIM($D13)),rawStart,$F13,rawEnd,$G13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" s="2">
        <f>LET(id,$A13,code,UPPER(TRIM($D13)),rawStart,$F13,rawEnd,$G13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" s="2">
        <f>LET(id,$A13,code,UPPER(TRIM($D13)),rawStart,$F13,rawEnd,$G13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" s="2">
        <f>LET(id,$A13,code,UPPER(TRIM($D13)),rawStart,$F13,rawEnd,$G13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" s="2">
        <f>LET(id,$A13,code,UPPER(TRIM($D13)),rawStart,$F13,rawEnd,$G13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" s="2">
        <f>LET(id,$A13,code,UPPER(TRIM($D13)),rawStart,$F13,rawEnd,$G13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" s="2">
        <f>LET(id,$A13,code,UPPER(TRIM($D13)),rawStart,$F13,rawEnd,$G13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" s="2">
        <f>LET(id,$A13,code,UPPER(TRIM($D13)),rawStart,$F13,rawEnd,$G13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" s="2">
        <f>LET(id,$A13,code,UPPER(TRIM($D13)),rawStart,$F13,rawEnd,$G13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" s="2">
        <f>LET(id,$A13,code,UPPER(TRIM($D13)),rawStart,$F13,rawEnd,$G13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" s="2">
        <f>LET(id,$A13,code,UPPER(TRIM($D13)),rawStart,$F13,rawEnd,$G13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" s="2">
        <f>LET(id,$A13,code,UPPER(TRIM($D13)),rawStart,$F13,rawEnd,$G13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" s="2">
        <f>LET(id,$A13,code,UPPER(TRIM($D13)),rawStart,$F13,rawEnd,$G13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" s="2">
        <f>LET(id,$A13,code,UPPER(TRIM($D13)),rawStart,$F13,rawEnd,$G13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" s="2">
        <f>LET(id,$A13,code,UPPER(TRIM($D13)),rawStart,$F13,rawEnd,$G13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" s="2">
        <f>LET(id,$A13,code,UPPER(TRIM($D13)),rawStart,$F13,rawEnd,$G13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" s="2">
        <f>LET(id,$A13,code,UPPER(TRIM($D13)),rawStart,$F13,rawEnd,$G13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" s="2">
        <f>LET(id,$A13,code,UPPER(TRIM($D13)),rawStart,$F13,rawEnd,$G13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" s="2">
        <f>LET(id,$A13,code,UPPER(TRIM($D13)),rawStart,$F13,rawEnd,$G13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" s="2">
        <f>LET(id,$A13,code,UPPER(TRIM($D13)),rawStart,$F13,rawEnd,$G13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" s="2">
        <f>LET(id,$A13,code,UPPER(TRIM($D13)),rawStart,$F13,rawEnd,$G13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" s="2">
        <f>LET(id,$A13,code,UPPER(TRIM($D13)),rawStart,$F13,rawEnd,$G13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" s="2">
        <f>LET(id,$A13,code,UPPER(TRIM($D13)),rawStart,$F13,rawEnd,$G13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3" s="2">
        <f>Calc_Engine!BD13</f>
        <v/>
      </c>
    </row>
    <row r="14">
      <c r="A14" s="2">
        <f>Calc_Engine!A14</f>
        <v/>
      </c>
      <c r="B14" s="2">
        <f>Calc_Engine!B14</f>
        <v/>
      </c>
      <c r="C14" s="2">
        <f>Calc_Engine!C14</f>
        <v/>
      </c>
      <c r="D14" s="2">
        <f>Calc_Engine!D14</f>
        <v/>
      </c>
      <c r="E14" s="4">
        <f>Calc_Engine!E14</f>
        <v/>
      </c>
      <c r="F14" s="5">
        <f>Calc_Engine!F14</f>
        <v/>
      </c>
      <c r="G14" s="5">
        <f>Calc_Engine!G14</f>
        <v/>
      </c>
      <c r="H14" s="2">
        <f>LET(id,$A14,code,UPPER(TRIM($D14)),rawStart,$F14,rawEnd,$G14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" s="2">
        <f>LET(id,$A14,code,UPPER(TRIM($D14)),rawStart,$F14,rawEnd,$G14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" s="2">
        <f>LET(id,$A14,code,UPPER(TRIM($D14)),rawStart,$F14,rawEnd,$G14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" s="2">
        <f>LET(id,$A14,code,UPPER(TRIM($D14)),rawStart,$F14,rawEnd,$G14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" s="2">
        <f>LET(id,$A14,code,UPPER(TRIM($D14)),rawStart,$F14,rawEnd,$G14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" s="2">
        <f>LET(id,$A14,code,UPPER(TRIM($D14)),rawStart,$F14,rawEnd,$G14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" s="2">
        <f>LET(id,$A14,code,UPPER(TRIM($D14)),rawStart,$F14,rawEnd,$G14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" s="2">
        <f>LET(id,$A14,code,UPPER(TRIM($D14)),rawStart,$F14,rawEnd,$G14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" s="2">
        <f>LET(id,$A14,code,UPPER(TRIM($D14)),rawStart,$F14,rawEnd,$G14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" s="2">
        <f>LET(id,$A14,code,UPPER(TRIM($D14)),rawStart,$F14,rawEnd,$G14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" s="2">
        <f>LET(id,$A14,code,UPPER(TRIM($D14)),rawStart,$F14,rawEnd,$G14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" s="2">
        <f>LET(id,$A14,code,UPPER(TRIM($D14)),rawStart,$F14,rawEnd,$G14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" s="2">
        <f>LET(id,$A14,code,UPPER(TRIM($D14)),rawStart,$F14,rawEnd,$G14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" s="2">
        <f>LET(id,$A14,code,UPPER(TRIM($D14)),rawStart,$F14,rawEnd,$G14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" s="2">
        <f>LET(id,$A14,code,UPPER(TRIM($D14)),rawStart,$F14,rawEnd,$G14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" s="2">
        <f>LET(id,$A14,code,UPPER(TRIM($D14)),rawStart,$F14,rawEnd,$G14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" s="2">
        <f>LET(id,$A14,code,UPPER(TRIM($D14)),rawStart,$F14,rawEnd,$G14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" s="2">
        <f>LET(id,$A14,code,UPPER(TRIM($D14)),rawStart,$F14,rawEnd,$G14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" s="2">
        <f>LET(id,$A14,code,UPPER(TRIM($D14)),rawStart,$F14,rawEnd,$G14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" s="2">
        <f>LET(id,$A14,code,UPPER(TRIM($D14)),rawStart,$F14,rawEnd,$G14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" s="2">
        <f>LET(id,$A14,code,UPPER(TRIM($D14)),rawStart,$F14,rawEnd,$G14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" s="2">
        <f>LET(id,$A14,code,UPPER(TRIM($D14)),rawStart,$F14,rawEnd,$G14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" s="2">
        <f>LET(id,$A14,code,UPPER(TRIM($D14)),rawStart,$F14,rawEnd,$G14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" s="2">
        <f>LET(id,$A14,code,UPPER(TRIM($D14)),rawStart,$F14,rawEnd,$G14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" s="2">
        <f>LET(id,$A14,code,UPPER(TRIM($D14)),rawStart,$F14,rawEnd,$G14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" s="2">
        <f>LET(id,$A14,code,UPPER(TRIM($D14)),rawStart,$F14,rawEnd,$G14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" s="2">
        <f>LET(id,$A14,code,UPPER(TRIM($D14)),rawStart,$F14,rawEnd,$G14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" s="2">
        <f>LET(id,$A14,code,UPPER(TRIM($D14)),rawStart,$F14,rawEnd,$G14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" s="2">
        <f>LET(id,$A14,code,UPPER(TRIM($D14)),rawStart,$F14,rawEnd,$G14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" s="2">
        <f>LET(id,$A14,code,UPPER(TRIM($D14)),rawStart,$F14,rawEnd,$G14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" s="2">
        <f>LET(id,$A14,code,UPPER(TRIM($D14)),rawStart,$F14,rawEnd,$G14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" s="2">
        <f>LET(id,$A14,code,UPPER(TRIM($D14)),rawStart,$F14,rawEnd,$G14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" s="2">
        <f>LET(id,$A14,code,UPPER(TRIM($D14)),rawStart,$F14,rawEnd,$G14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" s="2">
        <f>LET(id,$A14,code,UPPER(TRIM($D14)),rawStart,$F14,rawEnd,$G14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" s="2">
        <f>LET(id,$A14,code,UPPER(TRIM($D14)),rawStart,$F14,rawEnd,$G14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" s="2">
        <f>LET(id,$A14,code,UPPER(TRIM($D14)),rawStart,$F14,rawEnd,$G14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" s="2">
        <f>LET(id,$A14,code,UPPER(TRIM($D14)),rawStart,$F14,rawEnd,$G14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" s="2">
        <f>LET(id,$A14,code,UPPER(TRIM($D14)),rawStart,$F14,rawEnd,$G14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" s="2">
        <f>LET(id,$A14,code,UPPER(TRIM($D14)),rawStart,$F14,rawEnd,$G14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" s="2">
        <f>LET(id,$A14,code,UPPER(TRIM($D14)),rawStart,$F14,rawEnd,$G14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" s="2">
        <f>LET(id,$A14,code,UPPER(TRIM($D14)),rawStart,$F14,rawEnd,$G14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" s="2">
        <f>LET(id,$A14,code,UPPER(TRIM($D14)),rawStart,$F14,rawEnd,$G14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" s="2">
        <f>LET(id,$A14,code,UPPER(TRIM($D14)),rawStart,$F14,rawEnd,$G14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" s="2">
        <f>LET(id,$A14,code,UPPER(TRIM($D14)),rawStart,$F14,rawEnd,$G14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" s="2">
        <f>LET(id,$A14,code,UPPER(TRIM($D14)),rawStart,$F14,rawEnd,$G14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" s="2">
        <f>LET(id,$A14,code,UPPER(TRIM($D14)),rawStart,$F14,rawEnd,$G14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" s="2">
        <f>LET(id,$A14,code,UPPER(TRIM($D14)),rawStart,$F14,rawEnd,$G14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" s="2">
        <f>LET(id,$A14,code,UPPER(TRIM($D14)),rawStart,$F14,rawEnd,$G14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4" s="2">
        <f>Calc_Engine!BD14</f>
        <v/>
      </c>
    </row>
    <row r="15">
      <c r="A15" s="2">
        <f>Calc_Engine!A15</f>
        <v/>
      </c>
      <c r="B15" s="2">
        <f>Calc_Engine!B15</f>
        <v/>
      </c>
      <c r="C15" s="2">
        <f>Calc_Engine!C15</f>
        <v/>
      </c>
      <c r="D15" s="2">
        <f>Calc_Engine!D15</f>
        <v/>
      </c>
      <c r="E15" s="4">
        <f>Calc_Engine!E15</f>
        <v/>
      </c>
      <c r="F15" s="5">
        <f>Calc_Engine!F15</f>
        <v/>
      </c>
      <c r="G15" s="5">
        <f>Calc_Engine!G15</f>
        <v/>
      </c>
      <c r="H15" s="2">
        <f>LET(id,$A15,code,UPPER(TRIM($D15)),rawStart,$F15,rawEnd,$G15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" s="2">
        <f>LET(id,$A15,code,UPPER(TRIM($D15)),rawStart,$F15,rawEnd,$G15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" s="2">
        <f>LET(id,$A15,code,UPPER(TRIM($D15)),rawStart,$F15,rawEnd,$G15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" s="2">
        <f>LET(id,$A15,code,UPPER(TRIM($D15)),rawStart,$F15,rawEnd,$G15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" s="2">
        <f>LET(id,$A15,code,UPPER(TRIM($D15)),rawStart,$F15,rawEnd,$G15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" s="2">
        <f>LET(id,$A15,code,UPPER(TRIM($D15)),rawStart,$F15,rawEnd,$G15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" s="2">
        <f>LET(id,$A15,code,UPPER(TRIM($D15)),rawStart,$F15,rawEnd,$G15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" s="2">
        <f>LET(id,$A15,code,UPPER(TRIM($D15)),rawStart,$F15,rawEnd,$G15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" s="2">
        <f>LET(id,$A15,code,UPPER(TRIM($D15)),rawStart,$F15,rawEnd,$G15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" s="2">
        <f>LET(id,$A15,code,UPPER(TRIM($D15)),rawStart,$F15,rawEnd,$G15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" s="2">
        <f>LET(id,$A15,code,UPPER(TRIM($D15)),rawStart,$F15,rawEnd,$G15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" s="2">
        <f>LET(id,$A15,code,UPPER(TRIM($D15)),rawStart,$F15,rawEnd,$G15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" s="2">
        <f>LET(id,$A15,code,UPPER(TRIM($D15)),rawStart,$F15,rawEnd,$G15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" s="2">
        <f>LET(id,$A15,code,UPPER(TRIM($D15)),rawStart,$F15,rawEnd,$G15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" s="2">
        <f>LET(id,$A15,code,UPPER(TRIM($D15)),rawStart,$F15,rawEnd,$G15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" s="2">
        <f>LET(id,$A15,code,UPPER(TRIM($D15)),rawStart,$F15,rawEnd,$G15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" s="2">
        <f>LET(id,$A15,code,UPPER(TRIM($D15)),rawStart,$F15,rawEnd,$G15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" s="2">
        <f>LET(id,$A15,code,UPPER(TRIM($D15)),rawStart,$F15,rawEnd,$G15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" s="2">
        <f>LET(id,$A15,code,UPPER(TRIM($D15)),rawStart,$F15,rawEnd,$G15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" s="2">
        <f>LET(id,$A15,code,UPPER(TRIM($D15)),rawStart,$F15,rawEnd,$G15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" s="2">
        <f>LET(id,$A15,code,UPPER(TRIM($D15)),rawStart,$F15,rawEnd,$G15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" s="2">
        <f>LET(id,$A15,code,UPPER(TRIM($D15)),rawStart,$F15,rawEnd,$G15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" s="2">
        <f>LET(id,$A15,code,UPPER(TRIM($D15)),rawStart,$F15,rawEnd,$G15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" s="2">
        <f>LET(id,$A15,code,UPPER(TRIM($D15)),rawStart,$F15,rawEnd,$G15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" s="2">
        <f>LET(id,$A15,code,UPPER(TRIM($D15)),rawStart,$F15,rawEnd,$G15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" s="2">
        <f>LET(id,$A15,code,UPPER(TRIM($D15)),rawStart,$F15,rawEnd,$G15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" s="2">
        <f>LET(id,$A15,code,UPPER(TRIM($D15)),rawStart,$F15,rawEnd,$G15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" s="2">
        <f>LET(id,$A15,code,UPPER(TRIM($D15)),rawStart,$F15,rawEnd,$G15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" s="2">
        <f>LET(id,$A15,code,UPPER(TRIM($D15)),rawStart,$F15,rawEnd,$G15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" s="2">
        <f>LET(id,$A15,code,UPPER(TRIM($D15)),rawStart,$F15,rawEnd,$G15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" s="2">
        <f>LET(id,$A15,code,UPPER(TRIM($D15)),rawStart,$F15,rawEnd,$G15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" s="2">
        <f>LET(id,$A15,code,UPPER(TRIM($D15)),rawStart,$F15,rawEnd,$G15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" s="2">
        <f>LET(id,$A15,code,UPPER(TRIM($D15)),rawStart,$F15,rawEnd,$G15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" s="2">
        <f>LET(id,$A15,code,UPPER(TRIM($D15)),rawStart,$F15,rawEnd,$G15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" s="2">
        <f>LET(id,$A15,code,UPPER(TRIM($D15)),rawStart,$F15,rawEnd,$G15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" s="2">
        <f>LET(id,$A15,code,UPPER(TRIM($D15)),rawStart,$F15,rawEnd,$G15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" s="2">
        <f>LET(id,$A15,code,UPPER(TRIM($D15)),rawStart,$F15,rawEnd,$G15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" s="2">
        <f>LET(id,$A15,code,UPPER(TRIM($D15)),rawStart,$F15,rawEnd,$G15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" s="2">
        <f>LET(id,$A15,code,UPPER(TRIM($D15)),rawStart,$F15,rawEnd,$G15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" s="2">
        <f>LET(id,$A15,code,UPPER(TRIM($D15)),rawStart,$F15,rawEnd,$G15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" s="2">
        <f>LET(id,$A15,code,UPPER(TRIM($D15)),rawStart,$F15,rawEnd,$G15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" s="2">
        <f>LET(id,$A15,code,UPPER(TRIM($D15)),rawStart,$F15,rawEnd,$G15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" s="2">
        <f>LET(id,$A15,code,UPPER(TRIM($D15)),rawStart,$F15,rawEnd,$G15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" s="2">
        <f>LET(id,$A15,code,UPPER(TRIM($D15)),rawStart,$F15,rawEnd,$G15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" s="2">
        <f>LET(id,$A15,code,UPPER(TRIM($D15)),rawStart,$F15,rawEnd,$G15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" s="2">
        <f>LET(id,$A15,code,UPPER(TRIM($D15)),rawStart,$F15,rawEnd,$G15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" s="2">
        <f>LET(id,$A15,code,UPPER(TRIM($D15)),rawStart,$F15,rawEnd,$G15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" s="2">
        <f>LET(id,$A15,code,UPPER(TRIM($D15)),rawStart,$F15,rawEnd,$G15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5" s="2">
        <f>Calc_Engine!BD15</f>
        <v/>
      </c>
    </row>
    <row r="16">
      <c r="A16" s="2">
        <f>Calc_Engine!A16</f>
        <v/>
      </c>
      <c r="B16" s="2">
        <f>Calc_Engine!B16</f>
        <v/>
      </c>
      <c r="C16" s="2">
        <f>Calc_Engine!C16</f>
        <v/>
      </c>
      <c r="D16" s="2">
        <f>Calc_Engine!D16</f>
        <v/>
      </c>
      <c r="E16" s="4">
        <f>Calc_Engine!E16</f>
        <v/>
      </c>
      <c r="F16" s="5">
        <f>Calc_Engine!F16</f>
        <v/>
      </c>
      <c r="G16" s="5">
        <f>Calc_Engine!G16</f>
        <v/>
      </c>
      <c r="H16" s="2">
        <f>LET(id,$A16,code,UPPER(TRIM($D16)),rawStart,$F16,rawEnd,$G16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" s="2">
        <f>LET(id,$A16,code,UPPER(TRIM($D16)),rawStart,$F16,rawEnd,$G16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" s="2">
        <f>LET(id,$A16,code,UPPER(TRIM($D16)),rawStart,$F16,rawEnd,$G16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" s="2">
        <f>LET(id,$A16,code,UPPER(TRIM($D16)),rawStart,$F16,rawEnd,$G16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" s="2">
        <f>LET(id,$A16,code,UPPER(TRIM($D16)),rawStart,$F16,rawEnd,$G16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" s="2">
        <f>LET(id,$A16,code,UPPER(TRIM($D16)),rawStart,$F16,rawEnd,$G16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" s="2">
        <f>LET(id,$A16,code,UPPER(TRIM($D16)),rawStart,$F16,rawEnd,$G16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" s="2">
        <f>LET(id,$A16,code,UPPER(TRIM($D16)),rawStart,$F16,rawEnd,$G16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" s="2">
        <f>LET(id,$A16,code,UPPER(TRIM($D16)),rawStart,$F16,rawEnd,$G16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" s="2">
        <f>LET(id,$A16,code,UPPER(TRIM($D16)),rawStart,$F16,rawEnd,$G16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" s="2">
        <f>LET(id,$A16,code,UPPER(TRIM($D16)),rawStart,$F16,rawEnd,$G16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" s="2">
        <f>LET(id,$A16,code,UPPER(TRIM($D16)),rawStart,$F16,rawEnd,$G16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" s="2">
        <f>LET(id,$A16,code,UPPER(TRIM($D16)),rawStart,$F16,rawEnd,$G16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" s="2">
        <f>LET(id,$A16,code,UPPER(TRIM($D16)),rawStart,$F16,rawEnd,$G16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" s="2">
        <f>LET(id,$A16,code,UPPER(TRIM($D16)),rawStart,$F16,rawEnd,$G16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" s="2">
        <f>LET(id,$A16,code,UPPER(TRIM($D16)),rawStart,$F16,rawEnd,$G16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" s="2">
        <f>LET(id,$A16,code,UPPER(TRIM($D16)),rawStart,$F16,rawEnd,$G16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" s="2">
        <f>LET(id,$A16,code,UPPER(TRIM($D16)),rawStart,$F16,rawEnd,$G16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" s="2">
        <f>LET(id,$A16,code,UPPER(TRIM($D16)),rawStart,$F16,rawEnd,$G16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" s="2">
        <f>LET(id,$A16,code,UPPER(TRIM($D16)),rawStart,$F16,rawEnd,$G16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" s="2">
        <f>LET(id,$A16,code,UPPER(TRIM($D16)),rawStart,$F16,rawEnd,$G16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" s="2">
        <f>LET(id,$A16,code,UPPER(TRIM($D16)),rawStart,$F16,rawEnd,$G16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" s="2">
        <f>LET(id,$A16,code,UPPER(TRIM($D16)),rawStart,$F16,rawEnd,$G16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" s="2">
        <f>LET(id,$A16,code,UPPER(TRIM($D16)),rawStart,$F16,rawEnd,$G16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" s="2">
        <f>LET(id,$A16,code,UPPER(TRIM($D16)),rawStart,$F16,rawEnd,$G16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" s="2">
        <f>LET(id,$A16,code,UPPER(TRIM($D16)),rawStart,$F16,rawEnd,$G16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" s="2">
        <f>LET(id,$A16,code,UPPER(TRIM($D16)),rawStart,$F16,rawEnd,$G16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" s="2">
        <f>LET(id,$A16,code,UPPER(TRIM($D16)),rawStart,$F16,rawEnd,$G16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" s="2">
        <f>LET(id,$A16,code,UPPER(TRIM($D16)),rawStart,$F16,rawEnd,$G16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" s="2">
        <f>LET(id,$A16,code,UPPER(TRIM($D16)),rawStart,$F16,rawEnd,$G16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" s="2">
        <f>LET(id,$A16,code,UPPER(TRIM($D16)),rawStart,$F16,rawEnd,$G16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" s="2">
        <f>LET(id,$A16,code,UPPER(TRIM($D16)),rawStart,$F16,rawEnd,$G16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" s="2">
        <f>LET(id,$A16,code,UPPER(TRIM($D16)),rawStart,$F16,rawEnd,$G16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" s="2">
        <f>LET(id,$A16,code,UPPER(TRIM($D16)),rawStart,$F16,rawEnd,$G16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" s="2">
        <f>LET(id,$A16,code,UPPER(TRIM($D16)),rawStart,$F16,rawEnd,$G16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" s="2">
        <f>LET(id,$A16,code,UPPER(TRIM($D16)),rawStart,$F16,rawEnd,$G16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" s="2">
        <f>LET(id,$A16,code,UPPER(TRIM($D16)),rawStart,$F16,rawEnd,$G16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" s="2">
        <f>LET(id,$A16,code,UPPER(TRIM($D16)),rawStart,$F16,rawEnd,$G16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" s="2">
        <f>LET(id,$A16,code,UPPER(TRIM($D16)),rawStart,$F16,rawEnd,$G16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" s="2">
        <f>LET(id,$A16,code,UPPER(TRIM($D16)),rawStart,$F16,rawEnd,$G16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" s="2">
        <f>LET(id,$A16,code,UPPER(TRIM($D16)),rawStart,$F16,rawEnd,$G16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" s="2">
        <f>LET(id,$A16,code,UPPER(TRIM($D16)),rawStart,$F16,rawEnd,$G16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" s="2">
        <f>LET(id,$A16,code,UPPER(TRIM($D16)),rawStart,$F16,rawEnd,$G16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" s="2">
        <f>LET(id,$A16,code,UPPER(TRIM($D16)),rawStart,$F16,rawEnd,$G16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" s="2">
        <f>LET(id,$A16,code,UPPER(TRIM($D16)),rawStart,$F16,rawEnd,$G16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" s="2">
        <f>LET(id,$A16,code,UPPER(TRIM($D16)),rawStart,$F16,rawEnd,$G16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" s="2">
        <f>LET(id,$A16,code,UPPER(TRIM($D16)),rawStart,$F16,rawEnd,$G16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" s="2">
        <f>LET(id,$A16,code,UPPER(TRIM($D16)),rawStart,$F16,rawEnd,$G16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6" s="2">
        <f>Calc_Engine!BD16</f>
        <v/>
      </c>
    </row>
    <row r="17">
      <c r="A17" s="2">
        <f>Calc_Engine!A17</f>
        <v/>
      </c>
      <c r="B17" s="2">
        <f>Calc_Engine!B17</f>
        <v/>
      </c>
      <c r="C17" s="2">
        <f>Calc_Engine!C17</f>
        <v/>
      </c>
      <c r="D17" s="2">
        <f>Calc_Engine!D17</f>
        <v/>
      </c>
      <c r="E17" s="4">
        <f>Calc_Engine!E17</f>
        <v/>
      </c>
      <c r="F17" s="5">
        <f>Calc_Engine!F17</f>
        <v/>
      </c>
      <c r="G17" s="5">
        <f>Calc_Engine!G17</f>
        <v/>
      </c>
      <c r="H17" s="2">
        <f>LET(id,$A17,code,UPPER(TRIM($D17)),rawStart,$F17,rawEnd,$G17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" s="2">
        <f>LET(id,$A17,code,UPPER(TRIM($D17)),rawStart,$F17,rawEnd,$G17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" s="2">
        <f>LET(id,$A17,code,UPPER(TRIM($D17)),rawStart,$F17,rawEnd,$G17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" s="2">
        <f>LET(id,$A17,code,UPPER(TRIM($D17)),rawStart,$F17,rawEnd,$G17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" s="2">
        <f>LET(id,$A17,code,UPPER(TRIM($D17)),rawStart,$F17,rawEnd,$G17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" s="2">
        <f>LET(id,$A17,code,UPPER(TRIM($D17)),rawStart,$F17,rawEnd,$G17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" s="2">
        <f>LET(id,$A17,code,UPPER(TRIM($D17)),rawStart,$F17,rawEnd,$G17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" s="2">
        <f>LET(id,$A17,code,UPPER(TRIM($D17)),rawStart,$F17,rawEnd,$G17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" s="2">
        <f>LET(id,$A17,code,UPPER(TRIM($D17)),rawStart,$F17,rawEnd,$G17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" s="2">
        <f>LET(id,$A17,code,UPPER(TRIM($D17)),rawStart,$F17,rawEnd,$G17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" s="2">
        <f>LET(id,$A17,code,UPPER(TRIM($D17)),rawStart,$F17,rawEnd,$G17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" s="2">
        <f>LET(id,$A17,code,UPPER(TRIM($D17)),rawStart,$F17,rawEnd,$G17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" s="2">
        <f>LET(id,$A17,code,UPPER(TRIM($D17)),rawStart,$F17,rawEnd,$G17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" s="2">
        <f>LET(id,$A17,code,UPPER(TRIM($D17)),rawStart,$F17,rawEnd,$G17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" s="2">
        <f>LET(id,$A17,code,UPPER(TRIM($D17)),rawStart,$F17,rawEnd,$G17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" s="2">
        <f>LET(id,$A17,code,UPPER(TRIM($D17)),rawStart,$F17,rawEnd,$G17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" s="2">
        <f>LET(id,$A17,code,UPPER(TRIM($D17)),rawStart,$F17,rawEnd,$G17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" s="2">
        <f>LET(id,$A17,code,UPPER(TRIM($D17)),rawStart,$F17,rawEnd,$G17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" s="2">
        <f>LET(id,$A17,code,UPPER(TRIM($D17)),rawStart,$F17,rawEnd,$G17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" s="2">
        <f>LET(id,$A17,code,UPPER(TRIM($D17)),rawStart,$F17,rawEnd,$G17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" s="2">
        <f>LET(id,$A17,code,UPPER(TRIM($D17)),rawStart,$F17,rawEnd,$G17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" s="2">
        <f>LET(id,$A17,code,UPPER(TRIM($D17)),rawStart,$F17,rawEnd,$G17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" s="2">
        <f>LET(id,$A17,code,UPPER(TRIM($D17)),rawStart,$F17,rawEnd,$G17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" s="2">
        <f>LET(id,$A17,code,UPPER(TRIM($D17)),rawStart,$F17,rawEnd,$G17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" s="2">
        <f>LET(id,$A17,code,UPPER(TRIM($D17)),rawStart,$F17,rawEnd,$G17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" s="2">
        <f>LET(id,$A17,code,UPPER(TRIM($D17)),rawStart,$F17,rawEnd,$G17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" s="2">
        <f>LET(id,$A17,code,UPPER(TRIM($D17)),rawStart,$F17,rawEnd,$G17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" s="2">
        <f>LET(id,$A17,code,UPPER(TRIM($D17)),rawStart,$F17,rawEnd,$G17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" s="2">
        <f>LET(id,$A17,code,UPPER(TRIM($D17)),rawStart,$F17,rawEnd,$G17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" s="2">
        <f>LET(id,$A17,code,UPPER(TRIM($D17)),rawStart,$F17,rawEnd,$G17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" s="2">
        <f>LET(id,$A17,code,UPPER(TRIM($D17)),rawStart,$F17,rawEnd,$G17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" s="2">
        <f>LET(id,$A17,code,UPPER(TRIM($D17)),rawStart,$F17,rawEnd,$G17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" s="2">
        <f>LET(id,$A17,code,UPPER(TRIM($D17)),rawStart,$F17,rawEnd,$G17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" s="2">
        <f>LET(id,$A17,code,UPPER(TRIM($D17)),rawStart,$F17,rawEnd,$G17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" s="2">
        <f>LET(id,$A17,code,UPPER(TRIM($D17)),rawStart,$F17,rawEnd,$G17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" s="2">
        <f>LET(id,$A17,code,UPPER(TRIM($D17)),rawStart,$F17,rawEnd,$G17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" s="2">
        <f>LET(id,$A17,code,UPPER(TRIM($D17)),rawStart,$F17,rawEnd,$G17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" s="2">
        <f>LET(id,$A17,code,UPPER(TRIM($D17)),rawStart,$F17,rawEnd,$G17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" s="2">
        <f>LET(id,$A17,code,UPPER(TRIM($D17)),rawStart,$F17,rawEnd,$G17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" s="2">
        <f>LET(id,$A17,code,UPPER(TRIM($D17)),rawStart,$F17,rawEnd,$G17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" s="2">
        <f>LET(id,$A17,code,UPPER(TRIM($D17)),rawStart,$F17,rawEnd,$G17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" s="2">
        <f>LET(id,$A17,code,UPPER(TRIM($D17)),rawStart,$F17,rawEnd,$G17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" s="2">
        <f>LET(id,$A17,code,UPPER(TRIM($D17)),rawStart,$F17,rawEnd,$G17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" s="2">
        <f>LET(id,$A17,code,UPPER(TRIM($D17)),rawStart,$F17,rawEnd,$G17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" s="2">
        <f>LET(id,$A17,code,UPPER(TRIM($D17)),rawStart,$F17,rawEnd,$G17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" s="2">
        <f>LET(id,$A17,code,UPPER(TRIM($D17)),rawStart,$F17,rawEnd,$G17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" s="2">
        <f>LET(id,$A17,code,UPPER(TRIM($D17)),rawStart,$F17,rawEnd,$G17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" s="2">
        <f>LET(id,$A17,code,UPPER(TRIM($D17)),rawStart,$F17,rawEnd,$G17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7" s="2">
        <f>Calc_Engine!BD17</f>
        <v/>
      </c>
    </row>
    <row r="18">
      <c r="A18" s="2">
        <f>Calc_Engine!A18</f>
        <v/>
      </c>
      <c r="B18" s="2">
        <f>Calc_Engine!B18</f>
        <v/>
      </c>
      <c r="C18" s="2">
        <f>Calc_Engine!C18</f>
        <v/>
      </c>
      <c r="D18" s="2">
        <f>Calc_Engine!D18</f>
        <v/>
      </c>
      <c r="E18" s="4">
        <f>Calc_Engine!E18</f>
        <v/>
      </c>
      <c r="F18" s="5">
        <f>Calc_Engine!F18</f>
        <v/>
      </c>
      <c r="G18" s="5">
        <f>Calc_Engine!G18</f>
        <v/>
      </c>
      <c r="H18" s="2">
        <f>LET(id,$A18,code,UPPER(TRIM($D18)),rawStart,$F18,rawEnd,$G18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" s="2">
        <f>LET(id,$A18,code,UPPER(TRIM($D18)),rawStart,$F18,rawEnd,$G18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" s="2">
        <f>LET(id,$A18,code,UPPER(TRIM($D18)),rawStart,$F18,rawEnd,$G18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" s="2">
        <f>LET(id,$A18,code,UPPER(TRIM($D18)),rawStart,$F18,rawEnd,$G18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" s="2">
        <f>LET(id,$A18,code,UPPER(TRIM($D18)),rawStart,$F18,rawEnd,$G18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" s="2">
        <f>LET(id,$A18,code,UPPER(TRIM($D18)),rawStart,$F18,rawEnd,$G18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" s="2">
        <f>LET(id,$A18,code,UPPER(TRIM($D18)),rawStart,$F18,rawEnd,$G18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" s="2">
        <f>LET(id,$A18,code,UPPER(TRIM($D18)),rawStart,$F18,rawEnd,$G18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" s="2">
        <f>LET(id,$A18,code,UPPER(TRIM($D18)),rawStart,$F18,rawEnd,$G18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" s="2">
        <f>LET(id,$A18,code,UPPER(TRIM($D18)),rawStart,$F18,rawEnd,$G18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" s="2">
        <f>LET(id,$A18,code,UPPER(TRIM($D18)),rawStart,$F18,rawEnd,$G18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" s="2">
        <f>LET(id,$A18,code,UPPER(TRIM($D18)),rawStart,$F18,rawEnd,$G18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" s="2">
        <f>LET(id,$A18,code,UPPER(TRIM($D18)),rawStart,$F18,rawEnd,$G18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" s="2">
        <f>LET(id,$A18,code,UPPER(TRIM($D18)),rawStart,$F18,rawEnd,$G18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" s="2">
        <f>LET(id,$A18,code,UPPER(TRIM($D18)),rawStart,$F18,rawEnd,$G18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" s="2">
        <f>LET(id,$A18,code,UPPER(TRIM($D18)),rawStart,$F18,rawEnd,$G18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" s="2">
        <f>LET(id,$A18,code,UPPER(TRIM($D18)),rawStart,$F18,rawEnd,$G18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" s="2">
        <f>LET(id,$A18,code,UPPER(TRIM($D18)),rawStart,$F18,rawEnd,$G18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" s="2">
        <f>LET(id,$A18,code,UPPER(TRIM($D18)),rawStart,$F18,rawEnd,$G18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" s="2">
        <f>LET(id,$A18,code,UPPER(TRIM($D18)),rawStart,$F18,rawEnd,$G18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" s="2">
        <f>LET(id,$A18,code,UPPER(TRIM($D18)),rawStart,$F18,rawEnd,$G18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" s="2">
        <f>LET(id,$A18,code,UPPER(TRIM($D18)),rawStart,$F18,rawEnd,$G18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" s="2">
        <f>LET(id,$A18,code,UPPER(TRIM($D18)),rawStart,$F18,rawEnd,$G18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" s="2">
        <f>LET(id,$A18,code,UPPER(TRIM($D18)),rawStart,$F18,rawEnd,$G18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" s="2">
        <f>LET(id,$A18,code,UPPER(TRIM($D18)),rawStart,$F18,rawEnd,$G18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" s="2">
        <f>LET(id,$A18,code,UPPER(TRIM($D18)),rawStart,$F18,rawEnd,$G18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" s="2">
        <f>LET(id,$A18,code,UPPER(TRIM($D18)),rawStart,$F18,rawEnd,$G18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" s="2">
        <f>LET(id,$A18,code,UPPER(TRIM($D18)),rawStart,$F18,rawEnd,$G18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" s="2">
        <f>LET(id,$A18,code,UPPER(TRIM($D18)),rawStart,$F18,rawEnd,$G18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" s="2">
        <f>LET(id,$A18,code,UPPER(TRIM($D18)),rawStart,$F18,rawEnd,$G18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" s="2">
        <f>LET(id,$A18,code,UPPER(TRIM($D18)),rawStart,$F18,rawEnd,$G18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" s="2">
        <f>LET(id,$A18,code,UPPER(TRIM($D18)),rawStart,$F18,rawEnd,$G18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" s="2">
        <f>LET(id,$A18,code,UPPER(TRIM($D18)),rawStart,$F18,rawEnd,$G18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" s="2">
        <f>LET(id,$A18,code,UPPER(TRIM($D18)),rawStart,$F18,rawEnd,$G18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" s="2">
        <f>LET(id,$A18,code,UPPER(TRIM($D18)),rawStart,$F18,rawEnd,$G18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" s="2">
        <f>LET(id,$A18,code,UPPER(TRIM($D18)),rawStart,$F18,rawEnd,$G18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" s="2">
        <f>LET(id,$A18,code,UPPER(TRIM($D18)),rawStart,$F18,rawEnd,$G18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" s="2">
        <f>LET(id,$A18,code,UPPER(TRIM($D18)),rawStart,$F18,rawEnd,$G18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" s="2">
        <f>LET(id,$A18,code,UPPER(TRIM($D18)),rawStart,$F18,rawEnd,$G18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" s="2">
        <f>LET(id,$A18,code,UPPER(TRIM($D18)),rawStart,$F18,rawEnd,$G18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" s="2">
        <f>LET(id,$A18,code,UPPER(TRIM($D18)),rawStart,$F18,rawEnd,$G18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" s="2">
        <f>LET(id,$A18,code,UPPER(TRIM($D18)),rawStart,$F18,rawEnd,$G18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" s="2">
        <f>LET(id,$A18,code,UPPER(TRIM($D18)),rawStart,$F18,rawEnd,$G18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" s="2">
        <f>LET(id,$A18,code,UPPER(TRIM($D18)),rawStart,$F18,rawEnd,$G18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" s="2">
        <f>LET(id,$A18,code,UPPER(TRIM($D18)),rawStart,$F18,rawEnd,$G18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" s="2">
        <f>LET(id,$A18,code,UPPER(TRIM($D18)),rawStart,$F18,rawEnd,$G18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" s="2">
        <f>LET(id,$A18,code,UPPER(TRIM($D18)),rawStart,$F18,rawEnd,$G18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" s="2">
        <f>LET(id,$A18,code,UPPER(TRIM($D18)),rawStart,$F18,rawEnd,$G18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8" s="2">
        <f>Calc_Engine!BD18</f>
        <v/>
      </c>
    </row>
    <row r="19">
      <c r="A19" s="2">
        <f>Calc_Engine!A19</f>
        <v/>
      </c>
      <c r="B19" s="2">
        <f>Calc_Engine!B19</f>
        <v/>
      </c>
      <c r="C19" s="2">
        <f>Calc_Engine!C19</f>
        <v/>
      </c>
      <c r="D19" s="2">
        <f>Calc_Engine!D19</f>
        <v/>
      </c>
      <c r="E19" s="4">
        <f>Calc_Engine!E19</f>
        <v/>
      </c>
      <c r="F19" s="5">
        <f>Calc_Engine!F19</f>
        <v/>
      </c>
      <c r="G19" s="5">
        <f>Calc_Engine!G19</f>
        <v/>
      </c>
      <c r="H19" s="2">
        <f>LET(id,$A19,code,UPPER(TRIM($D19)),rawStart,$F19,rawEnd,$G19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" s="2">
        <f>LET(id,$A19,code,UPPER(TRIM($D19)),rawStart,$F19,rawEnd,$G19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" s="2">
        <f>LET(id,$A19,code,UPPER(TRIM($D19)),rawStart,$F19,rawEnd,$G19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" s="2">
        <f>LET(id,$A19,code,UPPER(TRIM($D19)),rawStart,$F19,rawEnd,$G19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" s="2">
        <f>LET(id,$A19,code,UPPER(TRIM($D19)),rawStart,$F19,rawEnd,$G19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" s="2">
        <f>LET(id,$A19,code,UPPER(TRIM($D19)),rawStart,$F19,rawEnd,$G19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" s="2">
        <f>LET(id,$A19,code,UPPER(TRIM($D19)),rawStart,$F19,rawEnd,$G19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" s="2">
        <f>LET(id,$A19,code,UPPER(TRIM($D19)),rawStart,$F19,rawEnd,$G19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" s="2">
        <f>LET(id,$A19,code,UPPER(TRIM($D19)),rawStart,$F19,rawEnd,$G19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" s="2">
        <f>LET(id,$A19,code,UPPER(TRIM($D19)),rawStart,$F19,rawEnd,$G19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" s="2">
        <f>LET(id,$A19,code,UPPER(TRIM($D19)),rawStart,$F19,rawEnd,$G19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" s="2">
        <f>LET(id,$A19,code,UPPER(TRIM($D19)),rawStart,$F19,rawEnd,$G19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" s="2">
        <f>LET(id,$A19,code,UPPER(TRIM($D19)),rawStart,$F19,rawEnd,$G19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" s="2">
        <f>LET(id,$A19,code,UPPER(TRIM($D19)),rawStart,$F19,rawEnd,$G19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" s="2">
        <f>LET(id,$A19,code,UPPER(TRIM($D19)),rawStart,$F19,rawEnd,$G19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" s="2">
        <f>LET(id,$A19,code,UPPER(TRIM($D19)),rawStart,$F19,rawEnd,$G19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" s="2">
        <f>LET(id,$A19,code,UPPER(TRIM($D19)),rawStart,$F19,rawEnd,$G19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" s="2">
        <f>LET(id,$A19,code,UPPER(TRIM($D19)),rawStart,$F19,rawEnd,$G19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" s="2">
        <f>LET(id,$A19,code,UPPER(TRIM($D19)),rawStart,$F19,rawEnd,$G19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" s="2">
        <f>LET(id,$A19,code,UPPER(TRIM($D19)),rawStart,$F19,rawEnd,$G19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" s="2">
        <f>LET(id,$A19,code,UPPER(TRIM($D19)),rawStart,$F19,rawEnd,$G19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" s="2">
        <f>LET(id,$A19,code,UPPER(TRIM($D19)),rawStart,$F19,rawEnd,$G19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" s="2">
        <f>LET(id,$A19,code,UPPER(TRIM($D19)),rawStart,$F19,rawEnd,$G19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" s="2">
        <f>LET(id,$A19,code,UPPER(TRIM($D19)),rawStart,$F19,rawEnd,$G19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" s="2">
        <f>LET(id,$A19,code,UPPER(TRIM($D19)),rawStart,$F19,rawEnd,$G19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" s="2">
        <f>LET(id,$A19,code,UPPER(TRIM($D19)),rawStart,$F19,rawEnd,$G19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" s="2">
        <f>LET(id,$A19,code,UPPER(TRIM($D19)),rawStart,$F19,rawEnd,$G19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" s="2">
        <f>LET(id,$A19,code,UPPER(TRIM($D19)),rawStart,$F19,rawEnd,$G19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" s="2">
        <f>LET(id,$A19,code,UPPER(TRIM($D19)),rawStart,$F19,rawEnd,$G19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" s="2">
        <f>LET(id,$A19,code,UPPER(TRIM($D19)),rawStart,$F19,rawEnd,$G19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" s="2">
        <f>LET(id,$A19,code,UPPER(TRIM($D19)),rawStart,$F19,rawEnd,$G19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" s="2">
        <f>LET(id,$A19,code,UPPER(TRIM($D19)),rawStart,$F19,rawEnd,$G19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" s="2">
        <f>LET(id,$A19,code,UPPER(TRIM($D19)),rawStart,$F19,rawEnd,$G19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" s="2">
        <f>LET(id,$A19,code,UPPER(TRIM($D19)),rawStart,$F19,rawEnd,$G19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" s="2">
        <f>LET(id,$A19,code,UPPER(TRIM($D19)),rawStart,$F19,rawEnd,$G19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" s="2">
        <f>LET(id,$A19,code,UPPER(TRIM($D19)),rawStart,$F19,rawEnd,$G19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" s="2">
        <f>LET(id,$A19,code,UPPER(TRIM($D19)),rawStart,$F19,rawEnd,$G19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" s="2">
        <f>LET(id,$A19,code,UPPER(TRIM($D19)),rawStart,$F19,rawEnd,$G19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" s="2">
        <f>LET(id,$A19,code,UPPER(TRIM($D19)),rawStart,$F19,rawEnd,$G19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" s="2">
        <f>LET(id,$A19,code,UPPER(TRIM($D19)),rawStart,$F19,rawEnd,$G19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" s="2">
        <f>LET(id,$A19,code,UPPER(TRIM($D19)),rawStart,$F19,rawEnd,$G19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" s="2">
        <f>LET(id,$A19,code,UPPER(TRIM($D19)),rawStart,$F19,rawEnd,$G19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" s="2">
        <f>LET(id,$A19,code,UPPER(TRIM($D19)),rawStart,$F19,rawEnd,$G19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" s="2">
        <f>LET(id,$A19,code,UPPER(TRIM($D19)),rawStart,$F19,rawEnd,$G19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" s="2">
        <f>LET(id,$A19,code,UPPER(TRIM($D19)),rawStart,$F19,rawEnd,$G19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" s="2">
        <f>LET(id,$A19,code,UPPER(TRIM($D19)),rawStart,$F19,rawEnd,$G19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" s="2">
        <f>LET(id,$A19,code,UPPER(TRIM($D19)),rawStart,$F19,rawEnd,$G19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" s="2">
        <f>LET(id,$A19,code,UPPER(TRIM($D19)),rawStart,$F19,rawEnd,$G19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9" s="2">
        <f>Calc_Engine!BD19</f>
        <v/>
      </c>
    </row>
    <row r="20">
      <c r="A20" s="2">
        <f>Calc_Engine!A20</f>
        <v/>
      </c>
      <c r="B20" s="2">
        <f>Calc_Engine!B20</f>
        <v/>
      </c>
      <c r="C20" s="2">
        <f>Calc_Engine!C20</f>
        <v/>
      </c>
      <c r="D20" s="2">
        <f>Calc_Engine!D20</f>
        <v/>
      </c>
      <c r="E20" s="4">
        <f>Calc_Engine!E20</f>
        <v/>
      </c>
      <c r="F20" s="5">
        <f>Calc_Engine!F20</f>
        <v/>
      </c>
      <c r="G20" s="5">
        <f>Calc_Engine!G20</f>
        <v/>
      </c>
      <c r="H20" s="2">
        <f>LET(id,$A20,code,UPPER(TRIM($D20)),rawStart,$F20,rawEnd,$G20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" s="2">
        <f>LET(id,$A20,code,UPPER(TRIM($D20)),rawStart,$F20,rawEnd,$G20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" s="2">
        <f>LET(id,$A20,code,UPPER(TRIM($D20)),rawStart,$F20,rawEnd,$G20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" s="2">
        <f>LET(id,$A20,code,UPPER(TRIM($D20)),rawStart,$F20,rawEnd,$G20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" s="2">
        <f>LET(id,$A20,code,UPPER(TRIM($D20)),rawStart,$F20,rawEnd,$G20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" s="2">
        <f>LET(id,$A20,code,UPPER(TRIM($D20)),rawStart,$F20,rawEnd,$G20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" s="2">
        <f>LET(id,$A20,code,UPPER(TRIM($D20)),rawStart,$F20,rawEnd,$G20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" s="2">
        <f>LET(id,$A20,code,UPPER(TRIM($D20)),rawStart,$F20,rawEnd,$G20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" s="2">
        <f>LET(id,$A20,code,UPPER(TRIM($D20)),rawStart,$F20,rawEnd,$G20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" s="2">
        <f>LET(id,$A20,code,UPPER(TRIM($D20)),rawStart,$F20,rawEnd,$G20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" s="2">
        <f>LET(id,$A20,code,UPPER(TRIM($D20)),rawStart,$F20,rawEnd,$G20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" s="2">
        <f>LET(id,$A20,code,UPPER(TRIM($D20)),rawStart,$F20,rawEnd,$G20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" s="2">
        <f>LET(id,$A20,code,UPPER(TRIM($D20)),rawStart,$F20,rawEnd,$G20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" s="2">
        <f>LET(id,$A20,code,UPPER(TRIM($D20)),rawStart,$F20,rawEnd,$G20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" s="2">
        <f>LET(id,$A20,code,UPPER(TRIM($D20)),rawStart,$F20,rawEnd,$G20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" s="2">
        <f>LET(id,$A20,code,UPPER(TRIM($D20)),rawStart,$F20,rawEnd,$G20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" s="2">
        <f>LET(id,$A20,code,UPPER(TRIM($D20)),rawStart,$F20,rawEnd,$G20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" s="2">
        <f>LET(id,$A20,code,UPPER(TRIM($D20)),rawStart,$F20,rawEnd,$G20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" s="2">
        <f>LET(id,$A20,code,UPPER(TRIM($D20)),rawStart,$F20,rawEnd,$G20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" s="2">
        <f>LET(id,$A20,code,UPPER(TRIM($D20)),rawStart,$F20,rawEnd,$G20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" s="2">
        <f>LET(id,$A20,code,UPPER(TRIM($D20)),rawStart,$F20,rawEnd,$G20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" s="2">
        <f>LET(id,$A20,code,UPPER(TRIM($D20)),rawStart,$F20,rawEnd,$G20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" s="2">
        <f>LET(id,$A20,code,UPPER(TRIM($D20)),rawStart,$F20,rawEnd,$G20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" s="2">
        <f>LET(id,$A20,code,UPPER(TRIM($D20)),rawStart,$F20,rawEnd,$G20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" s="2">
        <f>LET(id,$A20,code,UPPER(TRIM($D20)),rawStart,$F20,rawEnd,$G20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" s="2">
        <f>LET(id,$A20,code,UPPER(TRIM($D20)),rawStart,$F20,rawEnd,$G20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" s="2">
        <f>LET(id,$A20,code,UPPER(TRIM($D20)),rawStart,$F20,rawEnd,$G20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" s="2">
        <f>LET(id,$A20,code,UPPER(TRIM($D20)),rawStart,$F20,rawEnd,$G20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" s="2">
        <f>LET(id,$A20,code,UPPER(TRIM($D20)),rawStart,$F20,rawEnd,$G20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" s="2">
        <f>LET(id,$A20,code,UPPER(TRIM($D20)),rawStart,$F20,rawEnd,$G20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" s="2">
        <f>LET(id,$A20,code,UPPER(TRIM($D20)),rawStart,$F20,rawEnd,$G20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" s="2">
        <f>LET(id,$A20,code,UPPER(TRIM($D20)),rawStart,$F20,rawEnd,$G20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" s="2">
        <f>LET(id,$A20,code,UPPER(TRIM($D20)),rawStart,$F20,rawEnd,$G20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" s="2">
        <f>LET(id,$A20,code,UPPER(TRIM($D20)),rawStart,$F20,rawEnd,$G20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" s="2">
        <f>LET(id,$A20,code,UPPER(TRIM($D20)),rawStart,$F20,rawEnd,$G20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" s="2">
        <f>LET(id,$A20,code,UPPER(TRIM($D20)),rawStart,$F20,rawEnd,$G20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" s="2">
        <f>LET(id,$A20,code,UPPER(TRIM($D20)),rawStart,$F20,rawEnd,$G20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" s="2">
        <f>LET(id,$A20,code,UPPER(TRIM($D20)),rawStart,$F20,rawEnd,$G20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" s="2">
        <f>LET(id,$A20,code,UPPER(TRIM($D20)),rawStart,$F20,rawEnd,$G20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" s="2">
        <f>LET(id,$A20,code,UPPER(TRIM($D20)),rawStart,$F20,rawEnd,$G20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" s="2">
        <f>LET(id,$A20,code,UPPER(TRIM($D20)),rawStart,$F20,rawEnd,$G20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" s="2">
        <f>LET(id,$A20,code,UPPER(TRIM($D20)),rawStart,$F20,rawEnd,$G20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" s="2">
        <f>LET(id,$A20,code,UPPER(TRIM($D20)),rawStart,$F20,rawEnd,$G20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" s="2">
        <f>LET(id,$A20,code,UPPER(TRIM($D20)),rawStart,$F20,rawEnd,$G20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" s="2">
        <f>LET(id,$A20,code,UPPER(TRIM($D20)),rawStart,$F20,rawEnd,$G20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" s="2">
        <f>LET(id,$A20,code,UPPER(TRIM($D20)),rawStart,$F20,rawEnd,$G20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" s="2">
        <f>LET(id,$A20,code,UPPER(TRIM($D20)),rawStart,$F20,rawEnd,$G20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" s="2">
        <f>LET(id,$A20,code,UPPER(TRIM($D20)),rawStart,$F20,rawEnd,$G20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0" s="2">
        <f>Calc_Engine!BD20</f>
        <v/>
      </c>
    </row>
    <row r="21">
      <c r="A21" s="2">
        <f>Calc_Engine!A21</f>
        <v/>
      </c>
      <c r="B21" s="2">
        <f>Calc_Engine!B21</f>
        <v/>
      </c>
      <c r="C21" s="2">
        <f>Calc_Engine!C21</f>
        <v/>
      </c>
      <c r="D21" s="2">
        <f>Calc_Engine!D21</f>
        <v/>
      </c>
      <c r="E21" s="4">
        <f>Calc_Engine!E21</f>
        <v/>
      </c>
      <c r="F21" s="5">
        <f>Calc_Engine!F21</f>
        <v/>
      </c>
      <c r="G21" s="5">
        <f>Calc_Engine!G21</f>
        <v/>
      </c>
      <c r="H21" s="2">
        <f>LET(id,$A21,code,UPPER(TRIM($D21)),rawStart,$F21,rawEnd,$G21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" s="2">
        <f>LET(id,$A21,code,UPPER(TRIM($D21)),rawStart,$F21,rawEnd,$G21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" s="2">
        <f>LET(id,$A21,code,UPPER(TRIM($D21)),rawStart,$F21,rawEnd,$G21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" s="2">
        <f>LET(id,$A21,code,UPPER(TRIM($D21)),rawStart,$F21,rawEnd,$G21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" s="2">
        <f>LET(id,$A21,code,UPPER(TRIM($D21)),rawStart,$F21,rawEnd,$G21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" s="2">
        <f>LET(id,$A21,code,UPPER(TRIM($D21)),rawStart,$F21,rawEnd,$G21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" s="2">
        <f>LET(id,$A21,code,UPPER(TRIM($D21)),rawStart,$F21,rawEnd,$G21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" s="2">
        <f>LET(id,$A21,code,UPPER(TRIM($D21)),rawStart,$F21,rawEnd,$G21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" s="2">
        <f>LET(id,$A21,code,UPPER(TRIM($D21)),rawStart,$F21,rawEnd,$G21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" s="2">
        <f>LET(id,$A21,code,UPPER(TRIM($D21)),rawStart,$F21,rawEnd,$G21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" s="2">
        <f>LET(id,$A21,code,UPPER(TRIM($D21)),rawStart,$F21,rawEnd,$G21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" s="2">
        <f>LET(id,$A21,code,UPPER(TRIM($D21)),rawStart,$F21,rawEnd,$G21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" s="2">
        <f>LET(id,$A21,code,UPPER(TRIM($D21)),rawStart,$F21,rawEnd,$G21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" s="2">
        <f>LET(id,$A21,code,UPPER(TRIM($D21)),rawStart,$F21,rawEnd,$G21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" s="2">
        <f>LET(id,$A21,code,UPPER(TRIM($D21)),rawStart,$F21,rawEnd,$G21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" s="2">
        <f>LET(id,$A21,code,UPPER(TRIM($D21)),rawStart,$F21,rawEnd,$G21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" s="2">
        <f>LET(id,$A21,code,UPPER(TRIM($D21)),rawStart,$F21,rawEnd,$G21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" s="2">
        <f>LET(id,$A21,code,UPPER(TRIM($D21)),rawStart,$F21,rawEnd,$G21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" s="2">
        <f>LET(id,$A21,code,UPPER(TRIM($D21)),rawStart,$F21,rawEnd,$G21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" s="2">
        <f>LET(id,$A21,code,UPPER(TRIM($D21)),rawStart,$F21,rawEnd,$G21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" s="2">
        <f>LET(id,$A21,code,UPPER(TRIM($D21)),rawStart,$F21,rawEnd,$G21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" s="2">
        <f>LET(id,$A21,code,UPPER(TRIM($D21)),rawStart,$F21,rawEnd,$G21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" s="2">
        <f>LET(id,$A21,code,UPPER(TRIM($D21)),rawStart,$F21,rawEnd,$G21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" s="2">
        <f>LET(id,$A21,code,UPPER(TRIM($D21)),rawStart,$F21,rawEnd,$G21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" s="2">
        <f>LET(id,$A21,code,UPPER(TRIM($D21)),rawStart,$F21,rawEnd,$G21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" s="2">
        <f>LET(id,$A21,code,UPPER(TRIM($D21)),rawStart,$F21,rawEnd,$G21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" s="2">
        <f>LET(id,$A21,code,UPPER(TRIM($D21)),rawStart,$F21,rawEnd,$G21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" s="2">
        <f>LET(id,$A21,code,UPPER(TRIM($D21)),rawStart,$F21,rawEnd,$G21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" s="2">
        <f>LET(id,$A21,code,UPPER(TRIM($D21)),rawStart,$F21,rawEnd,$G21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" s="2">
        <f>LET(id,$A21,code,UPPER(TRIM($D21)),rawStart,$F21,rawEnd,$G21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" s="2">
        <f>LET(id,$A21,code,UPPER(TRIM($D21)),rawStart,$F21,rawEnd,$G21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" s="2">
        <f>LET(id,$A21,code,UPPER(TRIM($D21)),rawStart,$F21,rawEnd,$G21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" s="2">
        <f>LET(id,$A21,code,UPPER(TRIM($D21)),rawStart,$F21,rawEnd,$G21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" s="2">
        <f>LET(id,$A21,code,UPPER(TRIM($D21)),rawStart,$F21,rawEnd,$G21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" s="2">
        <f>LET(id,$A21,code,UPPER(TRIM($D21)),rawStart,$F21,rawEnd,$G21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" s="2">
        <f>LET(id,$A21,code,UPPER(TRIM($D21)),rawStart,$F21,rawEnd,$G21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" s="2">
        <f>LET(id,$A21,code,UPPER(TRIM($D21)),rawStart,$F21,rawEnd,$G21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" s="2">
        <f>LET(id,$A21,code,UPPER(TRIM($D21)),rawStart,$F21,rawEnd,$G21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" s="2">
        <f>LET(id,$A21,code,UPPER(TRIM($D21)),rawStart,$F21,rawEnd,$G21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" s="2">
        <f>LET(id,$A21,code,UPPER(TRIM($D21)),rawStart,$F21,rawEnd,$G21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" s="2">
        <f>LET(id,$A21,code,UPPER(TRIM($D21)),rawStart,$F21,rawEnd,$G21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" s="2">
        <f>LET(id,$A21,code,UPPER(TRIM($D21)),rawStart,$F21,rawEnd,$G21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" s="2">
        <f>LET(id,$A21,code,UPPER(TRIM($D21)),rawStart,$F21,rawEnd,$G21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" s="2">
        <f>LET(id,$A21,code,UPPER(TRIM($D21)),rawStart,$F21,rawEnd,$G21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" s="2">
        <f>LET(id,$A21,code,UPPER(TRIM($D21)),rawStart,$F21,rawEnd,$G21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" s="2">
        <f>LET(id,$A21,code,UPPER(TRIM($D21)),rawStart,$F21,rawEnd,$G21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" s="2">
        <f>LET(id,$A21,code,UPPER(TRIM($D21)),rawStart,$F21,rawEnd,$G21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" s="2">
        <f>LET(id,$A21,code,UPPER(TRIM($D21)),rawStart,$F21,rawEnd,$G21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1" s="2">
        <f>Calc_Engine!BD21</f>
        <v/>
      </c>
    </row>
    <row r="22">
      <c r="A22" s="2">
        <f>Calc_Engine!A22</f>
        <v/>
      </c>
      <c r="B22" s="2">
        <f>Calc_Engine!B22</f>
        <v/>
      </c>
      <c r="C22" s="2">
        <f>Calc_Engine!C22</f>
        <v/>
      </c>
      <c r="D22" s="2">
        <f>Calc_Engine!D22</f>
        <v/>
      </c>
      <c r="E22" s="4">
        <f>Calc_Engine!E22</f>
        <v/>
      </c>
      <c r="F22" s="5">
        <f>Calc_Engine!F22</f>
        <v/>
      </c>
      <c r="G22" s="5">
        <f>Calc_Engine!G22</f>
        <v/>
      </c>
      <c r="H22" s="2">
        <f>LET(id,$A22,code,UPPER(TRIM($D22)),rawStart,$F22,rawEnd,$G22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" s="2">
        <f>LET(id,$A22,code,UPPER(TRIM($D22)),rawStart,$F22,rawEnd,$G22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" s="2">
        <f>LET(id,$A22,code,UPPER(TRIM($D22)),rawStart,$F22,rawEnd,$G22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" s="2">
        <f>LET(id,$A22,code,UPPER(TRIM($D22)),rawStart,$F22,rawEnd,$G22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" s="2">
        <f>LET(id,$A22,code,UPPER(TRIM($D22)),rawStart,$F22,rawEnd,$G22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" s="2">
        <f>LET(id,$A22,code,UPPER(TRIM($D22)),rawStart,$F22,rawEnd,$G22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" s="2">
        <f>LET(id,$A22,code,UPPER(TRIM($D22)),rawStart,$F22,rawEnd,$G22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" s="2">
        <f>LET(id,$A22,code,UPPER(TRIM($D22)),rawStart,$F22,rawEnd,$G22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" s="2">
        <f>LET(id,$A22,code,UPPER(TRIM($D22)),rawStart,$F22,rawEnd,$G22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" s="2">
        <f>LET(id,$A22,code,UPPER(TRIM($D22)),rawStart,$F22,rawEnd,$G22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" s="2">
        <f>LET(id,$A22,code,UPPER(TRIM($D22)),rawStart,$F22,rawEnd,$G22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" s="2">
        <f>LET(id,$A22,code,UPPER(TRIM($D22)),rawStart,$F22,rawEnd,$G22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" s="2">
        <f>LET(id,$A22,code,UPPER(TRIM($D22)),rawStart,$F22,rawEnd,$G22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" s="2">
        <f>LET(id,$A22,code,UPPER(TRIM($D22)),rawStart,$F22,rawEnd,$G22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" s="2">
        <f>LET(id,$A22,code,UPPER(TRIM($D22)),rawStart,$F22,rawEnd,$G22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" s="2">
        <f>LET(id,$A22,code,UPPER(TRIM($D22)),rawStart,$F22,rawEnd,$G22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" s="2">
        <f>LET(id,$A22,code,UPPER(TRIM($D22)),rawStart,$F22,rawEnd,$G22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" s="2">
        <f>LET(id,$A22,code,UPPER(TRIM($D22)),rawStart,$F22,rawEnd,$G22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" s="2">
        <f>LET(id,$A22,code,UPPER(TRIM($D22)),rawStart,$F22,rawEnd,$G22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" s="2">
        <f>LET(id,$A22,code,UPPER(TRIM($D22)),rawStart,$F22,rawEnd,$G22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" s="2">
        <f>LET(id,$A22,code,UPPER(TRIM($D22)),rawStart,$F22,rawEnd,$G22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" s="2">
        <f>LET(id,$A22,code,UPPER(TRIM($D22)),rawStart,$F22,rawEnd,$G22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" s="2">
        <f>LET(id,$A22,code,UPPER(TRIM($D22)),rawStart,$F22,rawEnd,$G22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" s="2">
        <f>LET(id,$A22,code,UPPER(TRIM($D22)),rawStart,$F22,rawEnd,$G22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" s="2">
        <f>LET(id,$A22,code,UPPER(TRIM($D22)),rawStart,$F22,rawEnd,$G22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" s="2">
        <f>LET(id,$A22,code,UPPER(TRIM($D22)),rawStart,$F22,rawEnd,$G22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" s="2">
        <f>LET(id,$A22,code,UPPER(TRIM($D22)),rawStart,$F22,rawEnd,$G22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" s="2">
        <f>LET(id,$A22,code,UPPER(TRIM($D22)),rawStart,$F22,rawEnd,$G22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" s="2">
        <f>LET(id,$A22,code,UPPER(TRIM($D22)),rawStart,$F22,rawEnd,$G22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" s="2">
        <f>LET(id,$A22,code,UPPER(TRIM($D22)),rawStart,$F22,rawEnd,$G22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" s="2">
        <f>LET(id,$A22,code,UPPER(TRIM($D22)),rawStart,$F22,rawEnd,$G22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" s="2">
        <f>LET(id,$A22,code,UPPER(TRIM($D22)),rawStart,$F22,rawEnd,$G22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" s="2">
        <f>LET(id,$A22,code,UPPER(TRIM($D22)),rawStart,$F22,rawEnd,$G22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" s="2">
        <f>LET(id,$A22,code,UPPER(TRIM($D22)),rawStart,$F22,rawEnd,$G22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" s="2">
        <f>LET(id,$A22,code,UPPER(TRIM($D22)),rawStart,$F22,rawEnd,$G22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" s="2">
        <f>LET(id,$A22,code,UPPER(TRIM($D22)),rawStart,$F22,rawEnd,$G22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" s="2">
        <f>LET(id,$A22,code,UPPER(TRIM($D22)),rawStart,$F22,rawEnd,$G22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" s="2">
        <f>LET(id,$A22,code,UPPER(TRIM($D22)),rawStart,$F22,rawEnd,$G22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" s="2">
        <f>LET(id,$A22,code,UPPER(TRIM($D22)),rawStart,$F22,rawEnd,$G22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" s="2">
        <f>LET(id,$A22,code,UPPER(TRIM($D22)),rawStart,$F22,rawEnd,$G22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" s="2">
        <f>LET(id,$A22,code,UPPER(TRIM($D22)),rawStart,$F22,rawEnd,$G22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" s="2">
        <f>LET(id,$A22,code,UPPER(TRIM($D22)),rawStart,$F22,rawEnd,$G22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" s="2">
        <f>LET(id,$A22,code,UPPER(TRIM($D22)),rawStart,$F22,rawEnd,$G22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" s="2">
        <f>LET(id,$A22,code,UPPER(TRIM($D22)),rawStart,$F22,rawEnd,$G22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" s="2">
        <f>LET(id,$A22,code,UPPER(TRIM($D22)),rawStart,$F22,rawEnd,$G22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" s="2">
        <f>LET(id,$A22,code,UPPER(TRIM($D22)),rawStart,$F22,rawEnd,$G22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" s="2">
        <f>LET(id,$A22,code,UPPER(TRIM($D22)),rawStart,$F22,rawEnd,$G22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" s="2">
        <f>LET(id,$A22,code,UPPER(TRIM($D22)),rawStart,$F22,rawEnd,$G22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2" s="2">
        <f>Calc_Engine!BD22</f>
        <v/>
      </c>
    </row>
    <row r="23">
      <c r="A23" s="2">
        <f>Calc_Engine!A23</f>
        <v/>
      </c>
      <c r="B23" s="2">
        <f>Calc_Engine!B23</f>
        <v/>
      </c>
      <c r="C23" s="2">
        <f>Calc_Engine!C23</f>
        <v/>
      </c>
      <c r="D23" s="2">
        <f>Calc_Engine!D23</f>
        <v/>
      </c>
      <c r="E23" s="4">
        <f>Calc_Engine!E23</f>
        <v/>
      </c>
      <c r="F23" s="5">
        <f>Calc_Engine!F23</f>
        <v/>
      </c>
      <c r="G23" s="5">
        <f>Calc_Engine!G23</f>
        <v/>
      </c>
      <c r="H23" s="2">
        <f>LET(id,$A23,code,UPPER(TRIM($D23)),rawStart,$F23,rawEnd,$G23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" s="2">
        <f>LET(id,$A23,code,UPPER(TRIM($D23)),rawStart,$F23,rawEnd,$G23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" s="2">
        <f>LET(id,$A23,code,UPPER(TRIM($D23)),rawStart,$F23,rawEnd,$G23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" s="2">
        <f>LET(id,$A23,code,UPPER(TRIM($D23)),rawStart,$F23,rawEnd,$G23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" s="2">
        <f>LET(id,$A23,code,UPPER(TRIM($D23)),rawStart,$F23,rawEnd,$G23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" s="2">
        <f>LET(id,$A23,code,UPPER(TRIM($D23)),rawStart,$F23,rawEnd,$G23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" s="2">
        <f>LET(id,$A23,code,UPPER(TRIM($D23)),rawStart,$F23,rawEnd,$G23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" s="2">
        <f>LET(id,$A23,code,UPPER(TRIM($D23)),rawStart,$F23,rawEnd,$G23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" s="2">
        <f>LET(id,$A23,code,UPPER(TRIM($D23)),rawStart,$F23,rawEnd,$G23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" s="2">
        <f>LET(id,$A23,code,UPPER(TRIM($D23)),rawStart,$F23,rawEnd,$G23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" s="2">
        <f>LET(id,$A23,code,UPPER(TRIM($D23)),rawStart,$F23,rawEnd,$G23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" s="2">
        <f>LET(id,$A23,code,UPPER(TRIM($D23)),rawStart,$F23,rawEnd,$G23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" s="2">
        <f>LET(id,$A23,code,UPPER(TRIM($D23)),rawStart,$F23,rawEnd,$G23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" s="2">
        <f>LET(id,$A23,code,UPPER(TRIM($D23)),rawStart,$F23,rawEnd,$G23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" s="2">
        <f>LET(id,$A23,code,UPPER(TRIM($D23)),rawStart,$F23,rawEnd,$G23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" s="2">
        <f>LET(id,$A23,code,UPPER(TRIM($D23)),rawStart,$F23,rawEnd,$G23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" s="2">
        <f>LET(id,$A23,code,UPPER(TRIM($D23)),rawStart,$F23,rawEnd,$G23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" s="2">
        <f>LET(id,$A23,code,UPPER(TRIM($D23)),rawStart,$F23,rawEnd,$G23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" s="2">
        <f>LET(id,$A23,code,UPPER(TRIM($D23)),rawStart,$F23,rawEnd,$G23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" s="2">
        <f>LET(id,$A23,code,UPPER(TRIM($D23)),rawStart,$F23,rawEnd,$G23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" s="2">
        <f>LET(id,$A23,code,UPPER(TRIM($D23)),rawStart,$F23,rawEnd,$G23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" s="2">
        <f>LET(id,$A23,code,UPPER(TRIM($D23)),rawStart,$F23,rawEnd,$G23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" s="2">
        <f>LET(id,$A23,code,UPPER(TRIM($D23)),rawStart,$F23,rawEnd,$G23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" s="2">
        <f>LET(id,$A23,code,UPPER(TRIM($D23)),rawStart,$F23,rawEnd,$G23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" s="2">
        <f>LET(id,$A23,code,UPPER(TRIM($D23)),rawStart,$F23,rawEnd,$G23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" s="2">
        <f>LET(id,$A23,code,UPPER(TRIM($D23)),rawStart,$F23,rawEnd,$G23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" s="2">
        <f>LET(id,$A23,code,UPPER(TRIM($D23)),rawStart,$F23,rawEnd,$G23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" s="2">
        <f>LET(id,$A23,code,UPPER(TRIM($D23)),rawStart,$F23,rawEnd,$G23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" s="2">
        <f>LET(id,$A23,code,UPPER(TRIM($D23)),rawStart,$F23,rawEnd,$G23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" s="2">
        <f>LET(id,$A23,code,UPPER(TRIM($D23)),rawStart,$F23,rawEnd,$G23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" s="2">
        <f>LET(id,$A23,code,UPPER(TRIM($D23)),rawStart,$F23,rawEnd,$G23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" s="2">
        <f>LET(id,$A23,code,UPPER(TRIM($D23)),rawStart,$F23,rawEnd,$G23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" s="2">
        <f>LET(id,$A23,code,UPPER(TRIM($D23)),rawStart,$F23,rawEnd,$G23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" s="2">
        <f>LET(id,$A23,code,UPPER(TRIM($D23)),rawStart,$F23,rawEnd,$G23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" s="2">
        <f>LET(id,$A23,code,UPPER(TRIM($D23)),rawStart,$F23,rawEnd,$G23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" s="2">
        <f>LET(id,$A23,code,UPPER(TRIM($D23)),rawStart,$F23,rawEnd,$G23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" s="2">
        <f>LET(id,$A23,code,UPPER(TRIM($D23)),rawStart,$F23,rawEnd,$G23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" s="2">
        <f>LET(id,$A23,code,UPPER(TRIM($D23)),rawStart,$F23,rawEnd,$G23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" s="2">
        <f>LET(id,$A23,code,UPPER(TRIM($D23)),rawStart,$F23,rawEnd,$G23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" s="2">
        <f>LET(id,$A23,code,UPPER(TRIM($D23)),rawStart,$F23,rawEnd,$G23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" s="2">
        <f>LET(id,$A23,code,UPPER(TRIM($D23)),rawStart,$F23,rawEnd,$G23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" s="2">
        <f>LET(id,$A23,code,UPPER(TRIM($D23)),rawStart,$F23,rawEnd,$G23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" s="2">
        <f>LET(id,$A23,code,UPPER(TRIM($D23)),rawStart,$F23,rawEnd,$G23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" s="2">
        <f>LET(id,$A23,code,UPPER(TRIM($D23)),rawStart,$F23,rawEnd,$G23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" s="2">
        <f>LET(id,$A23,code,UPPER(TRIM($D23)),rawStart,$F23,rawEnd,$G23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" s="2">
        <f>LET(id,$A23,code,UPPER(TRIM($D23)),rawStart,$F23,rawEnd,$G23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" s="2">
        <f>LET(id,$A23,code,UPPER(TRIM($D23)),rawStart,$F23,rawEnd,$G23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" s="2">
        <f>LET(id,$A23,code,UPPER(TRIM($D23)),rawStart,$F23,rawEnd,$G23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3" s="2">
        <f>Calc_Engine!BD23</f>
        <v/>
      </c>
    </row>
    <row r="24">
      <c r="A24" s="2">
        <f>Calc_Engine!A24</f>
        <v/>
      </c>
      <c r="B24" s="2">
        <f>Calc_Engine!B24</f>
        <v/>
      </c>
      <c r="C24" s="2">
        <f>Calc_Engine!C24</f>
        <v/>
      </c>
      <c r="D24" s="2">
        <f>Calc_Engine!D24</f>
        <v/>
      </c>
      <c r="E24" s="4">
        <f>Calc_Engine!E24</f>
        <v/>
      </c>
      <c r="F24" s="5">
        <f>Calc_Engine!F24</f>
        <v/>
      </c>
      <c r="G24" s="5">
        <f>Calc_Engine!G24</f>
        <v/>
      </c>
      <c r="H24" s="2">
        <f>LET(id,$A24,code,UPPER(TRIM($D24)),rawStart,$F24,rawEnd,$G24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" s="2">
        <f>LET(id,$A24,code,UPPER(TRIM($D24)),rawStart,$F24,rawEnd,$G24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" s="2">
        <f>LET(id,$A24,code,UPPER(TRIM($D24)),rawStart,$F24,rawEnd,$G24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" s="2">
        <f>LET(id,$A24,code,UPPER(TRIM($D24)),rawStart,$F24,rawEnd,$G24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" s="2">
        <f>LET(id,$A24,code,UPPER(TRIM($D24)),rawStart,$F24,rawEnd,$G24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" s="2">
        <f>LET(id,$A24,code,UPPER(TRIM($D24)),rawStart,$F24,rawEnd,$G24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" s="2">
        <f>LET(id,$A24,code,UPPER(TRIM($D24)),rawStart,$F24,rawEnd,$G24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" s="2">
        <f>LET(id,$A24,code,UPPER(TRIM($D24)),rawStart,$F24,rawEnd,$G24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" s="2">
        <f>LET(id,$A24,code,UPPER(TRIM($D24)),rawStart,$F24,rawEnd,$G24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" s="2">
        <f>LET(id,$A24,code,UPPER(TRIM($D24)),rawStart,$F24,rawEnd,$G24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" s="2">
        <f>LET(id,$A24,code,UPPER(TRIM($D24)),rawStart,$F24,rawEnd,$G24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" s="2">
        <f>LET(id,$A24,code,UPPER(TRIM($D24)),rawStart,$F24,rawEnd,$G24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" s="2">
        <f>LET(id,$A24,code,UPPER(TRIM($D24)),rawStart,$F24,rawEnd,$G24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" s="2">
        <f>LET(id,$A24,code,UPPER(TRIM($D24)),rawStart,$F24,rawEnd,$G24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" s="2">
        <f>LET(id,$A24,code,UPPER(TRIM($D24)),rawStart,$F24,rawEnd,$G24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" s="2">
        <f>LET(id,$A24,code,UPPER(TRIM($D24)),rawStart,$F24,rawEnd,$G24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" s="2">
        <f>LET(id,$A24,code,UPPER(TRIM($D24)),rawStart,$F24,rawEnd,$G24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" s="2">
        <f>LET(id,$A24,code,UPPER(TRIM($D24)),rawStart,$F24,rawEnd,$G24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" s="2">
        <f>LET(id,$A24,code,UPPER(TRIM($D24)),rawStart,$F24,rawEnd,$G24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" s="2">
        <f>LET(id,$A24,code,UPPER(TRIM($D24)),rawStart,$F24,rawEnd,$G24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" s="2">
        <f>LET(id,$A24,code,UPPER(TRIM($D24)),rawStart,$F24,rawEnd,$G24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" s="2">
        <f>LET(id,$A24,code,UPPER(TRIM($D24)),rawStart,$F24,rawEnd,$G24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" s="2">
        <f>LET(id,$A24,code,UPPER(TRIM($D24)),rawStart,$F24,rawEnd,$G24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" s="2">
        <f>LET(id,$A24,code,UPPER(TRIM($D24)),rawStart,$F24,rawEnd,$G24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" s="2">
        <f>LET(id,$A24,code,UPPER(TRIM($D24)),rawStart,$F24,rawEnd,$G24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" s="2">
        <f>LET(id,$A24,code,UPPER(TRIM($D24)),rawStart,$F24,rawEnd,$G24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" s="2">
        <f>LET(id,$A24,code,UPPER(TRIM($D24)),rawStart,$F24,rawEnd,$G24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" s="2">
        <f>LET(id,$A24,code,UPPER(TRIM($D24)),rawStart,$F24,rawEnd,$G24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" s="2">
        <f>LET(id,$A24,code,UPPER(TRIM($D24)),rawStart,$F24,rawEnd,$G24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" s="2">
        <f>LET(id,$A24,code,UPPER(TRIM($D24)),rawStart,$F24,rawEnd,$G24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" s="2">
        <f>LET(id,$A24,code,UPPER(TRIM($D24)),rawStart,$F24,rawEnd,$G24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" s="2">
        <f>LET(id,$A24,code,UPPER(TRIM($D24)),rawStart,$F24,rawEnd,$G24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" s="2">
        <f>LET(id,$A24,code,UPPER(TRIM($D24)),rawStart,$F24,rawEnd,$G24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" s="2">
        <f>LET(id,$A24,code,UPPER(TRIM($D24)),rawStart,$F24,rawEnd,$G24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" s="2">
        <f>LET(id,$A24,code,UPPER(TRIM($D24)),rawStart,$F24,rawEnd,$G24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" s="2">
        <f>LET(id,$A24,code,UPPER(TRIM($D24)),rawStart,$F24,rawEnd,$G24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" s="2">
        <f>LET(id,$A24,code,UPPER(TRIM($D24)),rawStart,$F24,rawEnd,$G24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" s="2">
        <f>LET(id,$A24,code,UPPER(TRIM($D24)),rawStart,$F24,rawEnd,$G24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" s="2">
        <f>LET(id,$A24,code,UPPER(TRIM($D24)),rawStart,$F24,rawEnd,$G24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" s="2">
        <f>LET(id,$A24,code,UPPER(TRIM($D24)),rawStart,$F24,rawEnd,$G24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" s="2">
        <f>LET(id,$A24,code,UPPER(TRIM($D24)),rawStart,$F24,rawEnd,$G24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" s="2">
        <f>LET(id,$A24,code,UPPER(TRIM($D24)),rawStart,$F24,rawEnd,$G24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" s="2">
        <f>LET(id,$A24,code,UPPER(TRIM($D24)),rawStart,$F24,rawEnd,$G24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" s="2">
        <f>LET(id,$A24,code,UPPER(TRIM($D24)),rawStart,$F24,rawEnd,$G24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" s="2">
        <f>LET(id,$A24,code,UPPER(TRIM($D24)),rawStart,$F24,rawEnd,$G24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" s="2">
        <f>LET(id,$A24,code,UPPER(TRIM($D24)),rawStart,$F24,rawEnd,$G24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" s="2">
        <f>LET(id,$A24,code,UPPER(TRIM($D24)),rawStart,$F24,rawEnd,$G24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" s="2">
        <f>LET(id,$A24,code,UPPER(TRIM($D24)),rawStart,$F24,rawEnd,$G24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4" s="2">
        <f>Calc_Engine!BD24</f>
        <v/>
      </c>
    </row>
    <row r="25">
      <c r="A25" s="2">
        <f>Calc_Engine!A25</f>
        <v/>
      </c>
      <c r="B25" s="2">
        <f>Calc_Engine!B25</f>
        <v/>
      </c>
      <c r="C25" s="2">
        <f>Calc_Engine!C25</f>
        <v/>
      </c>
      <c r="D25" s="2">
        <f>Calc_Engine!D25</f>
        <v/>
      </c>
      <c r="E25" s="4">
        <f>Calc_Engine!E25</f>
        <v/>
      </c>
      <c r="F25" s="5">
        <f>Calc_Engine!F25</f>
        <v/>
      </c>
      <c r="G25" s="5">
        <f>Calc_Engine!G25</f>
        <v/>
      </c>
      <c r="H25" s="2">
        <f>LET(id,$A25,code,UPPER(TRIM($D25)),rawStart,$F25,rawEnd,$G25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" s="2">
        <f>LET(id,$A25,code,UPPER(TRIM($D25)),rawStart,$F25,rawEnd,$G25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" s="2">
        <f>LET(id,$A25,code,UPPER(TRIM($D25)),rawStart,$F25,rawEnd,$G25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" s="2">
        <f>LET(id,$A25,code,UPPER(TRIM($D25)),rawStart,$F25,rawEnd,$G25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" s="2">
        <f>LET(id,$A25,code,UPPER(TRIM($D25)),rawStart,$F25,rawEnd,$G25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" s="2">
        <f>LET(id,$A25,code,UPPER(TRIM($D25)),rawStart,$F25,rawEnd,$G25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" s="2">
        <f>LET(id,$A25,code,UPPER(TRIM($D25)),rawStart,$F25,rawEnd,$G25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" s="2">
        <f>LET(id,$A25,code,UPPER(TRIM($D25)),rawStart,$F25,rawEnd,$G25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" s="2">
        <f>LET(id,$A25,code,UPPER(TRIM($D25)),rawStart,$F25,rawEnd,$G25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" s="2">
        <f>LET(id,$A25,code,UPPER(TRIM($D25)),rawStart,$F25,rawEnd,$G25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" s="2">
        <f>LET(id,$A25,code,UPPER(TRIM($D25)),rawStart,$F25,rawEnd,$G25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" s="2">
        <f>LET(id,$A25,code,UPPER(TRIM($D25)),rawStart,$F25,rawEnd,$G25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" s="2">
        <f>LET(id,$A25,code,UPPER(TRIM($D25)),rawStart,$F25,rawEnd,$G25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" s="2">
        <f>LET(id,$A25,code,UPPER(TRIM($D25)),rawStart,$F25,rawEnd,$G25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" s="2">
        <f>LET(id,$A25,code,UPPER(TRIM($D25)),rawStart,$F25,rawEnd,$G25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" s="2">
        <f>LET(id,$A25,code,UPPER(TRIM($D25)),rawStart,$F25,rawEnd,$G25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" s="2">
        <f>LET(id,$A25,code,UPPER(TRIM($D25)),rawStart,$F25,rawEnd,$G25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" s="2">
        <f>LET(id,$A25,code,UPPER(TRIM($D25)),rawStart,$F25,rawEnd,$G25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" s="2">
        <f>LET(id,$A25,code,UPPER(TRIM($D25)),rawStart,$F25,rawEnd,$G25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" s="2">
        <f>LET(id,$A25,code,UPPER(TRIM($D25)),rawStart,$F25,rawEnd,$G25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" s="2">
        <f>LET(id,$A25,code,UPPER(TRIM($D25)),rawStart,$F25,rawEnd,$G25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" s="2">
        <f>LET(id,$A25,code,UPPER(TRIM($D25)),rawStart,$F25,rawEnd,$G25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" s="2">
        <f>LET(id,$A25,code,UPPER(TRIM($D25)),rawStart,$F25,rawEnd,$G25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" s="2">
        <f>LET(id,$A25,code,UPPER(TRIM($D25)),rawStart,$F25,rawEnd,$G25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" s="2">
        <f>LET(id,$A25,code,UPPER(TRIM($D25)),rawStart,$F25,rawEnd,$G25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" s="2">
        <f>LET(id,$A25,code,UPPER(TRIM($D25)),rawStart,$F25,rawEnd,$G25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" s="2">
        <f>LET(id,$A25,code,UPPER(TRIM($D25)),rawStart,$F25,rawEnd,$G25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" s="2">
        <f>LET(id,$A25,code,UPPER(TRIM($D25)),rawStart,$F25,rawEnd,$G25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" s="2">
        <f>LET(id,$A25,code,UPPER(TRIM($D25)),rawStart,$F25,rawEnd,$G25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" s="2">
        <f>LET(id,$A25,code,UPPER(TRIM($D25)),rawStart,$F25,rawEnd,$G25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" s="2">
        <f>LET(id,$A25,code,UPPER(TRIM($D25)),rawStart,$F25,rawEnd,$G25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" s="2">
        <f>LET(id,$A25,code,UPPER(TRIM($D25)),rawStart,$F25,rawEnd,$G25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" s="2">
        <f>LET(id,$A25,code,UPPER(TRIM($D25)),rawStart,$F25,rawEnd,$G25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" s="2">
        <f>LET(id,$A25,code,UPPER(TRIM($D25)),rawStart,$F25,rawEnd,$G25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" s="2">
        <f>LET(id,$A25,code,UPPER(TRIM($D25)),rawStart,$F25,rawEnd,$G25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" s="2">
        <f>LET(id,$A25,code,UPPER(TRIM($D25)),rawStart,$F25,rawEnd,$G25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" s="2">
        <f>LET(id,$A25,code,UPPER(TRIM($D25)),rawStart,$F25,rawEnd,$G25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" s="2">
        <f>LET(id,$A25,code,UPPER(TRIM($D25)),rawStart,$F25,rawEnd,$G25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" s="2">
        <f>LET(id,$A25,code,UPPER(TRIM($D25)),rawStart,$F25,rawEnd,$G25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" s="2">
        <f>LET(id,$A25,code,UPPER(TRIM($D25)),rawStart,$F25,rawEnd,$G25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" s="2">
        <f>LET(id,$A25,code,UPPER(TRIM($D25)),rawStart,$F25,rawEnd,$G25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" s="2">
        <f>LET(id,$A25,code,UPPER(TRIM($D25)),rawStart,$F25,rawEnd,$G25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" s="2">
        <f>LET(id,$A25,code,UPPER(TRIM($D25)),rawStart,$F25,rawEnd,$G25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" s="2">
        <f>LET(id,$A25,code,UPPER(TRIM($D25)),rawStart,$F25,rawEnd,$G25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" s="2">
        <f>LET(id,$A25,code,UPPER(TRIM($D25)),rawStart,$F25,rawEnd,$G25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" s="2">
        <f>LET(id,$A25,code,UPPER(TRIM($D25)),rawStart,$F25,rawEnd,$G25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" s="2">
        <f>LET(id,$A25,code,UPPER(TRIM($D25)),rawStart,$F25,rawEnd,$G25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" s="2">
        <f>LET(id,$A25,code,UPPER(TRIM($D25)),rawStart,$F25,rawEnd,$G25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5" s="2">
        <f>Calc_Engine!BD25</f>
        <v/>
      </c>
    </row>
    <row r="26">
      <c r="A26" s="2">
        <f>Calc_Engine!A26</f>
        <v/>
      </c>
      <c r="B26" s="2">
        <f>Calc_Engine!B26</f>
        <v/>
      </c>
      <c r="C26" s="2">
        <f>Calc_Engine!C26</f>
        <v/>
      </c>
      <c r="D26" s="2">
        <f>Calc_Engine!D26</f>
        <v/>
      </c>
      <c r="E26" s="4">
        <f>Calc_Engine!E26</f>
        <v/>
      </c>
      <c r="F26" s="5">
        <f>Calc_Engine!F26</f>
        <v/>
      </c>
      <c r="G26" s="5">
        <f>Calc_Engine!G26</f>
        <v/>
      </c>
      <c r="H26" s="2">
        <f>LET(id,$A26,code,UPPER(TRIM($D26)),rawStart,$F26,rawEnd,$G26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6" s="2">
        <f>LET(id,$A26,code,UPPER(TRIM($D26)),rawStart,$F26,rawEnd,$G26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6" s="2">
        <f>LET(id,$A26,code,UPPER(TRIM($D26)),rawStart,$F26,rawEnd,$G26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6" s="2">
        <f>LET(id,$A26,code,UPPER(TRIM($D26)),rawStart,$F26,rawEnd,$G26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6" s="2">
        <f>LET(id,$A26,code,UPPER(TRIM($D26)),rawStart,$F26,rawEnd,$G26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6" s="2">
        <f>LET(id,$A26,code,UPPER(TRIM($D26)),rawStart,$F26,rawEnd,$G26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6" s="2">
        <f>LET(id,$A26,code,UPPER(TRIM($D26)),rawStart,$F26,rawEnd,$G26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6" s="2">
        <f>LET(id,$A26,code,UPPER(TRIM($D26)),rawStart,$F26,rawEnd,$G26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6" s="2">
        <f>LET(id,$A26,code,UPPER(TRIM($D26)),rawStart,$F26,rawEnd,$G26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6" s="2">
        <f>LET(id,$A26,code,UPPER(TRIM($D26)),rawStart,$F26,rawEnd,$G26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6" s="2">
        <f>LET(id,$A26,code,UPPER(TRIM($D26)),rawStart,$F26,rawEnd,$G26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6" s="2">
        <f>LET(id,$A26,code,UPPER(TRIM($D26)),rawStart,$F26,rawEnd,$G26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6" s="2">
        <f>LET(id,$A26,code,UPPER(TRIM($D26)),rawStart,$F26,rawEnd,$G26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6" s="2">
        <f>LET(id,$A26,code,UPPER(TRIM($D26)),rawStart,$F26,rawEnd,$G26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6" s="2">
        <f>LET(id,$A26,code,UPPER(TRIM($D26)),rawStart,$F26,rawEnd,$G26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6" s="2">
        <f>LET(id,$A26,code,UPPER(TRIM($D26)),rawStart,$F26,rawEnd,$G26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6" s="2">
        <f>LET(id,$A26,code,UPPER(TRIM($D26)),rawStart,$F26,rawEnd,$G26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6" s="2">
        <f>LET(id,$A26,code,UPPER(TRIM($D26)),rawStart,$F26,rawEnd,$G26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6" s="2">
        <f>LET(id,$A26,code,UPPER(TRIM($D26)),rawStart,$F26,rawEnd,$G26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6" s="2">
        <f>LET(id,$A26,code,UPPER(TRIM($D26)),rawStart,$F26,rawEnd,$G26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6" s="2">
        <f>LET(id,$A26,code,UPPER(TRIM($D26)),rawStart,$F26,rawEnd,$G26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6" s="2">
        <f>LET(id,$A26,code,UPPER(TRIM($D26)),rawStart,$F26,rawEnd,$G26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6" s="2">
        <f>LET(id,$A26,code,UPPER(TRIM($D26)),rawStart,$F26,rawEnd,$G26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6" s="2">
        <f>LET(id,$A26,code,UPPER(TRIM($D26)),rawStart,$F26,rawEnd,$G26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6" s="2">
        <f>LET(id,$A26,code,UPPER(TRIM($D26)),rawStart,$F26,rawEnd,$G26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6" s="2">
        <f>LET(id,$A26,code,UPPER(TRIM($D26)),rawStart,$F26,rawEnd,$G26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6" s="2">
        <f>LET(id,$A26,code,UPPER(TRIM($D26)),rawStart,$F26,rawEnd,$G26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6" s="2">
        <f>LET(id,$A26,code,UPPER(TRIM($D26)),rawStart,$F26,rawEnd,$G26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6" s="2">
        <f>LET(id,$A26,code,UPPER(TRIM($D26)),rawStart,$F26,rawEnd,$G26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6" s="2">
        <f>LET(id,$A26,code,UPPER(TRIM($D26)),rawStart,$F26,rawEnd,$G26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6" s="2">
        <f>LET(id,$A26,code,UPPER(TRIM($D26)),rawStart,$F26,rawEnd,$G26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6" s="2">
        <f>LET(id,$A26,code,UPPER(TRIM($D26)),rawStart,$F26,rawEnd,$G26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6" s="2">
        <f>LET(id,$A26,code,UPPER(TRIM($D26)),rawStart,$F26,rawEnd,$G26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6" s="2">
        <f>LET(id,$A26,code,UPPER(TRIM($D26)),rawStart,$F26,rawEnd,$G26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6" s="2">
        <f>LET(id,$A26,code,UPPER(TRIM($D26)),rawStart,$F26,rawEnd,$G26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6" s="2">
        <f>LET(id,$A26,code,UPPER(TRIM($D26)),rawStart,$F26,rawEnd,$G26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6" s="2">
        <f>LET(id,$A26,code,UPPER(TRIM($D26)),rawStart,$F26,rawEnd,$G26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6" s="2">
        <f>LET(id,$A26,code,UPPER(TRIM($D26)),rawStart,$F26,rawEnd,$G26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6" s="2">
        <f>LET(id,$A26,code,UPPER(TRIM($D26)),rawStart,$F26,rawEnd,$G26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6" s="2">
        <f>LET(id,$A26,code,UPPER(TRIM($D26)),rawStart,$F26,rawEnd,$G26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6" s="2">
        <f>LET(id,$A26,code,UPPER(TRIM($D26)),rawStart,$F26,rawEnd,$G26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6" s="2">
        <f>LET(id,$A26,code,UPPER(TRIM($D26)),rawStart,$F26,rawEnd,$G26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6" s="2">
        <f>LET(id,$A26,code,UPPER(TRIM($D26)),rawStart,$F26,rawEnd,$G26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6" s="2">
        <f>LET(id,$A26,code,UPPER(TRIM($D26)),rawStart,$F26,rawEnd,$G26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6" s="2">
        <f>LET(id,$A26,code,UPPER(TRIM($D26)),rawStart,$F26,rawEnd,$G26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6" s="2">
        <f>LET(id,$A26,code,UPPER(TRIM($D26)),rawStart,$F26,rawEnd,$G26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6" s="2">
        <f>LET(id,$A26,code,UPPER(TRIM($D26)),rawStart,$F26,rawEnd,$G26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6" s="2">
        <f>LET(id,$A26,code,UPPER(TRIM($D26)),rawStart,$F26,rawEnd,$G26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6" s="2">
        <f>Calc_Engine!BD26</f>
        <v/>
      </c>
    </row>
    <row r="27">
      <c r="A27" s="2">
        <f>Calc_Engine!A27</f>
        <v/>
      </c>
      <c r="B27" s="2">
        <f>Calc_Engine!B27</f>
        <v/>
      </c>
      <c r="C27" s="2">
        <f>Calc_Engine!C27</f>
        <v/>
      </c>
      <c r="D27" s="2">
        <f>Calc_Engine!D27</f>
        <v/>
      </c>
      <c r="E27" s="4">
        <f>Calc_Engine!E27</f>
        <v/>
      </c>
      <c r="F27" s="5">
        <f>Calc_Engine!F27</f>
        <v/>
      </c>
      <c r="G27" s="5">
        <f>Calc_Engine!G27</f>
        <v/>
      </c>
      <c r="H27" s="2">
        <f>LET(id,$A27,code,UPPER(TRIM($D27)),rawStart,$F27,rawEnd,$G27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7" s="2">
        <f>LET(id,$A27,code,UPPER(TRIM($D27)),rawStart,$F27,rawEnd,$G27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7" s="2">
        <f>LET(id,$A27,code,UPPER(TRIM($D27)),rawStart,$F27,rawEnd,$G27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7" s="2">
        <f>LET(id,$A27,code,UPPER(TRIM($D27)),rawStart,$F27,rawEnd,$G27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7" s="2">
        <f>LET(id,$A27,code,UPPER(TRIM($D27)),rawStart,$F27,rawEnd,$G27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7" s="2">
        <f>LET(id,$A27,code,UPPER(TRIM($D27)),rawStart,$F27,rawEnd,$G27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7" s="2">
        <f>LET(id,$A27,code,UPPER(TRIM($D27)),rawStart,$F27,rawEnd,$G27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7" s="2">
        <f>LET(id,$A27,code,UPPER(TRIM($D27)),rawStart,$F27,rawEnd,$G27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7" s="2">
        <f>LET(id,$A27,code,UPPER(TRIM($D27)),rawStart,$F27,rawEnd,$G27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7" s="2">
        <f>LET(id,$A27,code,UPPER(TRIM($D27)),rawStart,$F27,rawEnd,$G27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7" s="2">
        <f>LET(id,$A27,code,UPPER(TRIM($D27)),rawStart,$F27,rawEnd,$G27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7" s="2">
        <f>LET(id,$A27,code,UPPER(TRIM($D27)),rawStart,$F27,rawEnd,$G27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7" s="2">
        <f>LET(id,$A27,code,UPPER(TRIM($D27)),rawStart,$F27,rawEnd,$G27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7" s="2">
        <f>LET(id,$A27,code,UPPER(TRIM($D27)),rawStart,$F27,rawEnd,$G27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7" s="2">
        <f>LET(id,$A27,code,UPPER(TRIM($D27)),rawStart,$F27,rawEnd,$G27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7" s="2">
        <f>LET(id,$A27,code,UPPER(TRIM($D27)),rawStart,$F27,rawEnd,$G27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7" s="2">
        <f>LET(id,$A27,code,UPPER(TRIM($D27)),rawStart,$F27,rawEnd,$G27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7" s="2">
        <f>LET(id,$A27,code,UPPER(TRIM($D27)),rawStart,$F27,rawEnd,$G27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7" s="2">
        <f>LET(id,$A27,code,UPPER(TRIM($D27)),rawStart,$F27,rawEnd,$G27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7" s="2">
        <f>LET(id,$A27,code,UPPER(TRIM($D27)),rawStart,$F27,rawEnd,$G27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7" s="2">
        <f>LET(id,$A27,code,UPPER(TRIM($D27)),rawStart,$F27,rawEnd,$G27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7" s="2">
        <f>LET(id,$A27,code,UPPER(TRIM($D27)),rawStart,$F27,rawEnd,$G27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7" s="2">
        <f>LET(id,$A27,code,UPPER(TRIM($D27)),rawStart,$F27,rawEnd,$G27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7" s="2">
        <f>LET(id,$A27,code,UPPER(TRIM($D27)),rawStart,$F27,rawEnd,$G27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7" s="2">
        <f>LET(id,$A27,code,UPPER(TRIM($D27)),rawStart,$F27,rawEnd,$G27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7" s="2">
        <f>LET(id,$A27,code,UPPER(TRIM($D27)),rawStart,$F27,rawEnd,$G27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7" s="2">
        <f>LET(id,$A27,code,UPPER(TRIM($D27)),rawStart,$F27,rawEnd,$G27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7" s="2">
        <f>LET(id,$A27,code,UPPER(TRIM($D27)),rawStart,$F27,rawEnd,$G27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7" s="2">
        <f>LET(id,$A27,code,UPPER(TRIM($D27)),rawStart,$F27,rawEnd,$G27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7" s="2">
        <f>LET(id,$A27,code,UPPER(TRIM($D27)),rawStart,$F27,rawEnd,$G27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7" s="2">
        <f>LET(id,$A27,code,UPPER(TRIM($D27)),rawStart,$F27,rawEnd,$G27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7" s="2">
        <f>LET(id,$A27,code,UPPER(TRIM($D27)),rawStart,$F27,rawEnd,$G27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7" s="2">
        <f>LET(id,$A27,code,UPPER(TRIM($D27)),rawStart,$F27,rawEnd,$G27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7" s="2">
        <f>LET(id,$A27,code,UPPER(TRIM($D27)),rawStart,$F27,rawEnd,$G27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7" s="2">
        <f>LET(id,$A27,code,UPPER(TRIM($D27)),rawStart,$F27,rawEnd,$G27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7" s="2">
        <f>LET(id,$A27,code,UPPER(TRIM($D27)),rawStart,$F27,rawEnd,$G27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7" s="2">
        <f>LET(id,$A27,code,UPPER(TRIM($D27)),rawStart,$F27,rawEnd,$G27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7" s="2">
        <f>LET(id,$A27,code,UPPER(TRIM($D27)),rawStart,$F27,rawEnd,$G27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7" s="2">
        <f>LET(id,$A27,code,UPPER(TRIM($D27)),rawStart,$F27,rawEnd,$G27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7" s="2">
        <f>LET(id,$A27,code,UPPER(TRIM($D27)),rawStart,$F27,rawEnd,$G27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7" s="2">
        <f>LET(id,$A27,code,UPPER(TRIM($D27)),rawStart,$F27,rawEnd,$G27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7" s="2">
        <f>LET(id,$A27,code,UPPER(TRIM($D27)),rawStart,$F27,rawEnd,$G27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7" s="2">
        <f>LET(id,$A27,code,UPPER(TRIM($D27)),rawStart,$F27,rawEnd,$G27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7" s="2">
        <f>LET(id,$A27,code,UPPER(TRIM($D27)),rawStart,$F27,rawEnd,$G27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7" s="2">
        <f>LET(id,$A27,code,UPPER(TRIM($D27)),rawStart,$F27,rawEnd,$G27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7" s="2">
        <f>LET(id,$A27,code,UPPER(TRIM($D27)),rawStart,$F27,rawEnd,$G27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7" s="2">
        <f>LET(id,$A27,code,UPPER(TRIM($D27)),rawStart,$F27,rawEnd,$G27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7" s="2">
        <f>LET(id,$A27,code,UPPER(TRIM($D27)),rawStart,$F27,rawEnd,$G27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7" s="2">
        <f>Calc_Engine!BD27</f>
        <v/>
      </c>
    </row>
    <row r="28">
      <c r="A28" s="2">
        <f>Calc_Engine!A28</f>
        <v/>
      </c>
      <c r="B28" s="2">
        <f>Calc_Engine!B28</f>
        <v/>
      </c>
      <c r="C28" s="2">
        <f>Calc_Engine!C28</f>
        <v/>
      </c>
      <c r="D28" s="2">
        <f>Calc_Engine!D28</f>
        <v/>
      </c>
      <c r="E28" s="4">
        <f>Calc_Engine!E28</f>
        <v/>
      </c>
      <c r="F28" s="5">
        <f>Calc_Engine!F28</f>
        <v/>
      </c>
      <c r="G28" s="5">
        <f>Calc_Engine!G28</f>
        <v/>
      </c>
      <c r="H28" s="2">
        <f>LET(id,$A28,code,UPPER(TRIM($D28)),rawStart,$F28,rawEnd,$G28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8" s="2">
        <f>LET(id,$A28,code,UPPER(TRIM($D28)),rawStart,$F28,rawEnd,$G28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8" s="2">
        <f>LET(id,$A28,code,UPPER(TRIM($D28)),rawStart,$F28,rawEnd,$G28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8" s="2">
        <f>LET(id,$A28,code,UPPER(TRIM($D28)),rawStart,$F28,rawEnd,$G28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8" s="2">
        <f>LET(id,$A28,code,UPPER(TRIM($D28)),rawStart,$F28,rawEnd,$G28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8" s="2">
        <f>LET(id,$A28,code,UPPER(TRIM($D28)),rawStart,$F28,rawEnd,$G28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8" s="2">
        <f>LET(id,$A28,code,UPPER(TRIM($D28)),rawStart,$F28,rawEnd,$G28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8" s="2">
        <f>LET(id,$A28,code,UPPER(TRIM($D28)),rawStart,$F28,rawEnd,$G28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8" s="2">
        <f>LET(id,$A28,code,UPPER(TRIM($D28)),rawStart,$F28,rawEnd,$G28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8" s="2">
        <f>LET(id,$A28,code,UPPER(TRIM($D28)),rawStart,$F28,rawEnd,$G28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8" s="2">
        <f>LET(id,$A28,code,UPPER(TRIM($D28)),rawStart,$F28,rawEnd,$G28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8" s="2">
        <f>LET(id,$A28,code,UPPER(TRIM($D28)),rawStart,$F28,rawEnd,$G28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8" s="2">
        <f>LET(id,$A28,code,UPPER(TRIM($D28)),rawStart,$F28,rawEnd,$G28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8" s="2">
        <f>LET(id,$A28,code,UPPER(TRIM($D28)),rawStart,$F28,rawEnd,$G28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8" s="2">
        <f>LET(id,$A28,code,UPPER(TRIM($D28)),rawStart,$F28,rawEnd,$G28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8" s="2">
        <f>LET(id,$A28,code,UPPER(TRIM($D28)),rawStart,$F28,rawEnd,$G28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8" s="2">
        <f>LET(id,$A28,code,UPPER(TRIM($D28)),rawStart,$F28,rawEnd,$G28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8" s="2">
        <f>LET(id,$A28,code,UPPER(TRIM($D28)),rawStart,$F28,rawEnd,$G28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8" s="2">
        <f>LET(id,$A28,code,UPPER(TRIM($D28)),rawStart,$F28,rawEnd,$G28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8" s="2">
        <f>LET(id,$A28,code,UPPER(TRIM($D28)),rawStart,$F28,rawEnd,$G28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8" s="2">
        <f>LET(id,$A28,code,UPPER(TRIM($D28)),rawStart,$F28,rawEnd,$G28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8" s="2">
        <f>LET(id,$A28,code,UPPER(TRIM($D28)),rawStart,$F28,rawEnd,$G28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8" s="2">
        <f>LET(id,$A28,code,UPPER(TRIM($D28)),rawStart,$F28,rawEnd,$G28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8" s="2">
        <f>LET(id,$A28,code,UPPER(TRIM($D28)),rawStart,$F28,rawEnd,$G28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8" s="2">
        <f>LET(id,$A28,code,UPPER(TRIM($D28)),rawStart,$F28,rawEnd,$G28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8" s="2">
        <f>LET(id,$A28,code,UPPER(TRIM($D28)),rawStart,$F28,rawEnd,$G28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8" s="2">
        <f>LET(id,$A28,code,UPPER(TRIM($D28)),rawStart,$F28,rawEnd,$G28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8" s="2">
        <f>LET(id,$A28,code,UPPER(TRIM($D28)),rawStart,$F28,rawEnd,$G28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8" s="2">
        <f>LET(id,$A28,code,UPPER(TRIM($D28)),rawStart,$F28,rawEnd,$G28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8" s="2">
        <f>LET(id,$A28,code,UPPER(TRIM($D28)),rawStart,$F28,rawEnd,$G28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8" s="2">
        <f>LET(id,$A28,code,UPPER(TRIM($D28)),rawStart,$F28,rawEnd,$G28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8" s="2">
        <f>LET(id,$A28,code,UPPER(TRIM($D28)),rawStart,$F28,rawEnd,$G28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8" s="2">
        <f>LET(id,$A28,code,UPPER(TRIM($D28)),rawStart,$F28,rawEnd,$G28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8" s="2">
        <f>LET(id,$A28,code,UPPER(TRIM($D28)),rawStart,$F28,rawEnd,$G28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8" s="2">
        <f>LET(id,$A28,code,UPPER(TRIM($D28)),rawStart,$F28,rawEnd,$G28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8" s="2">
        <f>LET(id,$A28,code,UPPER(TRIM($D28)),rawStart,$F28,rawEnd,$G28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8" s="2">
        <f>LET(id,$A28,code,UPPER(TRIM($D28)),rawStart,$F28,rawEnd,$G28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8" s="2">
        <f>LET(id,$A28,code,UPPER(TRIM($D28)),rawStart,$F28,rawEnd,$G28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8" s="2">
        <f>LET(id,$A28,code,UPPER(TRIM($D28)),rawStart,$F28,rawEnd,$G28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8" s="2">
        <f>LET(id,$A28,code,UPPER(TRIM($D28)),rawStart,$F28,rawEnd,$G28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8" s="2">
        <f>LET(id,$A28,code,UPPER(TRIM($D28)),rawStart,$F28,rawEnd,$G28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8" s="2">
        <f>LET(id,$A28,code,UPPER(TRIM($D28)),rawStart,$F28,rawEnd,$G28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8" s="2">
        <f>LET(id,$A28,code,UPPER(TRIM($D28)),rawStart,$F28,rawEnd,$G28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8" s="2">
        <f>LET(id,$A28,code,UPPER(TRIM($D28)),rawStart,$F28,rawEnd,$G28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8" s="2">
        <f>LET(id,$A28,code,UPPER(TRIM($D28)),rawStart,$F28,rawEnd,$G28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8" s="2">
        <f>LET(id,$A28,code,UPPER(TRIM($D28)),rawStart,$F28,rawEnd,$G28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8" s="2">
        <f>LET(id,$A28,code,UPPER(TRIM($D28)),rawStart,$F28,rawEnd,$G28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8" s="2">
        <f>LET(id,$A28,code,UPPER(TRIM($D28)),rawStart,$F28,rawEnd,$G28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8" s="2">
        <f>Calc_Engine!BD28</f>
        <v/>
      </c>
    </row>
    <row r="29">
      <c r="A29" s="2">
        <f>Calc_Engine!A29</f>
        <v/>
      </c>
      <c r="B29" s="2">
        <f>Calc_Engine!B29</f>
        <v/>
      </c>
      <c r="C29" s="2">
        <f>Calc_Engine!C29</f>
        <v/>
      </c>
      <c r="D29" s="2">
        <f>Calc_Engine!D29</f>
        <v/>
      </c>
      <c r="E29" s="4">
        <f>Calc_Engine!E29</f>
        <v/>
      </c>
      <c r="F29" s="5">
        <f>Calc_Engine!F29</f>
        <v/>
      </c>
      <c r="G29" s="5">
        <f>Calc_Engine!G29</f>
        <v/>
      </c>
      <c r="H29" s="2">
        <f>LET(id,$A29,code,UPPER(TRIM($D29)),rawStart,$F29,rawEnd,$G29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9" s="2">
        <f>LET(id,$A29,code,UPPER(TRIM($D29)),rawStart,$F29,rawEnd,$G29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9" s="2">
        <f>LET(id,$A29,code,UPPER(TRIM($D29)),rawStart,$F29,rawEnd,$G29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9" s="2">
        <f>LET(id,$A29,code,UPPER(TRIM($D29)),rawStart,$F29,rawEnd,$G29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9" s="2">
        <f>LET(id,$A29,code,UPPER(TRIM($D29)),rawStart,$F29,rawEnd,$G29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9" s="2">
        <f>LET(id,$A29,code,UPPER(TRIM($D29)),rawStart,$F29,rawEnd,$G29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9" s="2">
        <f>LET(id,$A29,code,UPPER(TRIM($D29)),rawStart,$F29,rawEnd,$G29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9" s="2">
        <f>LET(id,$A29,code,UPPER(TRIM($D29)),rawStart,$F29,rawEnd,$G29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9" s="2">
        <f>LET(id,$A29,code,UPPER(TRIM($D29)),rawStart,$F29,rawEnd,$G29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9" s="2">
        <f>LET(id,$A29,code,UPPER(TRIM($D29)),rawStart,$F29,rawEnd,$G29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9" s="2">
        <f>LET(id,$A29,code,UPPER(TRIM($D29)),rawStart,$F29,rawEnd,$G29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9" s="2">
        <f>LET(id,$A29,code,UPPER(TRIM($D29)),rawStart,$F29,rawEnd,$G29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9" s="2">
        <f>LET(id,$A29,code,UPPER(TRIM($D29)),rawStart,$F29,rawEnd,$G29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9" s="2">
        <f>LET(id,$A29,code,UPPER(TRIM($D29)),rawStart,$F29,rawEnd,$G29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9" s="2">
        <f>LET(id,$A29,code,UPPER(TRIM($D29)),rawStart,$F29,rawEnd,$G29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9" s="2">
        <f>LET(id,$A29,code,UPPER(TRIM($D29)),rawStart,$F29,rawEnd,$G29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9" s="2">
        <f>LET(id,$A29,code,UPPER(TRIM($D29)),rawStart,$F29,rawEnd,$G29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9" s="2">
        <f>LET(id,$A29,code,UPPER(TRIM($D29)),rawStart,$F29,rawEnd,$G29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9" s="2">
        <f>LET(id,$A29,code,UPPER(TRIM($D29)),rawStart,$F29,rawEnd,$G29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9" s="2">
        <f>LET(id,$A29,code,UPPER(TRIM($D29)),rawStart,$F29,rawEnd,$G29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9" s="2">
        <f>LET(id,$A29,code,UPPER(TRIM($D29)),rawStart,$F29,rawEnd,$G29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9" s="2">
        <f>LET(id,$A29,code,UPPER(TRIM($D29)),rawStart,$F29,rawEnd,$G29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9" s="2">
        <f>LET(id,$A29,code,UPPER(TRIM($D29)),rawStart,$F29,rawEnd,$G29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9" s="2">
        <f>LET(id,$A29,code,UPPER(TRIM($D29)),rawStart,$F29,rawEnd,$G29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9" s="2">
        <f>LET(id,$A29,code,UPPER(TRIM($D29)),rawStart,$F29,rawEnd,$G29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9" s="2">
        <f>LET(id,$A29,code,UPPER(TRIM($D29)),rawStart,$F29,rawEnd,$G29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9" s="2">
        <f>LET(id,$A29,code,UPPER(TRIM($D29)),rawStart,$F29,rawEnd,$G29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9" s="2">
        <f>LET(id,$A29,code,UPPER(TRIM($D29)),rawStart,$F29,rawEnd,$G29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9" s="2">
        <f>LET(id,$A29,code,UPPER(TRIM($D29)),rawStart,$F29,rawEnd,$G29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9" s="2">
        <f>LET(id,$A29,code,UPPER(TRIM($D29)),rawStart,$F29,rawEnd,$G29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9" s="2">
        <f>LET(id,$A29,code,UPPER(TRIM($D29)),rawStart,$F29,rawEnd,$G29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9" s="2">
        <f>LET(id,$A29,code,UPPER(TRIM($D29)),rawStart,$F29,rawEnd,$G29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9" s="2">
        <f>LET(id,$A29,code,UPPER(TRIM($D29)),rawStart,$F29,rawEnd,$G29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9" s="2">
        <f>LET(id,$A29,code,UPPER(TRIM($D29)),rawStart,$F29,rawEnd,$G29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9" s="2">
        <f>LET(id,$A29,code,UPPER(TRIM($D29)),rawStart,$F29,rawEnd,$G29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9" s="2">
        <f>LET(id,$A29,code,UPPER(TRIM($D29)),rawStart,$F29,rawEnd,$G29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9" s="2">
        <f>LET(id,$A29,code,UPPER(TRIM($D29)),rawStart,$F29,rawEnd,$G29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9" s="2">
        <f>LET(id,$A29,code,UPPER(TRIM($D29)),rawStart,$F29,rawEnd,$G29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9" s="2">
        <f>LET(id,$A29,code,UPPER(TRIM($D29)),rawStart,$F29,rawEnd,$G29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9" s="2">
        <f>LET(id,$A29,code,UPPER(TRIM($D29)),rawStart,$F29,rawEnd,$G29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9" s="2">
        <f>LET(id,$A29,code,UPPER(TRIM($D29)),rawStart,$F29,rawEnd,$G29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9" s="2">
        <f>LET(id,$A29,code,UPPER(TRIM($D29)),rawStart,$F29,rawEnd,$G29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9" s="2">
        <f>LET(id,$A29,code,UPPER(TRIM($D29)),rawStart,$F29,rawEnd,$G29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9" s="2">
        <f>LET(id,$A29,code,UPPER(TRIM($D29)),rawStart,$F29,rawEnd,$G29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9" s="2">
        <f>LET(id,$A29,code,UPPER(TRIM($D29)),rawStart,$F29,rawEnd,$G29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9" s="2">
        <f>LET(id,$A29,code,UPPER(TRIM($D29)),rawStart,$F29,rawEnd,$G29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9" s="2">
        <f>LET(id,$A29,code,UPPER(TRIM($D29)),rawStart,$F29,rawEnd,$G29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9" s="2">
        <f>LET(id,$A29,code,UPPER(TRIM($D29)),rawStart,$F29,rawEnd,$G29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9" s="2">
        <f>Calc_Engine!BD29</f>
        <v/>
      </c>
    </row>
    <row r="30">
      <c r="A30" s="2">
        <f>Calc_Engine!A30</f>
        <v/>
      </c>
      <c r="B30" s="2">
        <f>Calc_Engine!B30</f>
        <v/>
      </c>
      <c r="C30" s="2">
        <f>Calc_Engine!C30</f>
        <v/>
      </c>
      <c r="D30" s="2">
        <f>Calc_Engine!D30</f>
        <v/>
      </c>
      <c r="E30" s="4">
        <f>Calc_Engine!E30</f>
        <v/>
      </c>
      <c r="F30" s="5">
        <f>Calc_Engine!F30</f>
        <v/>
      </c>
      <c r="G30" s="5">
        <f>Calc_Engine!G30</f>
        <v/>
      </c>
      <c r="H30" s="2">
        <f>LET(id,$A30,code,UPPER(TRIM($D30)),rawStart,$F30,rawEnd,$G30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0" s="2">
        <f>LET(id,$A30,code,UPPER(TRIM($D30)),rawStart,$F30,rawEnd,$G30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0" s="2">
        <f>LET(id,$A30,code,UPPER(TRIM($D30)),rawStart,$F30,rawEnd,$G30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0" s="2">
        <f>LET(id,$A30,code,UPPER(TRIM($D30)),rawStart,$F30,rawEnd,$G30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0" s="2">
        <f>LET(id,$A30,code,UPPER(TRIM($D30)),rawStart,$F30,rawEnd,$G30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0" s="2">
        <f>LET(id,$A30,code,UPPER(TRIM($D30)),rawStart,$F30,rawEnd,$G30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0" s="2">
        <f>LET(id,$A30,code,UPPER(TRIM($D30)),rawStart,$F30,rawEnd,$G30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0" s="2">
        <f>LET(id,$A30,code,UPPER(TRIM($D30)),rawStart,$F30,rawEnd,$G30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0" s="2">
        <f>LET(id,$A30,code,UPPER(TRIM($D30)),rawStart,$F30,rawEnd,$G30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0" s="2">
        <f>LET(id,$A30,code,UPPER(TRIM($D30)),rawStart,$F30,rawEnd,$G30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0" s="2">
        <f>LET(id,$A30,code,UPPER(TRIM($D30)),rawStart,$F30,rawEnd,$G30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0" s="2">
        <f>LET(id,$A30,code,UPPER(TRIM($D30)),rawStart,$F30,rawEnd,$G30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0" s="2">
        <f>LET(id,$A30,code,UPPER(TRIM($D30)),rawStart,$F30,rawEnd,$G30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0" s="2">
        <f>LET(id,$A30,code,UPPER(TRIM($D30)),rawStart,$F30,rawEnd,$G30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0" s="2">
        <f>LET(id,$A30,code,UPPER(TRIM($D30)),rawStart,$F30,rawEnd,$G30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0" s="2">
        <f>LET(id,$A30,code,UPPER(TRIM($D30)),rawStart,$F30,rawEnd,$G30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0" s="2">
        <f>LET(id,$A30,code,UPPER(TRIM($D30)),rawStart,$F30,rawEnd,$G30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0" s="2">
        <f>LET(id,$A30,code,UPPER(TRIM($D30)),rawStart,$F30,rawEnd,$G30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0" s="2">
        <f>LET(id,$A30,code,UPPER(TRIM($D30)),rawStart,$F30,rawEnd,$G30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0" s="2">
        <f>LET(id,$A30,code,UPPER(TRIM($D30)),rawStart,$F30,rawEnd,$G30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0" s="2">
        <f>LET(id,$A30,code,UPPER(TRIM($D30)),rawStart,$F30,rawEnd,$G30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0" s="2">
        <f>LET(id,$A30,code,UPPER(TRIM($D30)),rawStart,$F30,rawEnd,$G30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0" s="2">
        <f>LET(id,$A30,code,UPPER(TRIM($D30)),rawStart,$F30,rawEnd,$G30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0" s="2">
        <f>LET(id,$A30,code,UPPER(TRIM($D30)),rawStart,$F30,rawEnd,$G30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0" s="2">
        <f>LET(id,$A30,code,UPPER(TRIM($D30)),rawStart,$F30,rawEnd,$G30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0" s="2">
        <f>LET(id,$A30,code,UPPER(TRIM($D30)),rawStart,$F30,rawEnd,$G30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0" s="2">
        <f>LET(id,$A30,code,UPPER(TRIM($D30)),rawStart,$F30,rawEnd,$G30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0" s="2">
        <f>LET(id,$A30,code,UPPER(TRIM($D30)),rawStart,$F30,rawEnd,$G30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0" s="2">
        <f>LET(id,$A30,code,UPPER(TRIM($D30)),rawStart,$F30,rawEnd,$G30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0" s="2">
        <f>LET(id,$A30,code,UPPER(TRIM($D30)),rawStart,$F30,rawEnd,$G30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0" s="2">
        <f>LET(id,$A30,code,UPPER(TRIM($D30)),rawStart,$F30,rawEnd,$G30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0" s="2">
        <f>LET(id,$A30,code,UPPER(TRIM($D30)),rawStart,$F30,rawEnd,$G30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0" s="2">
        <f>LET(id,$A30,code,UPPER(TRIM($D30)),rawStart,$F30,rawEnd,$G30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0" s="2">
        <f>LET(id,$A30,code,UPPER(TRIM($D30)),rawStart,$F30,rawEnd,$G30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0" s="2">
        <f>LET(id,$A30,code,UPPER(TRIM($D30)),rawStart,$F30,rawEnd,$G30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0" s="2">
        <f>LET(id,$A30,code,UPPER(TRIM($D30)),rawStart,$F30,rawEnd,$G30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0" s="2">
        <f>LET(id,$A30,code,UPPER(TRIM($D30)),rawStart,$F30,rawEnd,$G30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0" s="2">
        <f>LET(id,$A30,code,UPPER(TRIM($D30)),rawStart,$F30,rawEnd,$G30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0" s="2">
        <f>LET(id,$A30,code,UPPER(TRIM($D30)),rawStart,$F30,rawEnd,$G30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0" s="2">
        <f>LET(id,$A30,code,UPPER(TRIM($D30)),rawStart,$F30,rawEnd,$G30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0" s="2">
        <f>LET(id,$A30,code,UPPER(TRIM($D30)),rawStart,$F30,rawEnd,$G30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0" s="2">
        <f>LET(id,$A30,code,UPPER(TRIM($D30)),rawStart,$F30,rawEnd,$G30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0" s="2">
        <f>LET(id,$A30,code,UPPER(TRIM($D30)),rawStart,$F30,rawEnd,$G30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0" s="2">
        <f>LET(id,$A30,code,UPPER(TRIM($D30)),rawStart,$F30,rawEnd,$G30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0" s="2">
        <f>LET(id,$A30,code,UPPER(TRIM($D30)),rawStart,$F30,rawEnd,$G30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0" s="2">
        <f>LET(id,$A30,code,UPPER(TRIM($D30)),rawStart,$F30,rawEnd,$G30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0" s="2">
        <f>LET(id,$A30,code,UPPER(TRIM($D30)),rawStart,$F30,rawEnd,$G30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0" s="2">
        <f>LET(id,$A30,code,UPPER(TRIM($D30)),rawStart,$F30,rawEnd,$G30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30" s="2">
        <f>Calc_Engine!BD30</f>
        <v/>
      </c>
    </row>
    <row r="31">
      <c r="A31" s="2">
        <f>Calc_Engine!A31</f>
        <v/>
      </c>
      <c r="B31" s="2">
        <f>Calc_Engine!B31</f>
        <v/>
      </c>
      <c r="C31" s="2">
        <f>Calc_Engine!C31</f>
        <v/>
      </c>
      <c r="D31" s="2">
        <f>Calc_Engine!D31</f>
        <v/>
      </c>
      <c r="E31" s="4">
        <f>Calc_Engine!E31</f>
        <v/>
      </c>
      <c r="F31" s="5">
        <f>Calc_Engine!F31</f>
        <v/>
      </c>
      <c r="G31" s="5">
        <f>Calc_Engine!G31</f>
        <v/>
      </c>
      <c r="H31" s="2">
        <f>LET(id,$A31,code,UPPER(TRIM($D31)),rawStart,$F31,rawEnd,$G31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1" s="2">
        <f>LET(id,$A31,code,UPPER(TRIM($D31)),rawStart,$F31,rawEnd,$G31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1" s="2">
        <f>LET(id,$A31,code,UPPER(TRIM($D31)),rawStart,$F31,rawEnd,$G31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1" s="2">
        <f>LET(id,$A31,code,UPPER(TRIM($D31)),rawStart,$F31,rawEnd,$G31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1" s="2">
        <f>LET(id,$A31,code,UPPER(TRIM($D31)),rawStart,$F31,rawEnd,$G31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1" s="2">
        <f>LET(id,$A31,code,UPPER(TRIM($D31)),rawStart,$F31,rawEnd,$G31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1" s="2">
        <f>LET(id,$A31,code,UPPER(TRIM($D31)),rawStart,$F31,rawEnd,$G31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1" s="2">
        <f>LET(id,$A31,code,UPPER(TRIM($D31)),rawStart,$F31,rawEnd,$G31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1" s="2">
        <f>LET(id,$A31,code,UPPER(TRIM($D31)),rawStart,$F31,rawEnd,$G31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1" s="2">
        <f>LET(id,$A31,code,UPPER(TRIM($D31)),rawStart,$F31,rawEnd,$G31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1" s="2">
        <f>LET(id,$A31,code,UPPER(TRIM($D31)),rawStart,$F31,rawEnd,$G31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1" s="2">
        <f>LET(id,$A31,code,UPPER(TRIM($D31)),rawStart,$F31,rawEnd,$G31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1" s="2">
        <f>LET(id,$A31,code,UPPER(TRIM($D31)),rawStart,$F31,rawEnd,$G31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1" s="2">
        <f>LET(id,$A31,code,UPPER(TRIM($D31)),rawStart,$F31,rawEnd,$G31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1" s="2">
        <f>LET(id,$A31,code,UPPER(TRIM($D31)),rawStart,$F31,rawEnd,$G31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1" s="2">
        <f>LET(id,$A31,code,UPPER(TRIM($D31)),rawStart,$F31,rawEnd,$G31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1" s="2">
        <f>LET(id,$A31,code,UPPER(TRIM($D31)),rawStart,$F31,rawEnd,$G31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1" s="2">
        <f>LET(id,$A31,code,UPPER(TRIM($D31)),rawStart,$F31,rawEnd,$G31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1" s="2">
        <f>LET(id,$A31,code,UPPER(TRIM($D31)),rawStart,$F31,rawEnd,$G31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1" s="2">
        <f>LET(id,$A31,code,UPPER(TRIM($D31)),rawStart,$F31,rawEnd,$G31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1" s="2">
        <f>LET(id,$A31,code,UPPER(TRIM($D31)),rawStart,$F31,rawEnd,$G31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1" s="2">
        <f>LET(id,$A31,code,UPPER(TRIM($D31)),rawStart,$F31,rawEnd,$G31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1" s="2">
        <f>LET(id,$A31,code,UPPER(TRIM($D31)),rawStart,$F31,rawEnd,$G31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1" s="2">
        <f>LET(id,$A31,code,UPPER(TRIM($D31)),rawStart,$F31,rawEnd,$G31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1" s="2">
        <f>LET(id,$A31,code,UPPER(TRIM($D31)),rawStart,$F31,rawEnd,$G31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1" s="2">
        <f>LET(id,$A31,code,UPPER(TRIM($D31)),rawStart,$F31,rawEnd,$G31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1" s="2">
        <f>LET(id,$A31,code,UPPER(TRIM($D31)),rawStart,$F31,rawEnd,$G31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1" s="2">
        <f>LET(id,$A31,code,UPPER(TRIM($D31)),rawStart,$F31,rawEnd,$G31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1" s="2">
        <f>LET(id,$A31,code,UPPER(TRIM($D31)),rawStart,$F31,rawEnd,$G31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1" s="2">
        <f>LET(id,$A31,code,UPPER(TRIM($D31)),rawStart,$F31,rawEnd,$G31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1" s="2">
        <f>LET(id,$A31,code,UPPER(TRIM($D31)),rawStart,$F31,rawEnd,$G31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1" s="2">
        <f>LET(id,$A31,code,UPPER(TRIM($D31)),rawStart,$F31,rawEnd,$G31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1" s="2">
        <f>LET(id,$A31,code,UPPER(TRIM($D31)),rawStart,$F31,rawEnd,$G31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1" s="2">
        <f>LET(id,$A31,code,UPPER(TRIM($D31)),rawStart,$F31,rawEnd,$G31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1" s="2">
        <f>LET(id,$A31,code,UPPER(TRIM($D31)),rawStart,$F31,rawEnd,$G31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1" s="2">
        <f>LET(id,$A31,code,UPPER(TRIM($D31)),rawStart,$F31,rawEnd,$G31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1" s="2">
        <f>LET(id,$A31,code,UPPER(TRIM($D31)),rawStart,$F31,rawEnd,$G31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1" s="2">
        <f>LET(id,$A31,code,UPPER(TRIM($D31)),rawStart,$F31,rawEnd,$G31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1" s="2">
        <f>LET(id,$A31,code,UPPER(TRIM($D31)),rawStart,$F31,rawEnd,$G31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1" s="2">
        <f>LET(id,$A31,code,UPPER(TRIM($D31)),rawStart,$F31,rawEnd,$G31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1" s="2">
        <f>LET(id,$A31,code,UPPER(TRIM($D31)),rawStart,$F31,rawEnd,$G31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1" s="2">
        <f>LET(id,$A31,code,UPPER(TRIM($D31)),rawStart,$F31,rawEnd,$G31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1" s="2">
        <f>LET(id,$A31,code,UPPER(TRIM($D31)),rawStart,$F31,rawEnd,$G31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1" s="2">
        <f>LET(id,$A31,code,UPPER(TRIM($D31)),rawStart,$F31,rawEnd,$G31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1" s="2">
        <f>LET(id,$A31,code,UPPER(TRIM($D31)),rawStart,$F31,rawEnd,$G31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1" s="2">
        <f>LET(id,$A31,code,UPPER(TRIM($D31)),rawStart,$F31,rawEnd,$G31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1" s="2">
        <f>LET(id,$A31,code,UPPER(TRIM($D31)),rawStart,$F31,rawEnd,$G31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1" s="2">
        <f>LET(id,$A31,code,UPPER(TRIM($D31)),rawStart,$F31,rawEnd,$G31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31" s="2">
        <f>Calc_Engine!BD31</f>
        <v/>
      </c>
    </row>
    <row r="32">
      <c r="A32" s="2">
        <f>Calc_Engine!A32</f>
        <v/>
      </c>
      <c r="B32" s="2">
        <f>Calc_Engine!B32</f>
        <v/>
      </c>
      <c r="C32" s="2">
        <f>Calc_Engine!C32</f>
        <v/>
      </c>
      <c r="D32" s="2">
        <f>Calc_Engine!D32</f>
        <v/>
      </c>
      <c r="E32" s="4">
        <f>Calc_Engine!E32</f>
        <v/>
      </c>
      <c r="F32" s="5">
        <f>Calc_Engine!F32</f>
        <v/>
      </c>
      <c r="G32" s="5">
        <f>Calc_Engine!G32</f>
        <v/>
      </c>
      <c r="H32" s="2">
        <f>LET(id,$A32,code,UPPER(TRIM($D32)),rawStart,$F32,rawEnd,$G32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2" s="2">
        <f>LET(id,$A32,code,UPPER(TRIM($D32)),rawStart,$F32,rawEnd,$G32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2" s="2">
        <f>LET(id,$A32,code,UPPER(TRIM($D32)),rawStart,$F32,rawEnd,$G32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2" s="2">
        <f>LET(id,$A32,code,UPPER(TRIM($D32)),rawStart,$F32,rawEnd,$G32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2" s="2">
        <f>LET(id,$A32,code,UPPER(TRIM($D32)),rawStart,$F32,rawEnd,$G32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2" s="2">
        <f>LET(id,$A32,code,UPPER(TRIM($D32)),rawStart,$F32,rawEnd,$G32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2" s="2">
        <f>LET(id,$A32,code,UPPER(TRIM($D32)),rawStart,$F32,rawEnd,$G32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2" s="2">
        <f>LET(id,$A32,code,UPPER(TRIM($D32)),rawStart,$F32,rawEnd,$G32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2" s="2">
        <f>LET(id,$A32,code,UPPER(TRIM($D32)),rawStart,$F32,rawEnd,$G32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2" s="2">
        <f>LET(id,$A32,code,UPPER(TRIM($D32)),rawStart,$F32,rawEnd,$G32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2" s="2">
        <f>LET(id,$A32,code,UPPER(TRIM($D32)),rawStart,$F32,rawEnd,$G32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2" s="2">
        <f>LET(id,$A32,code,UPPER(TRIM($D32)),rawStart,$F32,rawEnd,$G32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2" s="2">
        <f>LET(id,$A32,code,UPPER(TRIM($D32)),rawStart,$F32,rawEnd,$G32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2" s="2">
        <f>LET(id,$A32,code,UPPER(TRIM($D32)),rawStart,$F32,rawEnd,$G32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2" s="2">
        <f>LET(id,$A32,code,UPPER(TRIM($D32)),rawStart,$F32,rawEnd,$G32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2" s="2">
        <f>LET(id,$A32,code,UPPER(TRIM($D32)),rawStart,$F32,rawEnd,$G32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2" s="2">
        <f>LET(id,$A32,code,UPPER(TRIM($D32)),rawStart,$F32,rawEnd,$G32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2" s="2">
        <f>LET(id,$A32,code,UPPER(TRIM($D32)),rawStart,$F32,rawEnd,$G32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2" s="2">
        <f>LET(id,$A32,code,UPPER(TRIM($D32)),rawStart,$F32,rawEnd,$G32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2" s="2">
        <f>LET(id,$A32,code,UPPER(TRIM($D32)),rawStart,$F32,rawEnd,$G32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2" s="2">
        <f>LET(id,$A32,code,UPPER(TRIM($D32)),rawStart,$F32,rawEnd,$G32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2" s="2">
        <f>LET(id,$A32,code,UPPER(TRIM($D32)),rawStart,$F32,rawEnd,$G32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2" s="2">
        <f>LET(id,$A32,code,UPPER(TRIM($D32)),rawStart,$F32,rawEnd,$G32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2" s="2">
        <f>LET(id,$A32,code,UPPER(TRIM($D32)),rawStart,$F32,rawEnd,$G32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2" s="2">
        <f>LET(id,$A32,code,UPPER(TRIM($D32)),rawStart,$F32,rawEnd,$G32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2" s="2">
        <f>LET(id,$A32,code,UPPER(TRIM($D32)),rawStart,$F32,rawEnd,$G32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2" s="2">
        <f>LET(id,$A32,code,UPPER(TRIM($D32)),rawStart,$F32,rawEnd,$G32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2" s="2">
        <f>LET(id,$A32,code,UPPER(TRIM($D32)),rawStart,$F32,rawEnd,$G32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2" s="2">
        <f>LET(id,$A32,code,UPPER(TRIM($D32)),rawStart,$F32,rawEnd,$G32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2" s="2">
        <f>LET(id,$A32,code,UPPER(TRIM($D32)),rawStart,$F32,rawEnd,$G32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2" s="2">
        <f>LET(id,$A32,code,UPPER(TRIM($D32)),rawStart,$F32,rawEnd,$G32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2" s="2">
        <f>LET(id,$A32,code,UPPER(TRIM($D32)),rawStart,$F32,rawEnd,$G32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2" s="2">
        <f>LET(id,$A32,code,UPPER(TRIM($D32)),rawStart,$F32,rawEnd,$G32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2" s="2">
        <f>LET(id,$A32,code,UPPER(TRIM($D32)),rawStart,$F32,rawEnd,$G32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2" s="2">
        <f>LET(id,$A32,code,UPPER(TRIM($D32)),rawStart,$F32,rawEnd,$G32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2" s="2">
        <f>LET(id,$A32,code,UPPER(TRIM($D32)),rawStart,$F32,rawEnd,$G32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2" s="2">
        <f>LET(id,$A32,code,UPPER(TRIM($D32)),rawStart,$F32,rawEnd,$G32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2" s="2">
        <f>LET(id,$A32,code,UPPER(TRIM($D32)),rawStart,$F32,rawEnd,$G32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2" s="2">
        <f>LET(id,$A32,code,UPPER(TRIM($D32)),rawStart,$F32,rawEnd,$G32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2" s="2">
        <f>LET(id,$A32,code,UPPER(TRIM($D32)),rawStart,$F32,rawEnd,$G32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2" s="2">
        <f>LET(id,$A32,code,UPPER(TRIM($D32)),rawStart,$F32,rawEnd,$G32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2" s="2">
        <f>LET(id,$A32,code,UPPER(TRIM($D32)),rawStart,$F32,rawEnd,$G32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2" s="2">
        <f>LET(id,$A32,code,UPPER(TRIM($D32)),rawStart,$F32,rawEnd,$G32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2" s="2">
        <f>LET(id,$A32,code,UPPER(TRIM($D32)),rawStart,$F32,rawEnd,$G32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2" s="2">
        <f>LET(id,$A32,code,UPPER(TRIM($D32)),rawStart,$F32,rawEnd,$G32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2" s="2">
        <f>LET(id,$A32,code,UPPER(TRIM($D32)),rawStart,$F32,rawEnd,$G32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2" s="2">
        <f>LET(id,$A32,code,UPPER(TRIM($D32)),rawStart,$F32,rawEnd,$G32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2" s="2">
        <f>LET(id,$A32,code,UPPER(TRIM($D32)),rawStart,$F32,rawEnd,$G32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32" s="2">
        <f>Calc_Engine!BD32</f>
        <v/>
      </c>
    </row>
    <row r="33">
      <c r="A33" s="2">
        <f>Calc_Engine!A33</f>
        <v/>
      </c>
      <c r="B33" s="2">
        <f>Calc_Engine!B33</f>
        <v/>
      </c>
      <c r="C33" s="2">
        <f>Calc_Engine!C33</f>
        <v/>
      </c>
      <c r="D33" s="2">
        <f>Calc_Engine!D33</f>
        <v/>
      </c>
      <c r="E33" s="4">
        <f>Calc_Engine!E33</f>
        <v/>
      </c>
      <c r="F33" s="5">
        <f>Calc_Engine!F33</f>
        <v/>
      </c>
      <c r="G33" s="5">
        <f>Calc_Engine!G33</f>
        <v/>
      </c>
      <c r="H33" s="2">
        <f>LET(id,$A33,code,UPPER(TRIM($D33)),rawStart,$F33,rawEnd,$G33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3" s="2">
        <f>LET(id,$A33,code,UPPER(TRIM($D33)),rawStart,$F33,rawEnd,$G33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3" s="2">
        <f>LET(id,$A33,code,UPPER(TRIM($D33)),rawStart,$F33,rawEnd,$G33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3" s="2">
        <f>LET(id,$A33,code,UPPER(TRIM($D33)),rawStart,$F33,rawEnd,$G33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3" s="2">
        <f>LET(id,$A33,code,UPPER(TRIM($D33)),rawStart,$F33,rawEnd,$G33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3" s="2">
        <f>LET(id,$A33,code,UPPER(TRIM($D33)),rawStart,$F33,rawEnd,$G33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3" s="2">
        <f>LET(id,$A33,code,UPPER(TRIM($D33)),rawStart,$F33,rawEnd,$G33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3" s="2">
        <f>LET(id,$A33,code,UPPER(TRIM($D33)),rawStart,$F33,rawEnd,$G33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3" s="2">
        <f>LET(id,$A33,code,UPPER(TRIM($D33)),rawStart,$F33,rawEnd,$G33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3" s="2">
        <f>LET(id,$A33,code,UPPER(TRIM($D33)),rawStart,$F33,rawEnd,$G33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3" s="2">
        <f>LET(id,$A33,code,UPPER(TRIM($D33)),rawStart,$F33,rawEnd,$G33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3" s="2">
        <f>LET(id,$A33,code,UPPER(TRIM($D33)),rawStart,$F33,rawEnd,$G33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3" s="2">
        <f>LET(id,$A33,code,UPPER(TRIM($D33)),rawStart,$F33,rawEnd,$G33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3" s="2">
        <f>LET(id,$A33,code,UPPER(TRIM($D33)),rawStart,$F33,rawEnd,$G33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3" s="2">
        <f>LET(id,$A33,code,UPPER(TRIM($D33)),rawStart,$F33,rawEnd,$G33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3" s="2">
        <f>LET(id,$A33,code,UPPER(TRIM($D33)),rawStart,$F33,rawEnd,$G33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3" s="2">
        <f>LET(id,$A33,code,UPPER(TRIM($D33)),rawStart,$F33,rawEnd,$G33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3" s="2">
        <f>LET(id,$A33,code,UPPER(TRIM($D33)),rawStart,$F33,rawEnd,$G33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3" s="2">
        <f>LET(id,$A33,code,UPPER(TRIM($D33)),rawStart,$F33,rawEnd,$G33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3" s="2">
        <f>LET(id,$A33,code,UPPER(TRIM($D33)),rawStart,$F33,rawEnd,$G33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3" s="2">
        <f>LET(id,$A33,code,UPPER(TRIM($D33)),rawStart,$F33,rawEnd,$G33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3" s="2">
        <f>LET(id,$A33,code,UPPER(TRIM($D33)),rawStart,$F33,rawEnd,$G33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3" s="2">
        <f>LET(id,$A33,code,UPPER(TRIM($D33)),rawStart,$F33,rawEnd,$G33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3" s="2">
        <f>LET(id,$A33,code,UPPER(TRIM($D33)),rawStart,$F33,rawEnd,$G33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3" s="2">
        <f>LET(id,$A33,code,UPPER(TRIM($D33)),rawStart,$F33,rawEnd,$G33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3" s="2">
        <f>LET(id,$A33,code,UPPER(TRIM($D33)),rawStart,$F33,rawEnd,$G33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3" s="2">
        <f>LET(id,$A33,code,UPPER(TRIM($D33)),rawStart,$F33,rawEnd,$G33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3" s="2">
        <f>LET(id,$A33,code,UPPER(TRIM($D33)),rawStart,$F33,rawEnd,$G33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3" s="2">
        <f>LET(id,$A33,code,UPPER(TRIM($D33)),rawStart,$F33,rawEnd,$G33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3" s="2">
        <f>LET(id,$A33,code,UPPER(TRIM($D33)),rawStart,$F33,rawEnd,$G33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3" s="2">
        <f>LET(id,$A33,code,UPPER(TRIM($D33)),rawStart,$F33,rawEnd,$G33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3" s="2">
        <f>LET(id,$A33,code,UPPER(TRIM($D33)),rawStart,$F33,rawEnd,$G33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3" s="2">
        <f>LET(id,$A33,code,UPPER(TRIM($D33)),rawStart,$F33,rawEnd,$G33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3" s="2">
        <f>LET(id,$A33,code,UPPER(TRIM($D33)),rawStart,$F33,rawEnd,$G33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3" s="2">
        <f>LET(id,$A33,code,UPPER(TRIM($D33)),rawStart,$F33,rawEnd,$G33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3" s="2">
        <f>LET(id,$A33,code,UPPER(TRIM($D33)),rawStart,$F33,rawEnd,$G33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3" s="2">
        <f>LET(id,$A33,code,UPPER(TRIM($D33)),rawStart,$F33,rawEnd,$G33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3" s="2">
        <f>LET(id,$A33,code,UPPER(TRIM($D33)),rawStart,$F33,rawEnd,$G33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3" s="2">
        <f>LET(id,$A33,code,UPPER(TRIM($D33)),rawStart,$F33,rawEnd,$G33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3" s="2">
        <f>LET(id,$A33,code,UPPER(TRIM($D33)),rawStart,$F33,rawEnd,$G33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3" s="2">
        <f>LET(id,$A33,code,UPPER(TRIM($D33)),rawStart,$F33,rawEnd,$G33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3" s="2">
        <f>LET(id,$A33,code,UPPER(TRIM($D33)),rawStart,$F33,rawEnd,$G33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3" s="2">
        <f>LET(id,$A33,code,UPPER(TRIM($D33)),rawStart,$F33,rawEnd,$G33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3" s="2">
        <f>LET(id,$A33,code,UPPER(TRIM($D33)),rawStart,$F33,rawEnd,$G33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3" s="2">
        <f>LET(id,$A33,code,UPPER(TRIM($D33)),rawStart,$F33,rawEnd,$G33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3" s="2">
        <f>LET(id,$A33,code,UPPER(TRIM($D33)),rawStart,$F33,rawEnd,$G33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3" s="2">
        <f>LET(id,$A33,code,UPPER(TRIM($D33)),rawStart,$F33,rawEnd,$G33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3" s="2">
        <f>LET(id,$A33,code,UPPER(TRIM($D33)),rawStart,$F33,rawEnd,$G33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33" s="2">
        <f>Calc_Engine!BD33</f>
        <v/>
      </c>
    </row>
    <row r="34">
      <c r="A34" s="2">
        <f>Calc_Engine!A34</f>
        <v/>
      </c>
      <c r="B34" s="2">
        <f>Calc_Engine!B34</f>
        <v/>
      </c>
      <c r="C34" s="2">
        <f>Calc_Engine!C34</f>
        <v/>
      </c>
      <c r="D34" s="2">
        <f>Calc_Engine!D34</f>
        <v/>
      </c>
      <c r="E34" s="4">
        <f>Calc_Engine!E34</f>
        <v/>
      </c>
      <c r="F34" s="5">
        <f>Calc_Engine!F34</f>
        <v/>
      </c>
      <c r="G34" s="5">
        <f>Calc_Engine!G34</f>
        <v/>
      </c>
      <c r="H34" s="2">
        <f>LET(id,$A34,code,UPPER(TRIM($D34)),rawStart,$F34,rawEnd,$G34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4" s="2">
        <f>LET(id,$A34,code,UPPER(TRIM($D34)),rawStart,$F34,rawEnd,$G34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4" s="2">
        <f>LET(id,$A34,code,UPPER(TRIM($D34)),rawStart,$F34,rawEnd,$G34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4" s="2">
        <f>LET(id,$A34,code,UPPER(TRIM($D34)),rawStart,$F34,rawEnd,$G34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4" s="2">
        <f>LET(id,$A34,code,UPPER(TRIM($D34)),rawStart,$F34,rawEnd,$G34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4" s="2">
        <f>LET(id,$A34,code,UPPER(TRIM($D34)),rawStart,$F34,rawEnd,$G34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4" s="2">
        <f>LET(id,$A34,code,UPPER(TRIM($D34)),rawStart,$F34,rawEnd,$G34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4" s="2">
        <f>LET(id,$A34,code,UPPER(TRIM($D34)),rawStart,$F34,rawEnd,$G34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4" s="2">
        <f>LET(id,$A34,code,UPPER(TRIM($D34)),rawStart,$F34,rawEnd,$G34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4" s="2">
        <f>LET(id,$A34,code,UPPER(TRIM($D34)),rawStart,$F34,rawEnd,$G34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4" s="2">
        <f>LET(id,$A34,code,UPPER(TRIM($D34)),rawStart,$F34,rawEnd,$G34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4" s="2">
        <f>LET(id,$A34,code,UPPER(TRIM($D34)),rawStart,$F34,rawEnd,$G34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4" s="2">
        <f>LET(id,$A34,code,UPPER(TRIM($D34)),rawStart,$F34,rawEnd,$G34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4" s="2">
        <f>LET(id,$A34,code,UPPER(TRIM($D34)),rawStart,$F34,rawEnd,$G34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4" s="2">
        <f>LET(id,$A34,code,UPPER(TRIM($D34)),rawStart,$F34,rawEnd,$G34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4" s="2">
        <f>LET(id,$A34,code,UPPER(TRIM($D34)),rawStart,$F34,rawEnd,$G34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4" s="2">
        <f>LET(id,$A34,code,UPPER(TRIM($D34)),rawStart,$F34,rawEnd,$G34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4" s="2">
        <f>LET(id,$A34,code,UPPER(TRIM($D34)),rawStart,$F34,rawEnd,$G34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4" s="2">
        <f>LET(id,$A34,code,UPPER(TRIM($D34)),rawStart,$F34,rawEnd,$G34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4" s="2">
        <f>LET(id,$A34,code,UPPER(TRIM($D34)),rawStart,$F34,rawEnd,$G34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4" s="2">
        <f>LET(id,$A34,code,UPPER(TRIM($D34)),rawStart,$F34,rawEnd,$G34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4" s="2">
        <f>LET(id,$A34,code,UPPER(TRIM($D34)),rawStart,$F34,rawEnd,$G34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4" s="2">
        <f>LET(id,$A34,code,UPPER(TRIM($D34)),rawStart,$F34,rawEnd,$G34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4" s="2">
        <f>LET(id,$A34,code,UPPER(TRIM($D34)),rawStart,$F34,rawEnd,$G34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4" s="2">
        <f>LET(id,$A34,code,UPPER(TRIM($D34)),rawStart,$F34,rawEnd,$G34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4" s="2">
        <f>LET(id,$A34,code,UPPER(TRIM($D34)),rawStart,$F34,rawEnd,$G34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4" s="2">
        <f>LET(id,$A34,code,UPPER(TRIM($D34)),rawStart,$F34,rawEnd,$G34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4" s="2">
        <f>LET(id,$A34,code,UPPER(TRIM($D34)),rawStart,$F34,rawEnd,$G34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4" s="2">
        <f>LET(id,$A34,code,UPPER(TRIM($D34)),rawStart,$F34,rawEnd,$G34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4" s="2">
        <f>LET(id,$A34,code,UPPER(TRIM($D34)),rawStart,$F34,rawEnd,$G34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4" s="2">
        <f>LET(id,$A34,code,UPPER(TRIM($D34)),rawStart,$F34,rawEnd,$G34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4" s="2">
        <f>LET(id,$A34,code,UPPER(TRIM($D34)),rawStart,$F34,rawEnd,$G34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4" s="2">
        <f>LET(id,$A34,code,UPPER(TRIM($D34)),rawStart,$F34,rawEnd,$G34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4" s="2">
        <f>LET(id,$A34,code,UPPER(TRIM($D34)),rawStart,$F34,rawEnd,$G34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4" s="2">
        <f>LET(id,$A34,code,UPPER(TRIM($D34)),rawStart,$F34,rawEnd,$G34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4" s="2">
        <f>LET(id,$A34,code,UPPER(TRIM($D34)),rawStart,$F34,rawEnd,$G34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4" s="2">
        <f>LET(id,$A34,code,UPPER(TRIM($D34)),rawStart,$F34,rawEnd,$G34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4" s="2">
        <f>LET(id,$A34,code,UPPER(TRIM($D34)),rawStart,$F34,rawEnd,$G34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4" s="2">
        <f>LET(id,$A34,code,UPPER(TRIM($D34)),rawStart,$F34,rawEnd,$G34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4" s="2">
        <f>LET(id,$A34,code,UPPER(TRIM($D34)),rawStart,$F34,rawEnd,$G34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4" s="2">
        <f>LET(id,$A34,code,UPPER(TRIM($D34)),rawStart,$F34,rawEnd,$G34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4" s="2">
        <f>LET(id,$A34,code,UPPER(TRIM($D34)),rawStart,$F34,rawEnd,$G34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4" s="2">
        <f>LET(id,$A34,code,UPPER(TRIM($D34)),rawStart,$F34,rawEnd,$G34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4" s="2">
        <f>LET(id,$A34,code,UPPER(TRIM($D34)),rawStart,$F34,rawEnd,$G34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4" s="2">
        <f>LET(id,$A34,code,UPPER(TRIM($D34)),rawStart,$F34,rawEnd,$G34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4" s="2">
        <f>LET(id,$A34,code,UPPER(TRIM($D34)),rawStart,$F34,rawEnd,$G34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4" s="2">
        <f>LET(id,$A34,code,UPPER(TRIM($D34)),rawStart,$F34,rawEnd,$G34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4" s="2">
        <f>LET(id,$A34,code,UPPER(TRIM($D34)),rawStart,$F34,rawEnd,$G34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34" s="2">
        <f>Calc_Engine!BD34</f>
        <v/>
      </c>
    </row>
    <row r="35">
      <c r="A35" s="2">
        <f>Calc_Engine!A35</f>
        <v/>
      </c>
      <c r="B35" s="2">
        <f>Calc_Engine!B35</f>
        <v/>
      </c>
      <c r="C35" s="2">
        <f>Calc_Engine!C35</f>
        <v/>
      </c>
      <c r="D35" s="2">
        <f>Calc_Engine!D35</f>
        <v/>
      </c>
      <c r="E35" s="4">
        <f>Calc_Engine!E35</f>
        <v/>
      </c>
      <c r="F35" s="5">
        <f>Calc_Engine!F35</f>
        <v/>
      </c>
      <c r="G35" s="5">
        <f>Calc_Engine!G35</f>
        <v/>
      </c>
      <c r="H35" s="2">
        <f>LET(id,$A35,code,UPPER(TRIM($D35)),rawStart,$F35,rawEnd,$G35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5" s="2">
        <f>LET(id,$A35,code,UPPER(TRIM($D35)),rawStart,$F35,rawEnd,$G35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5" s="2">
        <f>LET(id,$A35,code,UPPER(TRIM($D35)),rawStart,$F35,rawEnd,$G35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5" s="2">
        <f>LET(id,$A35,code,UPPER(TRIM($D35)),rawStart,$F35,rawEnd,$G35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5" s="2">
        <f>LET(id,$A35,code,UPPER(TRIM($D35)),rawStart,$F35,rawEnd,$G35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5" s="2">
        <f>LET(id,$A35,code,UPPER(TRIM($D35)),rawStart,$F35,rawEnd,$G35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5" s="2">
        <f>LET(id,$A35,code,UPPER(TRIM($D35)),rawStart,$F35,rawEnd,$G35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5" s="2">
        <f>LET(id,$A35,code,UPPER(TRIM($D35)),rawStart,$F35,rawEnd,$G35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5" s="2">
        <f>LET(id,$A35,code,UPPER(TRIM($D35)),rawStart,$F35,rawEnd,$G35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5" s="2">
        <f>LET(id,$A35,code,UPPER(TRIM($D35)),rawStart,$F35,rawEnd,$G35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5" s="2">
        <f>LET(id,$A35,code,UPPER(TRIM($D35)),rawStart,$F35,rawEnd,$G35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5" s="2">
        <f>LET(id,$A35,code,UPPER(TRIM($D35)),rawStart,$F35,rawEnd,$G35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5" s="2">
        <f>LET(id,$A35,code,UPPER(TRIM($D35)),rawStart,$F35,rawEnd,$G35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5" s="2">
        <f>LET(id,$A35,code,UPPER(TRIM($D35)),rawStart,$F35,rawEnd,$G35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5" s="2">
        <f>LET(id,$A35,code,UPPER(TRIM($D35)),rawStart,$F35,rawEnd,$G35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5" s="2">
        <f>LET(id,$A35,code,UPPER(TRIM($D35)),rawStart,$F35,rawEnd,$G35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5" s="2">
        <f>LET(id,$A35,code,UPPER(TRIM($D35)),rawStart,$F35,rawEnd,$G35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5" s="2">
        <f>LET(id,$A35,code,UPPER(TRIM($D35)),rawStart,$F35,rawEnd,$G35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5" s="2">
        <f>LET(id,$A35,code,UPPER(TRIM($D35)),rawStart,$F35,rawEnd,$G35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5" s="2">
        <f>LET(id,$A35,code,UPPER(TRIM($D35)),rawStart,$F35,rawEnd,$G35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5" s="2">
        <f>LET(id,$A35,code,UPPER(TRIM($D35)),rawStart,$F35,rawEnd,$G35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5" s="2">
        <f>LET(id,$A35,code,UPPER(TRIM($D35)),rawStart,$F35,rawEnd,$G35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5" s="2">
        <f>LET(id,$A35,code,UPPER(TRIM($D35)),rawStart,$F35,rawEnd,$G35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5" s="2">
        <f>LET(id,$A35,code,UPPER(TRIM($D35)),rawStart,$F35,rawEnd,$G35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5" s="2">
        <f>LET(id,$A35,code,UPPER(TRIM($D35)),rawStart,$F35,rawEnd,$G35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5" s="2">
        <f>LET(id,$A35,code,UPPER(TRIM($D35)),rawStart,$F35,rawEnd,$G35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5" s="2">
        <f>LET(id,$A35,code,UPPER(TRIM($D35)),rawStart,$F35,rawEnd,$G35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5" s="2">
        <f>LET(id,$A35,code,UPPER(TRIM($D35)),rawStart,$F35,rawEnd,$G35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5" s="2">
        <f>LET(id,$A35,code,UPPER(TRIM($D35)),rawStart,$F35,rawEnd,$G35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5" s="2">
        <f>LET(id,$A35,code,UPPER(TRIM($D35)),rawStart,$F35,rawEnd,$G35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5" s="2">
        <f>LET(id,$A35,code,UPPER(TRIM($D35)),rawStart,$F35,rawEnd,$G35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5" s="2">
        <f>LET(id,$A35,code,UPPER(TRIM($D35)),rawStart,$F35,rawEnd,$G35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5" s="2">
        <f>LET(id,$A35,code,UPPER(TRIM($D35)),rawStart,$F35,rawEnd,$G35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5" s="2">
        <f>LET(id,$A35,code,UPPER(TRIM($D35)),rawStart,$F35,rawEnd,$G35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5" s="2">
        <f>LET(id,$A35,code,UPPER(TRIM($D35)),rawStart,$F35,rawEnd,$G35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5" s="2">
        <f>LET(id,$A35,code,UPPER(TRIM($D35)),rawStart,$F35,rawEnd,$G35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5" s="2">
        <f>LET(id,$A35,code,UPPER(TRIM($D35)),rawStart,$F35,rawEnd,$G35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5" s="2">
        <f>LET(id,$A35,code,UPPER(TRIM($D35)),rawStart,$F35,rawEnd,$G35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5" s="2">
        <f>LET(id,$A35,code,UPPER(TRIM($D35)),rawStart,$F35,rawEnd,$G35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5" s="2">
        <f>LET(id,$A35,code,UPPER(TRIM($D35)),rawStart,$F35,rawEnd,$G35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5" s="2">
        <f>LET(id,$A35,code,UPPER(TRIM($D35)),rawStart,$F35,rawEnd,$G35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5" s="2">
        <f>LET(id,$A35,code,UPPER(TRIM($D35)),rawStart,$F35,rawEnd,$G35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5" s="2">
        <f>LET(id,$A35,code,UPPER(TRIM($D35)),rawStart,$F35,rawEnd,$G35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5" s="2">
        <f>LET(id,$A35,code,UPPER(TRIM($D35)),rawStart,$F35,rawEnd,$G35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5" s="2">
        <f>LET(id,$A35,code,UPPER(TRIM($D35)),rawStart,$F35,rawEnd,$G35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5" s="2">
        <f>LET(id,$A35,code,UPPER(TRIM($D35)),rawStart,$F35,rawEnd,$G35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5" s="2">
        <f>LET(id,$A35,code,UPPER(TRIM($D35)),rawStart,$F35,rawEnd,$G35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5" s="2">
        <f>LET(id,$A35,code,UPPER(TRIM($D35)),rawStart,$F35,rawEnd,$G35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35" s="2">
        <f>Calc_Engine!BD35</f>
        <v/>
      </c>
    </row>
    <row r="36">
      <c r="A36" s="2">
        <f>Calc_Engine!A36</f>
        <v/>
      </c>
      <c r="B36" s="2">
        <f>Calc_Engine!B36</f>
        <v/>
      </c>
      <c r="C36" s="2">
        <f>Calc_Engine!C36</f>
        <v/>
      </c>
      <c r="D36" s="2">
        <f>Calc_Engine!D36</f>
        <v/>
      </c>
      <c r="E36" s="4">
        <f>Calc_Engine!E36</f>
        <v/>
      </c>
      <c r="F36" s="5">
        <f>Calc_Engine!F36</f>
        <v/>
      </c>
      <c r="G36" s="5">
        <f>Calc_Engine!G36</f>
        <v/>
      </c>
      <c r="H36" s="2">
        <f>LET(id,$A36,code,UPPER(TRIM($D36)),rawStart,$F36,rawEnd,$G36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6" s="2">
        <f>LET(id,$A36,code,UPPER(TRIM($D36)),rawStart,$F36,rawEnd,$G36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6" s="2">
        <f>LET(id,$A36,code,UPPER(TRIM($D36)),rawStart,$F36,rawEnd,$G36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6" s="2">
        <f>LET(id,$A36,code,UPPER(TRIM($D36)),rawStart,$F36,rawEnd,$G36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6" s="2">
        <f>LET(id,$A36,code,UPPER(TRIM($D36)),rawStart,$F36,rawEnd,$G36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6" s="2">
        <f>LET(id,$A36,code,UPPER(TRIM($D36)),rawStart,$F36,rawEnd,$G36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6" s="2">
        <f>LET(id,$A36,code,UPPER(TRIM($D36)),rawStart,$F36,rawEnd,$G36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6" s="2">
        <f>LET(id,$A36,code,UPPER(TRIM($D36)),rawStart,$F36,rawEnd,$G36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6" s="2">
        <f>LET(id,$A36,code,UPPER(TRIM($D36)),rawStart,$F36,rawEnd,$G36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6" s="2">
        <f>LET(id,$A36,code,UPPER(TRIM($D36)),rawStart,$F36,rawEnd,$G36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6" s="2">
        <f>LET(id,$A36,code,UPPER(TRIM($D36)),rawStart,$F36,rawEnd,$G36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6" s="2">
        <f>LET(id,$A36,code,UPPER(TRIM($D36)),rawStart,$F36,rawEnd,$G36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6" s="2">
        <f>LET(id,$A36,code,UPPER(TRIM($D36)),rawStart,$F36,rawEnd,$G36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6" s="2">
        <f>LET(id,$A36,code,UPPER(TRIM($D36)),rawStart,$F36,rawEnd,$G36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6" s="2">
        <f>LET(id,$A36,code,UPPER(TRIM($D36)),rawStart,$F36,rawEnd,$G36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6" s="2">
        <f>LET(id,$A36,code,UPPER(TRIM($D36)),rawStart,$F36,rawEnd,$G36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6" s="2">
        <f>LET(id,$A36,code,UPPER(TRIM($D36)),rawStart,$F36,rawEnd,$G36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6" s="2">
        <f>LET(id,$A36,code,UPPER(TRIM($D36)),rawStart,$F36,rawEnd,$G36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6" s="2">
        <f>LET(id,$A36,code,UPPER(TRIM($D36)),rawStart,$F36,rawEnd,$G36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6" s="2">
        <f>LET(id,$A36,code,UPPER(TRIM($D36)),rawStart,$F36,rawEnd,$G36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6" s="2">
        <f>LET(id,$A36,code,UPPER(TRIM($D36)),rawStart,$F36,rawEnd,$G36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6" s="2">
        <f>LET(id,$A36,code,UPPER(TRIM($D36)),rawStart,$F36,rawEnd,$G36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6" s="2">
        <f>LET(id,$A36,code,UPPER(TRIM($D36)),rawStart,$F36,rawEnd,$G36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6" s="2">
        <f>LET(id,$A36,code,UPPER(TRIM($D36)),rawStart,$F36,rawEnd,$G36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6" s="2">
        <f>LET(id,$A36,code,UPPER(TRIM($D36)),rawStart,$F36,rawEnd,$G36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6" s="2">
        <f>LET(id,$A36,code,UPPER(TRIM($D36)),rawStart,$F36,rawEnd,$G36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6" s="2">
        <f>LET(id,$A36,code,UPPER(TRIM($D36)),rawStart,$F36,rawEnd,$G36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6" s="2">
        <f>LET(id,$A36,code,UPPER(TRIM($D36)),rawStart,$F36,rawEnd,$G36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6" s="2">
        <f>LET(id,$A36,code,UPPER(TRIM($D36)),rawStart,$F36,rawEnd,$G36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6" s="2">
        <f>LET(id,$A36,code,UPPER(TRIM($D36)),rawStart,$F36,rawEnd,$G36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6" s="2">
        <f>LET(id,$A36,code,UPPER(TRIM($D36)),rawStart,$F36,rawEnd,$G36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6" s="2">
        <f>LET(id,$A36,code,UPPER(TRIM($D36)),rawStart,$F36,rawEnd,$G36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6" s="2">
        <f>LET(id,$A36,code,UPPER(TRIM($D36)),rawStart,$F36,rawEnd,$G36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6" s="2">
        <f>LET(id,$A36,code,UPPER(TRIM($D36)),rawStart,$F36,rawEnd,$G36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6" s="2">
        <f>LET(id,$A36,code,UPPER(TRIM($D36)),rawStart,$F36,rawEnd,$G36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6" s="2">
        <f>LET(id,$A36,code,UPPER(TRIM($D36)),rawStart,$F36,rawEnd,$G36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6" s="2">
        <f>LET(id,$A36,code,UPPER(TRIM($D36)),rawStart,$F36,rawEnd,$G36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6" s="2">
        <f>LET(id,$A36,code,UPPER(TRIM($D36)),rawStart,$F36,rawEnd,$G36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6" s="2">
        <f>LET(id,$A36,code,UPPER(TRIM($D36)),rawStart,$F36,rawEnd,$G36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6" s="2">
        <f>LET(id,$A36,code,UPPER(TRIM($D36)),rawStart,$F36,rawEnd,$G36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6" s="2">
        <f>LET(id,$A36,code,UPPER(TRIM($D36)),rawStart,$F36,rawEnd,$G36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6" s="2">
        <f>LET(id,$A36,code,UPPER(TRIM($D36)),rawStart,$F36,rawEnd,$G36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6" s="2">
        <f>LET(id,$A36,code,UPPER(TRIM($D36)),rawStart,$F36,rawEnd,$G36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6" s="2">
        <f>LET(id,$A36,code,UPPER(TRIM($D36)),rawStart,$F36,rawEnd,$G36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6" s="2">
        <f>LET(id,$A36,code,UPPER(TRIM($D36)),rawStart,$F36,rawEnd,$G36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6" s="2">
        <f>LET(id,$A36,code,UPPER(TRIM($D36)),rawStart,$F36,rawEnd,$G36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6" s="2">
        <f>LET(id,$A36,code,UPPER(TRIM($D36)),rawStart,$F36,rawEnd,$G36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6" s="2">
        <f>LET(id,$A36,code,UPPER(TRIM($D36)),rawStart,$F36,rawEnd,$G36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36" s="2">
        <f>Calc_Engine!BD36</f>
        <v/>
      </c>
    </row>
    <row r="37">
      <c r="A37" s="2">
        <f>Calc_Engine!A37</f>
        <v/>
      </c>
      <c r="B37" s="2">
        <f>Calc_Engine!B37</f>
        <v/>
      </c>
      <c r="C37" s="2">
        <f>Calc_Engine!C37</f>
        <v/>
      </c>
      <c r="D37" s="2">
        <f>Calc_Engine!D37</f>
        <v/>
      </c>
      <c r="E37" s="4">
        <f>Calc_Engine!E37</f>
        <v/>
      </c>
      <c r="F37" s="5">
        <f>Calc_Engine!F37</f>
        <v/>
      </c>
      <c r="G37" s="5">
        <f>Calc_Engine!G37</f>
        <v/>
      </c>
      <c r="H37" s="2">
        <f>LET(id,$A37,code,UPPER(TRIM($D37)),rawStart,$F37,rawEnd,$G37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7" s="2">
        <f>LET(id,$A37,code,UPPER(TRIM($D37)),rawStart,$F37,rawEnd,$G37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7" s="2">
        <f>LET(id,$A37,code,UPPER(TRIM($D37)),rawStart,$F37,rawEnd,$G37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7" s="2">
        <f>LET(id,$A37,code,UPPER(TRIM($D37)),rawStart,$F37,rawEnd,$G37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7" s="2">
        <f>LET(id,$A37,code,UPPER(TRIM($D37)),rawStart,$F37,rawEnd,$G37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7" s="2">
        <f>LET(id,$A37,code,UPPER(TRIM($D37)),rawStart,$F37,rawEnd,$G37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7" s="2">
        <f>LET(id,$A37,code,UPPER(TRIM($D37)),rawStart,$F37,rawEnd,$G37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7" s="2">
        <f>LET(id,$A37,code,UPPER(TRIM($D37)),rawStart,$F37,rawEnd,$G37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7" s="2">
        <f>LET(id,$A37,code,UPPER(TRIM($D37)),rawStart,$F37,rawEnd,$G37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7" s="2">
        <f>LET(id,$A37,code,UPPER(TRIM($D37)),rawStart,$F37,rawEnd,$G37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7" s="2">
        <f>LET(id,$A37,code,UPPER(TRIM($D37)),rawStart,$F37,rawEnd,$G37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7" s="2">
        <f>LET(id,$A37,code,UPPER(TRIM($D37)),rawStart,$F37,rawEnd,$G37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7" s="2">
        <f>LET(id,$A37,code,UPPER(TRIM($D37)),rawStart,$F37,rawEnd,$G37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7" s="2">
        <f>LET(id,$A37,code,UPPER(TRIM($D37)),rawStart,$F37,rawEnd,$G37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7" s="2">
        <f>LET(id,$A37,code,UPPER(TRIM($D37)),rawStart,$F37,rawEnd,$G37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7" s="2">
        <f>LET(id,$A37,code,UPPER(TRIM($D37)),rawStart,$F37,rawEnd,$G37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7" s="2">
        <f>LET(id,$A37,code,UPPER(TRIM($D37)),rawStart,$F37,rawEnd,$G37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7" s="2">
        <f>LET(id,$A37,code,UPPER(TRIM($D37)),rawStart,$F37,rawEnd,$G37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7" s="2">
        <f>LET(id,$A37,code,UPPER(TRIM($D37)),rawStart,$F37,rawEnd,$G37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7" s="2">
        <f>LET(id,$A37,code,UPPER(TRIM($D37)),rawStart,$F37,rawEnd,$G37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7" s="2">
        <f>LET(id,$A37,code,UPPER(TRIM($D37)),rawStart,$F37,rawEnd,$G37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7" s="2">
        <f>LET(id,$A37,code,UPPER(TRIM($D37)),rawStart,$F37,rawEnd,$G37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7" s="2">
        <f>LET(id,$A37,code,UPPER(TRIM($D37)),rawStart,$F37,rawEnd,$G37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7" s="2">
        <f>LET(id,$A37,code,UPPER(TRIM($D37)),rawStart,$F37,rawEnd,$G37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7" s="2">
        <f>LET(id,$A37,code,UPPER(TRIM($D37)),rawStart,$F37,rawEnd,$G37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7" s="2">
        <f>LET(id,$A37,code,UPPER(TRIM($D37)),rawStart,$F37,rawEnd,$G37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7" s="2">
        <f>LET(id,$A37,code,UPPER(TRIM($D37)),rawStart,$F37,rawEnd,$G37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7" s="2">
        <f>LET(id,$A37,code,UPPER(TRIM($D37)),rawStart,$F37,rawEnd,$G37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7" s="2">
        <f>LET(id,$A37,code,UPPER(TRIM($D37)),rawStart,$F37,rawEnd,$G37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7" s="2">
        <f>LET(id,$A37,code,UPPER(TRIM($D37)),rawStart,$F37,rawEnd,$G37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7" s="2">
        <f>LET(id,$A37,code,UPPER(TRIM($D37)),rawStart,$F37,rawEnd,$G37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7" s="2">
        <f>LET(id,$A37,code,UPPER(TRIM($D37)),rawStart,$F37,rawEnd,$G37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7" s="2">
        <f>LET(id,$A37,code,UPPER(TRIM($D37)),rawStart,$F37,rawEnd,$G37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7" s="2">
        <f>LET(id,$A37,code,UPPER(TRIM($D37)),rawStart,$F37,rawEnd,$G37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7" s="2">
        <f>LET(id,$A37,code,UPPER(TRIM($D37)),rawStart,$F37,rawEnd,$G37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7" s="2">
        <f>LET(id,$A37,code,UPPER(TRIM($D37)),rawStart,$F37,rawEnd,$G37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7" s="2">
        <f>LET(id,$A37,code,UPPER(TRIM($D37)),rawStart,$F37,rawEnd,$G37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7" s="2">
        <f>LET(id,$A37,code,UPPER(TRIM($D37)),rawStart,$F37,rawEnd,$G37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7" s="2">
        <f>LET(id,$A37,code,UPPER(TRIM($D37)),rawStart,$F37,rawEnd,$G37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7" s="2">
        <f>LET(id,$A37,code,UPPER(TRIM($D37)),rawStart,$F37,rawEnd,$G37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7" s="2">
        <f>LET(id,$A37,code,UPPER(TRIM($D37)),rawStart,$F37,rawEnd,$G37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7" s="2">
        <f>LET(id,$A37,code,UPPER(TRIM($D37)),rawStart,$F37,rawEnd,$G37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7" s="2">
        <f>LET(id,$A37,code,UPPER(TRIM($D37)),rawStart,$F37,rawEnd,$G37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7" s="2">
        <f>LET(id,$A37,code,UPPER(TRIM($D37)),rawStart,$F37,rawEnd,$G37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7" s="2">
        <f>LET(id,$A37,code,UPPER(TRIM($D37)),rawStart,$F37,rawEnd,$G37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7" s="2">
        <f>LET(id,$A37,code,UPPER(TRIM($D37)),rawStart,$F37,rawEnd,$G37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7" s="2">
        <f>LET(id,$A37,code,UPPER(TRIM($D37)),rawStart,$F37,rawEnd,$G37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7" s="2">
        <f>LET(id,$A37,code,UPPER(TRIM($D37)),rawStart,$F37,rawEnd,$G37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37" s="2">
        <f>Calc_Engine!BD37</f>
        <v/>
      </c>
    </row>
    <row r="38">
      <c r="A38" s="2">
        <f>Calc_Engine!A38</f>
        <v/>
      </c>
      <c r="B38" s="2">
        <f>Calc_Engine!B38</f>
        <v/>
      </c>
      <c r="C38" s="2">
        <f>Calc_Engine!C38</f>
        <v/>
      </c>
      <c r="D38" s="2">
        <f>Calc_Engine!D38</f>
        <v/>
      </c>
      <c r="E38" s="4">
        <f>Calc_Engine!E38</f>
        <v/>
      </c>
      <c r="F38" s="5">
        <f>Calc_Engine!F38</f>
        <v/>
      </c>
      <c r="G38" s="5">
        <f>Calc_Engine!G38</f>
        <v/>
      </c>
      <c r="H38" s="2">
        <f>LET(id,$A38,code,UPPER(TRIM($D38)),rawStart,$F38,rawEnd,$G38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8" s="2">
        <f>LET(id,$A38,code,UPPER(TRIM($D38)),rawStart,$F38,rawEnd,$G38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8" s="2">
        <f>LET(id,$A38,code,UPPER(TRIM($D38)),rawStart,$F38,rawEnd,$G38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8" s="2">
        <f>LET(id,$A38,code,UPPER(TRIM($D38)),rawStart,$F38,rawEnd,$G38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8" s="2">
        <f>LET(id,$A38,code,UPPER(TRIM($D38)),rawStart,$F38,rawEnd,$G38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8" s="2">
        <f>LET(id,$A38,code,UPPER(TRIM($D38)),rawStart,$F38,rawEnd,$G38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8" s="2">
        <f>LET(id,$A38,code,UPPER(TRIM($D38)),rawStart,$F38,rawEnd,$G38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8" s="2">
        <f>LET(id,$A38,code,UPPER(TRIM($D38)),rawStart,$F38,rawEnd,$G38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8" s="2">
        <f>LET(id,$A38,code,UPPER(TRIM($D38)),rawStart,$F38,rawEnd,$G38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8" s="2">
        <f>LET(id,$A38,code,UPPER(TRIM($D38)),rawStart,$F38,rawEnd,$G38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8" s="2">
        <f>LET(id,$A38,code,UPPER(TRIM($D38)),rawStart,$F38,rawEnd,$G38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8" s="2">
        <f>LET(id,$A38,code,UPPER(TRIM($D38)),rawStart,$F38,rawEnd,$G38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8" s="2">
        <f>LET(id,$A38,code,UPPER(TRIM($D38)),rawStart,$F38,rawEnd,$G38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8" s="2">
        <f>LET(id,$A38,code,UPPER(TRIM($D38)),rawStart,$F38,rawEnd,$G38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8" s="2">
        <f>LET(id,$A38,code,UPPER(TRIM($D38)),rawStart,$F38,rawEnd,$G38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8" s="2">
        <f>LET(id,$A38,code,UPPER(TRIM($D38)),rawStart,$F38,rawEnd,$G38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8" s="2">
        <f>LET(id,$A38,code,UPPER(TRIM($D38)),rawStart,$F38,rawEnd,$G38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8" s="2">
        <f>LET(id,$A38,code,UPPER(TRIM($D38)),rawStart,$F38,rawEnd,$G38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8" s="2">
        <f>LET(id,$A38,code,UPPER(TRIM($D38)),rawStart,$F38,rawEnd,$G38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8" s="2">
        <f>LET(id,$A38,code,UPPER(TRIM($D38)),rawStart,$F38,rawEnd,$G38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8" s="2">
        <f>LET(id,$A38,code,UPPER(TRIM($D38)),rawStart,$F38,rawEnd,$G38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8" s="2">
        <f>LET(id,$A38,code,UPPER(TRIM($D38)),rawStart,$F38,rawEnd,$G38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8" s="2">
        <f>LET(id,$A38,code,UPPER(TRIM($D38)),rawStart,$F38,rawEnd,$G38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8" s="2">
        <f>LET(id,$A38,code,UPPER(TRIM($D38)),rawStart,$F38,rawEnd,$G38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8" s="2">
        <f>LET(id,$A38,code,UPPER(TRIM($D38)),rawStart,$F38,rawEnd,$G38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8" s="2">
        <f>LET(id,$A38,code,UPPER(TRIM($D38)),rawStart,$F38,rawEnd,$G38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8" s="2">
        <f>LET(id,$A38,code,UPPER(TRIM($D38)),rawStart,$F38,rawEnd,$G38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8" s="2">
        <f>LET(id,$A38,code,UPPER(TRIM($D38)),rawStart,$F38,rawEnd,$G38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8" s="2">
        <f>LET(id,$A38,code,UPPER(TRIM($D38)),rawStart,$F38,rawEnd,$G38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8" s="2">
        <f>LET(id,$A38,code,UPPER(TRIM($D38)),rawStart,$F38,rawEnd,$G38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8" s="2">
        <f>LET(id,$A38,code,UPPER(TRIM($D38)),rawStart,$F38,rawEnd,$G38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8" s="2">
        <f>LET(id,$A38,code,UPPER(TRIM($D38)),rawStart,$F38,rawEnd,$G38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8" s="2">
        <f>LET(id,$A38,code,UPPER(TRIM($D38)),rawStart,$F38,rawEnd,$G38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8" s="2">
        <f>LET(id,$A38,code,UPPER(TRIM($D38)),rawStart,$F38,rawEnd,$G38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8" s="2">
        <f>LET(id,$A38,code,UPPER(TRIM($D38)),rawStart,$F38,rawEnd,$G38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8" s="2">
        <f>LET(id,$A38,code,UPPER(TRIM($D38)),rawStart,$F38,rawEnd,$G38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8" s="2">
        <f>LET(id,$A38,code,UPPER(TRIM($D38)),rawStart,$F38,rawEnd,$G38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8" s="2">
        <f>LET(id,$A38,code,UPPER(TRIM($D38)),rawStart,$F38,rawEnd,$G38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8" s="2">
        <f>LET(id,$A38,code,UPPER(TRIM($D38)),rawStart,$F38,rawEnd,$G38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8" s="2">
        <f>LET(id,$A38,code,UPPER(TRIM($D38)),rawStart,$F38,rawEnd,$G38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8" s="2">
        <f>LET(id,$A38,code,UPPER(TRIM($D38)),rawStart,$F38,rawEnd,$G38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8" s="2">
        <f>LET(id,$A38,code,UPPER(TRIM($D38)),rawStart,$F38,rawEnd,$G38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8" s="2">
        <f>LET(id,$A38,code,UPPER(TRIM($D38)),rawStart,$F38,rawEnd,$G38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8" s="2">
        <f>LET(id,$A38,code,UPPER(TRIM($D38)),rawStart,$F38,rawEnd,$G38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8" s="2">
        <f>LET(id,$A38,code,UPPER(TRIM($D38)),rawStart,$F38,rawEnd,$G38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8" s="2">
        <f>LET(id,$A38,code,UPPER(TRIM($D38)),rawStart,$F38,rawEnd,$G38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8" s="2">
        <f>LET(id,$A38,code,UPPER(TRIM($D38)),rawStart,$F38,rawEnd,$G38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8" s="2">
        <f>LET(id,$A38,code,UPPER(TRIM($D38)),rawStart,$F38,rawEnd,$G38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38" s="2">
        <f>Calc_Engine!BD38</f>
        <v/>
      </c>
    </row>
    <row r="39">
      <c r="A39" s="2">
        <f>Calc_Engine!A39</f>
        <v/>
      </c>
      <c r="B39" s="2">
        <f>Calc_Engine!B39</f>
        <v/>
      </c>
      <c r="C39" s="2">
        <f>Calc_Engine!C39</f>
        <v/>
      </c>
      <c r="D39" s="2">
        <f>Calc_Engine!D39</f>
        <v/>
      </c>
      <c r="E39" s="4">
        <f>Calc_Engine!E39</f>
        <v/>
      </c>
      <c r="F39" s="5">
        <f>Calc_Engine!F39</f>
        <v/>
      </c>
      <c r="G39" s="5">
        <f>Calc_Engine!G39</f>
        <v/>
      </c>
      <c r="H39" s="2">
        <f>LET(id,$A39,code,UPPER(TRIM($D39)),rawStart,$F39,rawEnd,$G39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9" s="2">
        <f>LET(id,$A39,code,UPPER(TRIM($D39)),rawStart,$F39,rawEnd,$G39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9" s="2">
        <f>LET(id,$A39,code,UPPER(TRIM($D39)),rawStart,$F39,rawEnd,$G39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9" s="2">
        <f>LET(id,$A39,code,UPPER(TRIM($D39)),rawStart,$F39,rawEnd,$G39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9" s="2">
        <f>LET(id,$A39,code,UPPER(TRIM($D39)),rawStart,$F39,rawEnd,$G39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9" s="2">
        <f>LET(id,$A39,code,UPPER(TRIM($D39)),rawStart,$F39,rawEnd,$G39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9" s="2">
        <f>LET(id,$A39,code,UPPER(TRIM($D39)),rawStart,$F39,rawEnd,$G39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9" s="2">
        <f>LET(id,$A39,code,UPPER(TRIM($D39)),rawStart,$F39,rawEnd,$G39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9" s="2">
        <f>LET(id,$A39,code,UPPER(TRIM($D39)),rawStart,$F39,rawEnd,$G39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9" s="2">
        <f>LET(id,$A39,code,UPPER(TRIM($D39)),rawStart,$F39,rawEnd,$G39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9" s="2">
        <f>LET(id,$A39,code,UPPER(TRIM($D39)),rawStart,$F39,rawEnd,$G39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9" s="2">
        <f>LET(id,$A39,code,UPPER(TRIM($D39)),rawStart,$F39,rawEnd,$G39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9" s="2">
        <f>LET(id,$A39,code,UPPER(TRIM($D39)),rawStart,$F39,rawEnd,$G39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9" s="2">
        <f>LET(id,$A39,code,UPPER(TRIM($D39)),rawStart,$F39,rawEnd,$G39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9" s="2">
        <f>LET(id,$A39,code,UPPER(TRIM($D39)),rawStart,$F39,rawEnd,$G39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9" s="2">
        <f>LET(id,$A39,code,UPPER(TRIM($D39)),rawStart,$F39,rawEnd,$G39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9" s="2">
        <f>LET(id,$A39,code,UPPER(TRIM($D39)),rawStart,$F39,rawEnd,$G39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9" s="2">
        <f>LET(id,$A39,code,UPPER(TRIM($D39)),rawStart,$F39,rawEnd,$G39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9" s="2">
        <f>LET(id,$A39,code,UPPER(TRIM($D39)),rawStart,$F39,rawEnd,$G39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9" s="2">
        <f>LET(id,$A39,code,UPPER(TRIM($D39)),rawStart,$F39,rawEnd,$G39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9" s="2">
        <f>LET(id,$A39,code,UPPER(TRIM($D39)),rawStart,$F39,rawEnd,$G39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9" s="2">
        <f>LET(id,$A39,code,UPPER(TRIM($D39)),rawStart,$F39,rawEnd,$G39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9" s="2">
        <f>LET(id,$A39,code,UPPER(TRIM($D39)),rawStart,$F39,rawEnd,$G39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9" s="2">
        <f>LET(id,$A39,code,UPPER(TRIM($D39)),rawStart,$F39,rawEnd,$G39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9" s="2">
        <f>LET(id,$A39,code,UPPER(TRIM($D39)),rawStart,$F39,rawEnd,$G39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9" s="2">
        <f>LET(id,$A39,code,UPPER(TRIM($D39)),rawStart,$F39,rawEnd,$G39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9" s="2">
        <f>LET(id,$A39,code,UPPER(TRIM($D39)),rawStart,$F39,rawEnd,$G39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9" s="2">
        <f>LET(id,$A39,code,UPPER(TRIM($D39)),rawStart,$F39,rawEnd,$G39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9" s="2">
        <f>LET(id,$A39,code,UPPER(TRIM($D39)),rawStart,$F39,rawEnd,$G39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9" s="2">
        <f>LET(id,$A39,code,UPPER(TRIM($D39)),rawStart,$F39,rawEnd,$G39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9" s="2">
        <f>LET(id,$A39,code,UPPER(TRIM($D39)),rawStart,$F39,rawEnd,$G39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9" s="2">
        <f>LET(id,$A39,code,UPPER(TRIM($D39)),rawStart,$F39,rawEnd,$G39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9" s="2">
        <f>LET(id,$A39,code,UPPER(TRIM($D39)),rawStart,$F39,rawEnd,$G39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9" s="2">
        <f>LET(id,$A39,code,UPPER(TRIM($D39)),rawStart,$F39,rawEnd,$G39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9" s="2">
        <f>LET(id,$A39,code,UPPER(TRIM($D39)),rawStart,$F39,rawEnd,$G39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9" s="2">
        <f>LET(id,$A39,code,UPPER(TRIM($D39)),rawStart,$F39,rawEnd,$G39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9" s="2">
        <f>LET(id,$A39,code,UPPER(TRIM($D39)),rawStart,$F39,rawEnd,$G39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9" s="2">
        <f>LET(id,$A39,code,UPPER(TRIM($D39)),rawStart,$F39,rawEnd,$G39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9" s="2">
        <f>LET(id,$A39,code,UPPER(TRIM($D39)),rawStart,$F39,rawEnd,$G39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9" s="2">
        <f>LET(id,$A39,code,UPPER(TRIM($D39)),rawStart,$F39,rawEnd,$G39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9" s="2">
        <f>LET(id,$A39,code,UPPER(TRIM($D39)),rawStart,$F39,rawEnd,$G39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9" s="2">
        <f>LET(id,$A39,code,UPPER(TRIM($D39)),rawStart,$F39,rawEnd,$G39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9" s="2">
        <f>LET(id,$A39,code,UPPER(TRIM($D39)),rawStart,$F39,rawEnd,$G39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9" s="2">
        <f>LET(id,$A39,code,UPPER(TRIM($D39)),rawStart,$F39,rawEnd,$G39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9" s="2">
        <f>LET(id,$A39,code,UPPER(TRIM($D39)),rawStart,$F39,rawEnd,$G39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9" s="2">
        <f>LET(id,$A39,code,UPPER(TRIM($D39)),rawStart,$F39,rawEnd,$G39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9" s="2">
        <f>LET(id,$A39,code,UPPER(TRIM($D39)),rawStart,$F39,rawEnd,$G39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9" s="2">
        <f>LET(id,$A39,code,UPPER(TRIM($D39)),rawStart,$F39,rawEnd,$G39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39" s="2">
        <f>Calc_Engine!BD39</f>
        <v/>
      </c>
    </row>
    <row r="40">
      <c r="A40" s="2">
        <f>Calc_Engine!A40</f>
        <v/>
      </c>
      <c r="B40" s="2">
        <f>Calc_Engine!B40</f>
        <v/>
      </c>
      <c r="C40" s="2">
        <f>Calc_Engine!C40</f>
        <v/>
      </c>
      <c r="D40" s="2">
        <f>Calc_Engine!D40</f>
        <v/>
      </c>
      <c r="E40" s="4">
        <f>Calc_Engine!E40</f>
        <v/>
      </c>
      <c r="F40" s="5">
        <f>Calc_Engine!F40</f>
        <v/>
      </c>
      <c r="G40" s="5">
        <f>Calc_Engine!G40</f>
        <v/>
      </c>
      <c r="H40" s="2">
        <f>LET(id,$A40,code,UPPER(TRIM($D40)),rawStart,$F40,rawEnd,$G40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0" s="2">
        <f>LET(id,$A40,code,UPPER(TRIM($D40)),rawStart,$F40,rawEnd,$G40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0" s="2">
        <f>LET(id,$A40,code,UPPER(TRIM($D40)),rawStart,$F40,rawEnd,$G40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0" s="2">
        <f>LET(id,$A40,code,UPPER(TRIM($D40)),rawStart,$F40,rawEnd,$G40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0" s="2">
        <f>LET(id,$A40,code,UPPER(TRIM($D40)),rawStart,$F40,rawEnd,$G40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0" s="2">
        <f>LET(id,$A40,code,UPPER(TRIM($D40)),rawStart,$F40,rawEnd,$G40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0" s="2">
        <f>LET(id,$A40,code,UPPER(TRIM($D40)),rawStart,$F40,rawEnd,$G40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0" s="2">
        <f>LET(id,$A40,code,UPPER(TRIM($D40)),rawStart,$F40,rawEnd,$G40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0" s="2">
        <f>LET(id,$A40,code,UPPER(TRIM($D40)),rawStart,$F40,rawEnd,$G40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0" s="2">
        <f>LET(id,$A40,code,UPPER(TRIM($D40)),rawStart,$F40,rawEnd,$G40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0" s="2">
        <f>LET(id,$A40,code,UPPER(TRIM($D40)),rawStart,$F40,rawEnd,$G40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0" s="2">
        <f>LET(id,$A40,code,UPPER(TRIM($D40)),rawStart,$F40,rawEnd,$G40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0" s="2">
        <f>LET(id,$A40,code,UPPER(TRIM($D40)),rawStart,$F40,rawEnd,$G40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0" s="2">
        <f>LET(id,$A40,code,UPPER(TRIM($D40)),rawStart,$F40,rawEnd,$G40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0" s="2">
        <f>LET(id,$A40,code,UPPER(TRIM($D40)),rawStart,$F40,rawEnd,$G40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0" s="2">
        <f>LET(id,$A40,code,UPPER(TRIM($D40)),rawStart,$F40,rawEnd,$G40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0" s="2">
        <f>LET(id,$A40,code,UPPER(TRIM($D40)),rawStart,$F40,rawEnd,$G40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0" s="2">
        <f>LET(id,$A40,code,UPPER(TRIM($D40)),rawStart,$F40,rawEnd,$G40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0" s="2">
        <f>LET(id,$A40,code,UPPER(TRIM($D40)),rawStart,$F40,rawEnd,$G40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0" s="2">
        <f>LET(id,$A40,code,UPPER(TRIM($D40)),rawStart,$F40,rawEnd,$G40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0" s="2">
        <f>LET(id,$A40,code,UPPER(TRIM($D40)),rawStart,$F40,rawEnd,$G40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0" s="2">
        <f>LET(id,$A40,code,UPPER(TRIM($D40)),rawStart,$F40,rawEnd,$G40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0" s="2">
        <f>LET(id,$A40,code,UPPER(TRIM($D40)),rawStart,$F40,rawEnd,$G40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0" s="2">
        <f>LET(id,$A40,code,UPPER(TRIM($D40)),rawStart,$F40,rawEnd,$G40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0" s="2">
        <f>LET(id,$A40,code,UPPER(TRIM($D40)),rawStart,$F40,rawEnd,$G40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0" s="2">
        <f>LET(id,$A40,code,UPPER(TRIM($D40)),rawStart,$F40,rawEnd,$G40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0" s="2">
        <f>LET(id,$A40,code,UPPER(TRIM($D40)),rawStart,$F40,rawEnd,$G40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0" s="2">
        <f>LET(id,$A40,code,UPPER(TRIM($D40)),rawStart,$F40,rawEnd,$G40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0" s="2">
        <f>LET(id,$A40,code,UPPER(TRIM($D40)),rawStart,$F40,rawEnd,$G40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0" s="2">
        <f>LET(id,$A40,code,UPPER(TRIM($D40)),rawStart,$F40,rawEnd,$G40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0" s="2">
        <f>LET(id,$A40,code,UPPER(TRIM($D40)),rawStart,$F40,rawEnd,$G40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0" s="2">
        <f>LET(id,$A40,code,UPPER(TRIM($D40)),rawStart,$F40,rawEnd,$G40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0" s="2">
        <f>LET(id,$A40,code,UPPER(TRIM($D40)),rawStart,$F40,rawEnd,$G40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0" s="2">
        <f>LET(id,$A40,code,UPPER(TRIM($D40)),rawStart,$F40,rawEnd,$G40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0" s="2">
        <f>LET(id,$A40,code,UPPER(TRIM($D40)),rawStart,$F40,rawEnd,$G40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0" s="2">
        <f>LET(id,$A40,code,UPPER(TRIM($D40)),rawStart,$F40,rawEnd,$G40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0" s="2">
        <f>LET(id,$A40,code,UPPER(TRIM($D40)),rawStart,$F40,rawEnd,$G40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0" s="2">
        <f>LET(id,$A40,code,UPPER(TRIM($D40)),rawStart,$F40,rawEnd,$G40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0" s="2">
        <f>LET(id,$A40,code,UPPER(TRIM($D40)),rawStart,$F40,rawEnd,$G40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0" s="2">
        <f>LET(id,$A40,code,UPPER(TRIM($D40)),rawStart,$F40,rawEnd,$G40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0" s="2">
        <f>LET(id,$A40,code,UPPER(TRIM($D40)),rawStart,$F40,rawEnd,$G40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0" s="2">
        <f>LET(id,$A40,code,UPPER(TRIM($D40)),rawStart,$F40,rawEnd,$G40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0" s="2">
        <f>LET(id,$A40,code,UPPER(TRIM($D40)),rawStart,$F40,rawEnd,$G40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0" s="2">
        <f>LET(id,$A40,code,UPPER(TRIM($D40)),rawStart,$F40,rawEnd,$G40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0" s="2">
        <f>LET(id,$A40,code,UPPER(TRIM($D40)),rawStart,$F40,rawEnd,$G40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0" s="2">
        <f>LET(id,$A40,code,UPPER(TRIM($D40)),rawStart,$F40,rawEnd,$G40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0" s="2">
        <f>LET(id,$A40,code,UPPER(TRIM($D40)),rawStart,$F40,rawEnd,$G40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0" s="2">
        <f>LET(id,$A40,code,UPPER(TRIM($D40)),rawStart,$F40,rawEnd,$G40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40" s="2">
        <f>Calc_Engine!BD40</f>
        <v/>
      </c>
    </row>
    <row r="41">
      <c r="A41" s="2">
        <f>Calc_Engine!A41</f>
        <v/>
      </c>
      <c r="B41" s="2">
        <f>Calc_Engine!B41</f>
        <v/>
      </c>
      <c r="C41" s="2">
        <f>Calc_Engine!C41</f>
        <v/>
      </c>
      <c r="D41" s="2">
        <f>Calc_Engine!D41</f>
        <v/>
      </c>
      <c r="E41" s="4">
        <f>Calc_Engine!E41</f>
        <v/>
      </c>
      <c r="F41" s="5">
        <f>Calc_Engine!F41</f>
        <v/>
      </c>
      <c r="G41" s="5">
        <f>Calc_Engine!G41</f>
        <v/>
      </c>
      <c r="H41" s="2">
        <f>LET(id,$A41,code,UPPER(TRIM($D41)),rawStart,$F41,rawEnd,$G41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1" s="2">
        <f>LET(id,$A41,code,UPPER(TRIM($D41)),rawStart,$F41,rawEnd,$G41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1" s="2">
        <f>LET(id,$A41,code,UPPER(TRIM($D41)),rawStart,$F41,rawEnd,$G41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1" s="2">
        <f>LET(id,$A41,code,UPPER(TRIM($D41)),rawStart,$F41,rawEnd,$G41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1" s="2">
        <f>LET(id,$A41,code,UPPER(TRIM($D41)),rawStart,$F41,rawEnd,$G41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1" s="2">
        <f>LET(id,$A41,code,UPPER(TRIM($D41)),rawStart,$F41,rawEnd,$G41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1" s="2">
        <f>LET(id,$A41,code,UPPER(TRIM($D41)),rawStart,$F41,rawEnd,$G41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1" s="2">
        <f>LET(id,$A41,code,UPPER(TRIM($D41)),rawStart,$F41,rawEnd,$G41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1" s="2">
        <f>LET(id,$A41,code,UPPER(TRIM($D41)),rawStart,$F41,rawEnd,$G41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1" s="2">
        <f>LET(id,$A41,code,UPPER(TRIM($D41)),rawStart,$F41,rawEnd,$G41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1" s="2">
        <f>LET(id,$A41,code,UPPER(TRIM($D41)),rawStart,$F41,rawEnd,$G41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1" s="2">
        <f>LET(id,$A41,code,UPPER(TRIM($D41)),rawStart,$F41,rawEnd,$G41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1" s="2">
        <f>LET(id,$A41,code,UPPER(TRIM($D41)),rawStart,$F41,rawEnd,$G41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1" s="2">
        <f>LET(id,$A41,code,UPPER(TRIM($D41)),rawStart,$F41,rawEnd,$G41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1" s="2">
        <f>LET(id,$A41,code,UPPER(TRIM($D41)),rawStart,$F41,rawEnd,$G41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1" s="2">
        <f>LET(id,$A41,code,UPPER(TRIM($D41)),rawStart,$F41,rawEnd,$G41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1" s="2">
        <f>LET(id,$A41,code,UPPER(TRIM($D41)),rawStart,$F41,rawEnd,$G41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1" s="2">
        <f>LET(id,$A41,code,UPPER(TRIM($D41)),rawStart,$F41,rawEnd,$G41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1" s="2">
        <f>LET(id,$A41,code,UPPER(TRIM($D41)),rawStart,$F41,rawEnd,$G41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1" s="2">
        <f>LET(id,$A41,code,UPPER(TRIM($D41)),rawStart,$F41,rawEnd,$G41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1" s="2">
        <f>LET(id,$A41,code,UPPER(TRIM($D41)),rawStart,$F41,rawEnd,$G41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1" s="2">
        <f>LET(id,$A41,code,UPPER(TRIM($D41)),rawStart,$F41,rawEnd,$G41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1" s="2">
        <f>LET(id,$A41,code,UPPER(TRIM($D41)),rawStart,$F41,rawEnd,$G41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1" s="2">
        <f>LET(id,$A41,code,UPPER(TRIM($D41)),rawStart,$F41,rawEnd,$G41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1" s="2">
        <f>LET(id,$A41,code,UPPER(TRIM($D41)),rawStart,$F41,rawEnd,$G41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1" s="2">
        <f>LET(id,$A41,code,UPPER(TRIM($D41)),rawStart,$F41,rawEnd,$G41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1" s="2">
        <f>LET(id,$A41,code,UPPER(TRIM($D41)),rawStart,$F41,rawEnd,$G41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1" s="2">
        <f>LET(id,$A41,code,UPPER(TRIM($D41)),rawStart,$F41,rawEnd,$G41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1" s="2">
        <f>LET(id,$A41,code,UPPER(TRIM($D41)),rawStart,$F41,rawEnd,$G41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1" s="2">
        <f>LET(id,$A41,code,UPPER(TRIM($D41)),rawStart,$F41,rawEnd,$G41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1" s="2">
        <f>LET(id,$A41,code,UPPER(TRIM($D41)),rawStart,$F41,rawEnd,$G41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1" s="2">
        <f>LET(id,$A41,code,UPPER(TRIM($D41)),rawStart,$F41,rawEnd,$G41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1" s="2">
        <f>LET(id,$A41,code,UPPER(TRIM($D41)),rawStart,$F41,rawEnd,$G41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1" s="2">
        <f>LET(id,$A41,code,UPPER(TRIM($D41)),rawStart,$F41,rawEnd,$G41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1" s="2">
        <f>LET(id,$A41,code,UPPER(TRIM($D41)),rawStart,$F41,rawEnd,$G41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1" s="2">
        <f>LET(id,$A41,code,UPPER(TRIM($D41)),rawStart,$F41,rawEnd,$G41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1" s="2">
        <f>LET(id,$A41,code,UPPER(TRIM($D41)),rawStart,$F41,rawEnd,$G41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1" s="2">
        <f>LET(id,$A41,code,UPPER(TRIM($D41)),rawStart,$F41,rawEnd,$G41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1" s="2">
        <f>LET(id,$A41,code,UPPER(TRIM($D41)),rawStart,$F41,rawEnd,$G41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1" s="2">
        <f>LET(id,$A41,code,UPPER(TRIM($D41)),rawStart,$F41,rawEnd,$G41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1" s="2">
        <f>LET(id,$A41,code,UPPER(TRIM($D41)),rawStart,$F41,rawEnd,$G41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1" s="2">
        <f>LET(id,$A41,code,UPPER(TRIM($D41)),rawStart,$F41,rawEnd,$G41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1" s="2">
        <f>LET(id,$A41,code,UPPER(TRIM($D41)),rawStart,$F41,rawEnd,$G41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1" s="2">
        <f>LET(id,$A41,code,UPPER(TRIM($D41)),rawStart,$F41,rawEnd,$G41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1" s="2">
        <f>LET(id,$A41,code,UPPER(TRIM($D41)),rawStart,$F41,rawEnd,$G41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1" s="2">
        <f>LET(id,$A41,code,UPPER(TRIM($D41)),rawStart,$F41,rawEnd,$G41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1" s="2">
        <f>LET(id,$A41,code,UPPER(TRIM($D41)),rawStart,$F41,rawEnd,$G41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1" s="2">
        <f>LET(id,$A41,code,UPPER(TRIM($D41)),rawStart,$F41,rawEnd,$G41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41" s="2">
        <f>Calc_Engine!BD41</f>
        <v/>
      </c>
    </row>
    <row r="42">
      <c r="A42" s="2">
        <f>Calc_Engine!A42</f>
        <v/>
      </c>
      <c r="B42" s="2">
        <f>Calc_Engine!B42</f>
        <v/>
      </c>
      <c r="C42" s="2">
        <f>Calc_Engine!C42</f>
        <v/>
      </c>
      <c r="D42" s="2">
        <f>Calc_Engine!D42</f>
        <v/>
      </c>
      <c r="E42" s="4">
        <f>Calc_Engine!E42</f>
        <v/>
      </c>
      <c r="F42" s="5">
        <f>Calc_Engine!F42</f>
        <v/>
      </c>
      <c r="G42" s="5">
        <f>Calc_Engine!G42</f>
        <v/>
      </c>
      <c r="H42" s="2">
        <f>LET(id,$A42,code,UPPER(TRIM($D42)),rawStart,$F42,rawEnd,$G42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2" s="2">
        <f>LET(id,$A42,code,UPPER(TRIM($D42)),rawStart,$F42,rawEnd,$G42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2" s="2">
        <f>LET(id,$A42,code,UPPER(TRIM($D42)),rawStart,$F42,rawEnd,$G42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2" s="2">
        <f>LET(id,$A42,code,UPPER(TRIM($D42)),rawStart,$F42,rawEnd,$G42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2" s="2">
        <f>LET(id,$A42,code,UPPER(TRIM($D42)),rawStart,$F42,rawEnd,$G42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2" s="2">
        <f>LET(id,$A42,code,UPPER(TRIM($D42)),rawStart,$F42,rawEnd,$G42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2" s="2">
        <f>LET(id,$A42,code,UPPER(TRIM($D42)),rawStart,$F42,rawEnd,$G42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2" s="2">
        <f>LET(id,$A42,code,UPPER(TRIM($D42)),rawStart,$F42,rawEnd,$G42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2" s="2">
        <f>LET(id,$A42,code,UPPER(TRIM($D42)),rawStart,$F42,rawEnd,$G42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2" s="2">
        <f>LET(id,$A42,code,UPPER(TRIM($D42)),rawStart,$F42,rawEnd,$G42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2" s="2">
        <f>LET(id,$A42,code,UPPER(TRIM($D42)),rawStart,$F42,rawEnd,$G42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2" s="2">
        <f>LET(id,$A42,code,UPPER(TRIM($D42)),rawStart,$F42,rawEnd,$G42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2" s="2">
        <f>LET(id,$A42,code,UPPER(TRIM($D42)),rawStart,$F42,rawEnd,$G42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2" s="2">
        <f>LET(id,$A42,code,UPPER(TRIM($D42)),rawStart,$F42,rawEnd,$G42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2" s="2">
        <f>LET(id,$A42,code,UPPER(TRIM($D42)),rawStart,$F42,rawEnd,$G42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2" s="2">
        <f>LET(id,$A42,code,UPPER(TRIM($D42)),rawStart,$F42,rawEnd,$G42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2" s="2">
        <f>LET(id,$A42,code,UPPER(TRIM($D42)),rawStart,$F42,rawEnd,$G42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2" s="2">
        <f>LET(id,$A42,code,UPPER(TRIM($D42)),rawStart,$F42,rawEnd,$G42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2" s="2">
        <f>LET(id,$A42,code,UPPER(TRIM($D42)),rawStart,$F42,rawEnd,$G42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2" s="2">
        <f>LET(id,$A42,code,UPPER(TRIM($D42)),rawStart,$F42,rawEnd,$G42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2" s="2">
        <f>LET(id,$A42,code,UPPER(TRIM($D42)),rawStart,$F42,rawEnd,$G42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2" s="2">
        <f>LET(id,$A42,code,UPPER(TRIM($D42)),rawStart,$F42,rawEnd,$G42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2" s="2">
        <f>LET(id,$A42,code,UPPER(TRIM($D42)),rawStart,$F42,rawEnd,$G42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2" s="2">
        <f>LET(id,$A42,code,UPPER(TRIM($D42)),rawStart,$F42,rawEnd,$G42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2" s="2">
        <f>LET(id,$A42,code,UPPER(TRIM($D42)),rawStart,$F42,rawEnd,$G42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2" s="2">
        <f>LET(id,$A42,code,UPPER(TRIM($D42)),rawStart,$F42,rawEnd,$G42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2" s="2">
        <f>LET(id,$A42,code,UPPER(TRIM($D42)),rawStart,$F42,rawEnd,$G42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2" s="2">
        <f>LET(id,$A42,code,UPPER(TRIM($D42)),rawStart,$F42,rawEnd,$G42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2" s="2">
        <f>LET(id,$A42,code,UPPER(TRIM($D42)),rawStart,$F42,rawEnd,$G42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2" s="2">
        <f>LET(id,$A42,code,UPPER(TRIM($D42)),rawStart,$F42,rawEnd,$G42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2" s="2">
        <f>LET(id,$A42,code,UPPER(TRIM($D42)),rawStart,$F42,rawEnd,$G42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2" s="2">
        <f>LET(id,$A42,code,UPPER(TRIM($D42)),rawStart,$F42,rawEnd,$G42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2" s="2">
        <f>LET(id,$A42,code,UPPER(TRIM($D42)),rawStart,$F42,rawEnd,$G42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2" s="2">
        <f>LET(id,$A42,code,UPPER(TRIM($D42)),rawStart,$F42,rawEnd,$G42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2" s="2">
        <f>LET(id,$A42,code,UPPER(TRIM($D42)),rawStart,$F42,rawEnd,$G42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2" s="2">
        <f>LET(id,$A42,code,UPPER(TRIM($D42)),rawStart,$F42,rawEnd,$G42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2" s="2">
        <f>LET(id,$A42,code,UPPER(TRIM($D42)),rawStart,$F42,rawEnd,$G42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2" s="2">
        <f>LET(id,$A42,code,UPPER(TRIM($D42)),rawStart,$F42,rawEnd,$G42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2" s="2">
        <f>LET(id,$A42,code,UPPER(TRIM($D42)),rawStart,$F42,rawEnd,$G42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2" s="2">
        <f>LET(id,$A42,code,UPPER(TRIM($D42)),rawStart,$F42,rawEnd,$G42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2" s="2">
        <f>LET(id,$A42,code,UPPER(TRIM($D42)),rawStart,$F42,rawEnd,$G42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2" s="2">
        <f>LET(id,$A42,code,UPPER(TRIM($D42)),rawStart,$F42,rawEnd,$G42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2" s="2">
        <f>LET(id,$A42,code,UPPER(TRIM($D42)),rawStart,$F42,rawEnd,$G42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2" s="2">
        <f>LET(id,$A42,code,UPPER(TRIM($D42)),rawStart,$F42,rawEnd,$G42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2" s="2">
        <f>LET(id,$A42,code,UPPER(TRIM($D42)),rawStart,$F42,rawEnd,$G42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2" s="2">
        <f>LET(id,$A42,code,UPPER(TRIM($D42)),rawStart,$F42,rawEnd,$G42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2" s="2">
        <f>LET(id,$A42,code,UPPER(TRIM($D42)),rawStart,$F42,rawEnd,$G42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2" s="2">
        <f>LET(id,$A42,code,UPPER(TRIM($D42)),rawStart,$F42,rawEnd,$G42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42" s="2">
        <f>Calc_Engine!BD42</f>
        <v/>
      </c>
    </row>
    <row r="43">
      <c r="A43" s="2">
        <f>Calc_Engine!A43</f>
        <v/>
      </c>
      <c r="B43" s="2">
        <f>Calc_Engine!B43</f>
        <v/>
      </c>
      <c r="C43" s="2">
        <f>Calc_Engine!C43</f>
        <v/>
      </c>
      <c r="D43" s="2">
        <f>Calc_Engine!D43</f>
        <v/>
      </c>
      <c r="E43" s="4">
        <f>Calc_Engine!E43</f>
        <v/>
      </c>
      <c r="F43" s="5">
        <f>Calc_Engine!F43</f>
        <v/>
      </c>
      <c r="G43" s="5">
        <f>Calc_Engine!G43</f>
        <v/>
      </c>
      <c r="H43" s="2">
        <f>LET(id,$A43,code,UPPER(TRIM($D43)),rawStart,$F43,rawEnd,$G43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3" s="2">
        <f>LET(id,$A43,code,UPPER(TRIM($D43)),rawStart,$F43,rawEnd,$G43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3" s="2">
        <f>LET(id,$A43,code,UPPER(TRIM($D43)),rawStart,$F43,rawEnd,$G43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3" s="2">
        <f>LET(id,$A43,code,UPPER(TRIM($D43)),rawStart,$F43,rawEnd,$G43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3" s="2">
        <f>LET(id,$A43,code,UPPER(TRIM($D43)),rawStart,$F43,rawEnd,$G43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3" s="2">
        <f>LET(id,$A43,code,UPPER(TRIM($D43)),rawStart,$F43,rawEnd,$G43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3" s="2">
        <f>LET(id,$A43,code,UPPER(TRIM($D43)),rawStart,$F43,rawEnd,$G43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3" s="2">
        <f>LET(id,$A43,code,UPPER(TRIM($D43)),rawStart,$F43,rawEnd,$G43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3" s="2">
        <f>LET(id,$A43,code,UPPER(TRIM($D43)),rawStart,$F43,rawEnd,$G43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3" s="2">
        <f>LET(id,$A43,code,UPPER(TRIM($D43)),rawStart,$F43,rawEnd,$G43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3" s="2">
        <f>LET(id,$A43,code,UPPER(TRIM($D43)),rawStart,$F43,rawEnd,$G43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3" s="2">
        <f>LET(id,$A43,code,UPPER(TRIM($D43)),rawStart,$F43,rawEnd,$G43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3" s="2">
        <f>LET(id,$A43,code,UPPER(TRIM($D43)),rawStart,$F43,rawEnd,$G43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3" s="2">
        <f>LET(id,$A43,code,UPPER(TRIM($D43)),rawStart,$F43,rawEnd,$G43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3" s="2">
        <f>LET(id,$A43,code,UPPER(TRIM($D43)),rawStart,$F43,rawEnd,$G43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3" s="2">
        <f>LET(id,$A43,code,UPPER(TRIM($D43)),rawStart,$F43,rawEnd,$G43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3" s="2">
        <f>LET(id,$A43,code,UPPER(TRIM($D43)),rawStart,$F43,rawEnd,$G43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3" s="2">
        <f>LET(id,$A43,code,UPPER(TRIM($D43)),rawStart,$F43,rawEnd,$G43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3" s="2">
        <f>LET(id,$A43,code,UPPER(TRIM($D43)),rawStart,$F43,rawEnd,$G43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3" s="2">
        <f>LET(id,$A43,code,UPPER(TRIM($D43)),rawStart,$F43,rawEnd,$G43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3" s="2">
        <f>LET(id,$A43,code,UPPER(TRIM($D43)),rawStart,$F43,rawEnd,$G43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3" s="2">
        <f>LET(id,$A43,code,UPPER(TRIM($D43)),rawStart,$F43,rawEnd,$G43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3" s="2">
        <f>LET(id,$A43,code,UPPER(TRIM($D43)),rawStart,$F43,rawEnd,$G43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3" s="2">
        <f>LET(id,$A43,code,UPPER(TRIM($D43)),rawStart,$F43,rawEnd,$G43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3" s="2">
        <f>LET(id,$A43,code,UPPER(TRIM($D43)),rawStart,$F43,rawEnd,$G43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3" s="2">
        <f>LET(id,$A43,code,UPPER(TRIM($D43)),rawStart,$F43,rawEnd,$G43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3" s="2">
        <f>LET(id,$A43,code,UPPER(TRIM($D43)),rawStart,$F43,rawEnd,$G43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3" s="2">
        <f>LET(id,$A43,code,UPPER(TRIM($D43)),rawStart,$F43,rawEnd,$G43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3" s="2">
        <f>LET(id,$A43,code,UPPER(TRIM($D43)),rawStart,$F43,rawEnd,$G43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3" s="2">
        <f>LET(id,$A43,code,UPPER(TRIM($D43)),rawStart,$F43,rawEnd,$G43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3" s="2">
        <f>LET(id,$A43,code,UPPER(TRIM($D43)),rawStart,$F43,rawEnd,$G43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3" s="2">
        <f>LET(id,$A43,code,UPPER(TRIM($D43)),rawStart,$F43,rawEnd,$G43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3" s="2">
        <f>LET(id,$A43,code,UPPER(TRIM($D43)),rawStart,$F43,rawEnd,$G43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3" s="2">
        <f>LET(id,$A43,code,UPPER(TRIM($D43)),rawStart,$F43,rawEnd,$G43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3" s="2">
        <f>LET(id,$A43,code,UPPER(TRIM($D43)),rawStart,$F43,rawEnd,$G43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3" s="2">
        <f>LET(id,$A43,code,UPPER(TRIM($D43)),rawStart,$F43,rawEnd,$G43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3" s="2">
        <f>LET(id,$A43,code,UPPER(TRIM($D43)),rawStart,$F43,rawEnd,$G43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3" s="2">
        <f>LET(id,$A43,code,UPPER(TRIM($D43)),rawStart,$F43,rawEnd,$G43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3" s="2">
        <f>LET(id,$A43,code,UPPER(TRIM($D43)),rawStart,$F43,rawEnd,$G43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3" s="2">
        <f>LET(id,$A43,code,UPPER(TRIM($D43)),rawStart,$F43,rawEnd,$G43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3" s="2">
        <f>LET(id,$A43,code,UPPER(TRIM($D43)),rawStart,$F43,rawEnd,$G43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3" s="2">
        <f>LET(id,$A43,code,UPPER(TRIM($D43)),rawStart,$F43,rawEnd,$G43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3" s="2">
        <f>LET(id,$A43,code,UPPER(TRIM($D43)),rawStart,$F43,rawEnd,$G43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3" s="2">
        <f>LET(id,$A43,code,UPPER(TRIM($D43)),rawStart,$F43,rawEnd,$G43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3" s="2">
        <f>LET(id,$A43,code,UPPER(TRIM($D43)),rawStart,$F43,rawEnd,$G43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3" s="2">
        <f>LET(id,$A43,code,UPPER(TRIM($D43)),rawStart,$F43,rawEnd,$G43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3" s="2">
        <f>LET(id,$A43,code,UPPER(TRIM($D43)),rawStart,$F43,rawEnd,$G43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3" s="2">
        <f>LET(id,$A43,code,UPPER(TRIM($D43)),rawStart,$F43,rawEnd,$G43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43" s="2">
        <f>Calc_Engine!BD43</f>
        <v/>
      </c>
    </row>
    <row r="44">
      <c r="A44" s="2">
        <f>Calc_Engine!A44</f>
        <v/>
      </c>
      <c r="B44" s="2">
        <f>Calc_Engine!B44</f>
        <v/>
      </c>
      <c r="C44" s="2">
        <f>Calc_Engine!C44</f>
        <v/>
      </c>
      <c r="D44" s="2">
        <f>Calc_Engine!D44</f>
        <v/>
      </c>
      <c r="E44" s="4">
        <f>Calc_Engine!E44</f>
        <v/>
      </c>
      <c r="F44" s="5">
        <f>Calc_Engine!F44</f>
        <v/>
      </c>
      <c r="G44" s="5">
        <f>Calc_Engine!G44</f>
        <v/>
      </c>
      <c r="H44" s="2">
        <f>LET(id,$A44,code,UPPER(TRIM($D44)),rawStart,$F44,rawEnd,$G44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4" s="2">
        <f>LET(id,$A44,code,UPPER(TRIM($D44)),rawStart,$F44,rawEnd,$G44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4" s="2">
        <f>LET(id,$A44,code,UPPER(TRIM($D44)),rawStart,$F44,rawEnd,$G44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4" s="2">
        <f>LET(id,$A44,code,UPPER(TRIM($D44)),rawStart,$F44,rawEnd,$G44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4" s="2">
        <f>LET(id,$A44,code,UPPER(TRIM($D44)),rawStart,$F44,rawEnd,$G44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4" s="2">
        <f>LET(id,$A44,code,UPPER(TRIM($D44)),rawStart,$F44,rawEnd,$G44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4" s="2">
        <f>LET(id,$A44,code,UPPER(TRIM($D44)),rawStart,$F44,rawEnd,$G44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4" s="2">
        <f>LET(id,$A44,code,UPPER(TRIM($D44)),rawStart,$F44,rawEnd,$G44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4" s="2">
        <f>LET(id,$A44,code,UPPER(TRIM($D44)),rawStart,$F44,rawEnd,$G44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4" s="2">
        <f>LET(id,$A44,code,UPPER(TRIM($D44)),rawStart,$F44,rawEnd,$G44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4" s="2">
        <f>LET(id,$A44,code,UPPER(TRIM($D44)),rawStart,$F44,rawEnd,$G44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4" s="2">
        <f>LET(id,$A44,code,UPPER(TRIM($D44)),rawStart,$F44,rawEnd,$G44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4" s="2">
        <f>LET(id,$A44,code,UPPER(TRIM($D44)),rawStart,$F44,rawEnd,$G44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4" s="2">
        <f>LET(id,$A44,code,UPPER(TRIM($D44)),rawStart,$F44,rawEnd,$G44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4" s="2">
        <f>LET(id,$A44,code,UPPER(TRIM($D44)),rawStart,$F44,rawEnd,$G44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4" s="2">
        <f>LET(id,$A44,code,UPPER(TRIM($D44)),rawStart,$F44,rawEnd,$G44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4" s="2">
        <f>LET(id,$A44,code,UPPER(TRIM($D44)),rawStart,$F44,rawEnd,$G44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4" s="2">
        <f>LET(id,$A44,code,UPPER(TRIM($D44)),rawStart,$F44,rawEnd,$G44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4" s="2">
        <f>LET(id,$A44,code,UPPER(TRIM($D44)),rawStart,$F44,rawEnd,$G44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4" s="2">
        <f>LET(id,$A44,code,UPPER(TRIM($D44)),rawStart,$F44,rawEnd,$G44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4" s="2">
        <f>LET(id,$A44,code,UPPER(TRIM($D44)),rawStart,$F44,rawEnd,$G44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4" s="2">
        <f>LET(id,$A44,code,UPPER(TRIM($D44)),rawStart,$F44,rawEnd,$G44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4" s="2">
        <f>LET(id,$A44,code,UPPER(TRIM($D44)),rawStart,$F44,rawEnd,$G44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4" s="2">
        <f>LET(id,$A44,code,UPPER(TRIM($D44)),rawStart,$F44,rawEnd,$G44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4" s="2">
        <f>LET(id,$A44,code,UPPER(TRIM($D44)),rawStart,$F44,rawEnd,$G44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4" s="2">
        <f>LET(id,$A44,code,UPPER(TRIM($D44)),rawStart,$F44,rawEnd,$G44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4" s="2">
        <f>LET(id,$A44,code,UPPER(TRIM($D44)),rawStart,$F44,rawEnd,$G44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4" s="2">
        <f>LET(id,$A44,code,UPPER(TRIM($D44)),rawStart,$F44,rawEnd,$G44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4" s="2">
        <f>LET(id,$A44,code,UPPER(TRIM($D44)),rawStart,$F44,rawEnd,$G44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4" s="2">
        <f>LET(id,$A44,code,UPPER(TRIM($D44)),rawStart,$F44,rawEnd,$G44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4" s="2">
        <f>LET(id,$A44,code,UPPER(TRIM($D44)),rawStart,$F44,rawEnd,$G44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4" s="2">
        <f>LET(id,$A44,code,UPPER(TRIM($D44)),rawStart,$F44,rawEnd,$G44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4" s="2">
        <f>LET(id,$A44,code,UPPER(TRIM($D44)),rawStart,$F44,rawEnd,$G44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4" s="2">
        <f>LET(id,$A44,code,UPPER(TRIM($D44)),rawStart,$F44,rawEnd,$G44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4" s="2">
        <f>LET(id,$A44,code,UPPER(TRIM($D44)),rawStart,$F44,rawEnd,$G44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4" s="2">
        <f>LET(id,$A44,code,UPPER(TRIM($D44)),rawStart,$F44,rawEnd,$G44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4" s="2">
        <f>LET(id,$A44,code,UPPER(TRIM($D44)),rawStart,$F44,rawEnd,$G44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4" s="2">
        <f>LET(id,$A44,code,UPPER(TRIM($D44)),rawStart,$F44,rawEnd,$G44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4" s="2">
        <f>LET(id,$A44,code,UPPER(TRIM($D44)),rawStart,$F44,rawEnd,$G44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4" s="2">
        <f>LET(id,$A44,code,UPPER(TRIM($D44)),rawStart,$F44,rawEnd,$G44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4" s="2">
        <f>LET(id,$A44,code,UPPER(TRIM($D44)),rawStart,$F44,rawEnd,$G44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4" s="2">
        <f>LET(id,$A44,code,UPPER(TRIM($D44)),rawStart,$F44,rawEnd,$G44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4" s="2">
        <f>LET(id,$A44,code,UPPER(TRIM($D44)),rawStart,$F44,rawEnd,$G44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4" s="2">
        <f>LET(id,$A44,code,UPPER(TRIM($D44)),rawStart,$F44,rawEnd,$G44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4" s="2">
        <f>LET(id,$A44,code,UPPER(TRIM($D44)),rawStart,$F44,rawEnd,$G44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4" s="2">
        <f>LET(id,$A44,code,UPPER(TRIM($D44)),rawStart,$F44,rawEnd,$G44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4" s="2">
        <f>LET(id,$A44,code,UPPER(TRIM($D44)),rawStart,$F44,rawEnd,$G44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4" s="2">
        <f>LET(id,$A44,code,UPPER(TRIM($D44)),rawStart,$F44,rawEnd,$G44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44" s="2">
        <f>Calc_Engine!BD44</f>
        <v/>
      </c>
    </row>
    <row r="45">
      <c r="A45" s="2">
        <f>Calc_Engine!A45</f>
        <v/>
      </c>
      <c r="B45" s="2">
        <f>Calc_Engine!B45</f>
        <v/>
      </c>
      <c r="C45" s="2">
        <f>Calc_Engine!C45</f>
        <v/>
      </c>
      <c r="D45" s="2">
        <f>Calc_Engine!D45</f>
        <v/>
      </c>
      <c r="E45" s="4">
        <f>Calc_Engine!E45</f>
        <v/>
      </c>
      <c r="F45" s="5">
        <f>Calc_Engine!F45</f>
        <v/>
      </c>
      <c r="G45" s="5">
        <f>Calc_Engine!G45</f>
        <v/>
      </c>
      <c r="H45" s="2">
        <f>LET(id,$A45,code,UPPER(TRIM($D45)),rawStart,$F45,rawEnd,$G45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5" s="2">
        <f>LET(id,$A45,code,UPPER(TRIM($D45)),rawStart,$F45,rawEnd,$G45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5" s="2">
        <f>LET(id,$A45,code,UPPER(TRIM($D45)),rawStart,$F45,rawEnd,$G45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5" s="2">
        <f>LET(id,$A45,code,UPPER(TRIM($D45)),rawStart,$F45,rawEnd,$G45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5" s="2">
        <f>LET(id,$A45,code,UPPER(TRIM($D45)),rawStart,$F45,rawEnd,$G45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5" s="2">
        <f>LET(id,$A45,code,UPPER(TRIM($D45)),rawStart,$F45,rawEnd,$G45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5" s="2">
        <f>LET(id,$A45,code,UPPER(TRIM($D45)),rawStart,$F45,rawEnd,$G45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5" s="2">
        <f>LET(id,$A45,code,UPPER(TRIM($D45)),rawStart,$F45,rawEnd,$G45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5" s="2">
        <f>LET(id,$A45,code,UPPER(TRIM($D45)),rawStart,$F45,rawEnd,$G45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5" s="2">
        <f>LET(id,$A45,code,UPPER(TRIM($D45)),rawStart,$F45,rawEnd,$G45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5" s="2">
        <f>LET(id,$A45,code,UPPER(TRIM($D45)),rawStart,$F45,rawEnd,$G45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5" s="2">
        <f>LET(id,$A45,code,UPPER(TRIM($D45)),rawStart,$F45,rawEnd,$G45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5" s="2">
        <f>LET(id,$A45,code,UPPER(TRIM($D45)),rawStart,$F45,rawEnd,$G45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5" s="2">
        <f>LET(id,$A45,code,UPPER(TRIM($D45)),rawStart,$F45,rawEnd,$G45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5" s="2">
        <f>LET(id,$A45,code,UPPER(TRIM($D45)),rawStart,$F45,rawEnd,$G45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5" s="2">
        <f>LET(id,$A45,code,UPPER(TRIM($D45)),rawStart,$F45,rawEnd,$G45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5" s="2">
        <f>LET(id,$A45,code,UPPER(TRIM($D45)),rawStart,$F45,rawEnd,$G45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5" s="2">
        <f>LET(id,$A45,code,UPPER(TRIM($D45)),rawStart,$F45,rawEnd,$G45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5" s="2">
        <f>LET(id,$A45,code,UPPER(TRIM($D45)),rawStart,$F45,rawEnd,$G45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5" s="2">
        <f>LET(id,$A45,code,UPPER(TRIM($D45)),rawStart,$F45,rawEnd,$G45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5" s="2">
        <f>LET(id,$A45,code,UPPER(TRIM($D45)),rawStart,$F45,rawEnd,$G45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5" s="2">
        <f>LET(id,$A45,code,UPPER(TRIM($D45)),rawStart,$F45,rawEnd,$G45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5" s="2">
        <f>LET(id,$A45,code,UPPER(TRIM($D45)),rawStart,$F45,rawEnd,$G45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5" s="2">
        <f>LET(id,$A45,code,UPPER(TRIM($D45)),rawStart,$F45,rawEnd,$G45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5" s="2">
        <f>LET(id,$A45,code,UPPER(TRIM($D45)),rawStart,$F45,rawEnd,$G45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5" s="2">
        <f>LET(id,$A45,code,UPPER(TRIM($D45)),rawStart,$F45,rawEnd,$G45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5" s="2">
        <f>LET(id,$A45,code,UPPER(TRIM($D45)),rawStart,$F45,rawEnd,$G45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5" s="2">
        <f>LET(id,$A45,code,UPPER(TRIM($D45)),rawStart,$F45,rawEnd,$G45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5" s="2">
        <f>LET(id,$A45,code,UPPER(TRIM($D45)),rawStart,$F45,rawEnd,$G45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5" s="2">
        <f>LET(id,$A45,code,UPPER(TRIM($D45)),rawStart,$F45,rawEnd,$G45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5" s="2">
        <f>LET(id,$A45,code,UPPER(TRIM($D45)),rawStart,$F45,rawEnd,$G45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5" s="2">
        <f>LET(id,$A45,code,UPPER(TRIM($D45)),rawStart,$F45,rawEnd,$G45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5" s="2">
        <f>LET(id,$A45,code,UPPER(TRIM($D45)),rawStart,$F45,rawEnd,$G45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5" s="2">
        <f>LET(id,$A45,code,UPPER(TRIM($D45)),rawStart,$F45,rawEnd,$G45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5" s="2">
        <f>LET(id,$A45,code,UPPER(TRIM($D45)),rawStart,$F45,rawEnd,$G45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5" s="2">
        <f>LET(id,$A45,code,UPPER(TRIM($D45)),rawStart,$F45,rawEnd,$G45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5" s="2">
        <f>LET(id,$A45,code,UPPER(TRIM($D45)),rawStart,$F45,rawEnd,$G45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5" s="2">
        <f>LET(id,$A45,code,UPPER(TRIM($D45)),rawStart,$F45,rawEnd,$G45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5" s="2">
        <f>LET(id,$A45,code,UPPER(TRIM($D45)),rawStart,$F45,rawEnd,$G45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5" s="2">
        <f>LET(id,$A45,code,UPPER(TRIM($D45)),rawStart,$F45,rawEnd,$G45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5" s="2">
        <f>LET(id,$A45,code,UPPER(TRIM($D45)),rawStart,$F45,rawEnd,$G45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5" s="2">
        <f>LET(id,$A45,code,UPPER(TRIM($D45)),rawStart,$F45,rawEnd,$G45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5" s="2">
        <f>LET(id,$A45,code,UPPER(TRIM($D45)),rawStart,$F45,rawEnd,$G45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5" s="2">
        <f>LET(id,$A45,code,UPPER(TRIM($D45)),rawStart,$F45,rawEnd,$G45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5" s="2">
        <f>LET(id,$A45,code,UPPER(TRIM($D45)),rawStart,$F45,rawEnd,$G45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5" s="2">
        <f>LET(id,$A45,code,UPPER(TRIM($D45)),rawStart,$F45,rawEnd,$G45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5" s="2">
        <f>LET(id,$A45,code,UPPER(TRIM($D45)),rawStart,$F45,rawEnd,$G45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5" s="2">
        <f>LET(id,$A45,code,UPPER(TRIM($D45)),rawStart,$F45,rawEnd,$G45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45" s="2">
        <f>Calc_Engine!BD45</f>
        <v/>
      </c>
    </row>
    <row r="46">
      <c r="A46" s="2">
        <f>Calc_Engine!A46</f>
        <v/>
      </c>
      <c r="B46" s="2">
        <f>Calc_Engine!B46</f>
        <v/>
      </c>
      <c r="C46" s="2">
        <f>Calc_Engine!C46</f>
        <v/>
      </c>
      <c r="D46" s="2">
        <f>Calc_Engine!D46</f>
        <v/>
      </c>
      <c r="E46" s="4">
        <f>Calc_Engine!E46</f>
        <v/>
      </c>
      <c r="F46" s="5">
        <f>Calc_Engine!F46</f>
        <v/>
      </c>
      <c r="G46" s="5">
        <f>Calc_Engine!G46</f>
        <v/>
      </c>
      <c r="H46" s="2">
        <f>LET(id,$A46,code,UPPER(TRIM($D46)),rawStart,$F46,rawEnd,$G46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6" s="2">
        <f>LET(id,$A46,code,UPPER(TRIM($D46)),rawStart,$F46,rawEnd,$G46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6" s="2">
        <f>LET(id,$A46,code,UPPER(TRIM($D46)),rawStart,$F46,rawEnd,$G46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6" s="2">
        <f>LET(id,$A46,code,UPPER(TRIM($D46)),rawStart,$F46,rawEnd,$G46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6" s="2">
        <f>LET(id,$A46,code,UPPER(TRIM($D46)),rawStart,$F46,rawEnd,$G46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6" s="2">
        <f>LET(id,$A46,code,UPPER(TRIM($D46)),rawStart,$F46,rawEnd,$G46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6" s="2">
        <f>LET(id,$A46,code,UPPER(TRIM($D46)),rawStart,$F46,rawEnd,$G46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6" s="2">
        <f>LET(id,$A46,code,UPPER(TRIM($D46)),rawStart,$F46,rawEnd,$G46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6" s="2">
        <f>LET(id,$A46,code,UPPER(TRIM($D46)),rawStart,$F46,rawEnd,$G46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6" s="2">
        <f>LET(id,$A46,code,UPPER(TRIM($D46)),rawStart,$F46,rawEnd,$G46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6" s="2">
        <f>LET(id,$A46,code,UPPER(TRIM($D46)),rawStart,$F46,rawEnd,$G46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6" s="2">
        <f>LET(id,$A46,code,UPPER(TRIM($D46)),rawStart,$F46,rawEnd,$G46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6" s="2">
        <f>LET(id,$A46,code,UPPER(TRIM($D46)),rawStart,$F46,rawEnd,$G46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6" s="2">
        <f>LET(id,$A46,code,UPPER(TRIM($D46)),rawStart,$F46,rawEnd,$G46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6" s="2">
        <f>LET(id,$A46,code,UPPER(TRIM($D46)),rawStart,$F46,rawEnd,$G46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6" s="2">
        <f>LET(id,$A46,code,UPPER(TRIM($D46)),rawStart,$F46,rawEnd,$G46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6" s="2">
        <f>LET(id,$A46,code,UPPER(TRIM($D46)),rawStart,$F46,rawEnd,$G46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6" s="2">
        <f>LET(id,$A46,code,UPPER(TRIM($D46)),rawStart,$F46,rawEnd,$G46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6" s="2">
        <f>LET(id,$A46,code,UPPER(TRIM($D46)),rawStart,$F46,rawEnd,$G46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6" s="2">
        <f>LET(id,$A46,code,UPPER(TRIM($D46)),rawStart,$F46,rawEnd,$G46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6" s="2">
        <f>LET(id,$A46,code,UPPER(TRIM($D46)),rawStart,$F46,rawEnd,$G46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6" s="2">
        <f>LET(id,$A46,code,UPPER(TRIM($D46)),rawStart,$F46,rawEnd,$G46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6" s="2">
        <f>LET(id,$A46,code,UPPER(TRIM($D46)),rawStart,$F46,rawEnd,$G46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6" s="2">
        <f>LET(id,$A46,code,UPPER(TRIM($D46)),rawStart,$F46,rawEnd,$G46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6" s="2">
        <f>LET(id,$A46,code,UPPER(TRIM($D46)),rawStart,$F46,rawEnd,$G46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6" s="2">
        <f>LET(id,$A46,code,UPPER(TRIM($D46)),rawStart,$F46,rawEnd,$G46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6" s="2">
        <f>LET(id,$A46,code,UPPER(TRIM($D46)),rawStart,$F46,rawEnd,$G46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6" s="2">
        <f>LET(id,$A46,code,UPPER(TRIM($D46)),rawStart,$F46,rawEnd,$G46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6" s="2">
        <f>LET(id,$A46,code,UPPER(TRIM($D46)),rawStart,$F46,rawEnd,$G46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6" s="2">
        <f>LET(id,$A46,code,UPPER(TRIM($D46)),rawStart,$F46,rawEnd,$G46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6" s="2">
        <f>LET(id,$A46,code,UPPER(TRIM($D46)),rawStart,$F46,rawEnd,$G46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6" s="2">
        <f>LET(id,$A46,code,UPPER(TRIM($D46)),rawStart,$F46,rawEnd,$G46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6" s="2">
        <f>LET(id,$A46,code,UPPER(TRIM($D46)),rawStart,$F46,rawEnd,$G46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6" s="2">
        <f>LET(id,$A46,code,UPPER(TRIM($D46)),rawStart,$F46,rawEnd,$G46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6" s="2">
        <f>LET(id,$A46,code,UPPER(TRIM($D46)),rawStart,$F46,rawEnd,$G46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6" s="2">
        <f>LET(id,$A46,code,UPPER(TRIM($D46)),rawStart,$F46,rawEnd,$G46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6" s="2">
        <f>LET(id,$A46,code,UPPER(TRIM($D46)),rawStart,$F46,rawEnd,$G46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6" s="2">
        <f>LET(id,$A46,code,UPPER(TRIM($D46)),rawStart,$F46,rawEnd,$G46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6" s="2">
        <f>LET(id,$A46,code,UPPER(TRIM($D46)),rawStart,$F46,rawEnd,$G46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6" s="2">
        <f>LET(id,$A46,code,UPPER(TRIM($D46)),rawStart,$F46,rawEnd,$G46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6" s="2">
        <f>LET(id,$A46,code,UPPER(TRIM($D46)),rawStart,$F46,rawEnd,$G46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6" s="2">
        <f>LET(id,$A46,code,UPPER(TRIM($D46)),rawStart,$F46,rawEnd,$G46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6" s="2">
        <f>LET(id,$A46,code,UPPER(TRIM($D46)),rawStart,$F46,rawEnd,$G46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6" s="2">
        <f>LET(id,$A46,code,UPPER(TRIM($D46)),rawStart,$F46,rawEnd,$G46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6" s="2">
        <f>LET(id,$A46,code,UPPER(TRIM($D46)),rawStart,$F46,rawEnd,$G46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6" s="2">
        <f>LET(id,$A46,code,UPPER(TRIM($D46)),rawStart,$F46,rawEnd,$G46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6" s="2">
        <f>LET(id,$A46,code,UPPER(TRIM($D46)),rawStart,$F46,rawEnd,$G46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6" s="2">
        <f>LET(id,$A46,code,UPPER(TRIM($D46)),rawStart,$F46,rawEnd,$G46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46" s="2">
        <f>Calc_Engine!BD46</f>
        <v/>
      </c>
    </row>
    <row r="47">
      <c r="A47" s="2">
        <f>Calc_Engine!A47</f>
        <v/>
      </c>
      <c r="B47" s="2">
        <f>Calc_Engine!B47</f>
        <v/>
      </c>
      <c r="C47" s="2">
        <f>Calc_Engine!C47</f>
        <v/>
      </c>
      <c r="D47" s="2">
        <f>Calc_Engine!D47</f>
        <v/>
      </c>
      <c r="E47" s="4">
        <f>Calc_Engine!E47</f>
        <v/>
      </c>
      <c r="F47" s="5">
        <f>Calc_Engine!F47</f>
        <v/>
      </c>
      <c r="G47" s="5">
        <f>Calc_Engine!G47</f>
        <v/>
      </c>
      <c r="H47" s="2">
        <f>LET(id,$A47,code,UPPER(TRIM($D47)),rawStart,$F47,rawEnd,$G47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7" s="2">
        <f>LET(id,$A47,code,UPPER(TRIM($D47)),rawStart,$F47,rawEnd,$G47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7" s="2">
        <f>LET(id,$A47,code,UPPER(TRIM($D47)),rawStart,$F47,rawEnd,$G47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7" s="2">
        <f>LET(id,$A47,code,UPPER(TRIM($D47)),rawStart,$F47,rawEnd,$G47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7" s="2">
        <f>LET(id,$A47,code,UPPER(TRIM($D47)),rawStart,$F47,rawEnd,$G47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7" s="2">
        <f>LET(id,$A47,code,UPPER(TRIM($D47)),rawStart,$F47,rawEnd,$G47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7" s="2">
        <f>LET(id,$A47,code,UPPER(TRIM($D47)),rawStart,$F47,rawEnd,$G47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7" s="2">
        <f>LET(id,$A47,code,UPPER(TRIM($D47)),rawStart,$F47,rawEnd,$G47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7" s="2">
        <f>LET(id,$A47,code,UPPER(TRIM($D47)),rawStart,$F47,rawEnd,$G47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7" s="2">
        <f>LET(id,$A47,code,UPPER(TRIM($D47)),rawStart,$F47,rawEnd,$G47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7" s="2">
        <f>LET(id,$A47,code,UPPER(TRIM($D47)),rawStart,$F47,rawEnd,$G47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7" s="2">
        <f>LET(id,$A47,code,UPPER(TRIM($D47)),rawStart,$F47,rawEnd,$G47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7" s="2">
        <f>LET(id,$A47,code,UPPER(TRIM($D47)),rawStart,$F47,rawEnd,$G47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7" s="2">
        <f>LET(id,$A47,code,UPPER(TRIM($D47)),rawStart,$F47,rawEnd,$G47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7" s="2">
        <f>LET(id,$A47,code,UPPER(TRIM($D47)),rawStart,$F47,rawEnd,$G47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7" s="2">
        <f>LET(id,$A47,code,UPPER(TRIM($D47)),rawStart,$F47,rawEnd,$G47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7" s="2">
        <f>LET(id,$A47,code,UPPER(TRIM($D47)),rawStart,$F47,rawEnd,$G47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7" s="2">
        <f>LET(id,$A47,code,UPPER(TRIM($D47)),rawStart,$F47,rawEnd,$G47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7" s="2">
        <f>LET(id,$A47,code,UPPER(TRIM($D47)),rawStart,$F47,rawEnd,$G47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7" s="2">
        <f>LET(id,$A47,code,UPPER(TRIM($D47)),rawStart,$F47,rawEnd,$G47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7" s="2">
        <f>LET(id,$A47,code,UPPER(TRIM($D47)),rawStart,$F47,rawEnd,$G47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7" s="2">
        <f>LET(id,$A47,code,UPPER(TRIM($D47)),rawStart,$F47,rawEnd,$G47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7" s="2">
        <f>LET(id,$A47,code,UPPER(TRIM($D47)),rawStart,$F47,rawEnd,$G47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7" s="2">
        <f>LET(id,$A47,code,UPPER(TRIM($D47)),rawStart,$F47,rawEnd,$G47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7" s="2">
        <f>LET(id,$A47,code,UPPER(TRIM($D47)),rawStart,$F47,rawEnd,$G47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7" s="2">
        <f>LET(id,$A47,code,UPPER(TRIM($D47)),rawStart,$F47,rawEnd,$G47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7" s="2">
        <f>LET(id,$A47,code,UPPER(TRIM($D47)),rawStart,$F47,rawEnd,$G47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7" s="2">
        <f>LET(id,$A47,code,UPPER(TRIM($D47)),rawStart,$F47,rawEnd,$G47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7" s="2">
        <f>LET(id,$A47,code,UPPER(TRIM($D47)),rawStart,$F47,rawEnd,$G47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7" s="2">
        <f>LET(id,$A47,code,UPPER(TRIM($D47)),rawStart,$F47,rawEnd,$G47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7" s="2">
        <f>LET(id,$A47,code,UPPER(TRIM($D47)),rawStart,$F47,rawEnd,$G47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7" s="2">
        <f>LET(id,$A47,code,UPPER(TRIM($D47)),rawStart,$F47,rawEnd,$G47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7" s="2">
        <f>LET(id,$A47,code,UPPER(TRIM($D47)),rawStart,$F47,rawEnd,$G47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7" s="2">
        <f>LET(id,$A47,code,UPPER(TRIM($D47)),rawStart,$F47,rawEnd,$G47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7" s="2">
        <f>LET(id,$A47,code,UPPER(TRIM($D47)),rawStart,$F47,rawEnd,$G47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7" s="2">
        <f>LET(id,$A47,code,UPPER(TRIM($D47)),rawStart,$F47,rawEnd,$G47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7" s="2">
        <f>LET(id,$A47,code,UPPER(TRIM($D47)),rawStart,$F47,rawEnd,$G47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7" s="2">
        <f>LET(id,$A47,code,UPPER(TRIM($D47)),rawStart,$F47,rawEnd,$G47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7" s="2">
        <f>LET(id,$A47,code,UPPER(TRIM($D47)),rawStart,$F47,rawEnd,$G47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7" s="2">
        <f>LET(id,$A47,code,UPPER(TRIM($D47)),rawStart,$F47,rawEnd,$G47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7" s="2">
        <f>LET(id,$A47,code,UPPER(TRIM($D47)),rawStart,$F47,rawEnd,$G47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7" s="2">
        <f>LET(id,$A47,code,UPPER(TRIM($D47)),rawStart,$F47,rawEnd,$G47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7" s="2">
        <f>LET(id,$A47,code,UPPER(TRIM($D47)),rawStart,$F47,rawEnd,$G47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7" s="2">
        <f>LET(id,$A47,code,UPPER(TRIM($D47)),rawStart,$F47,rawEnd,$G47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7" s="2">
        <f>LET(id,$A47,code,UPPER(TRIM($D47)),rawStart,$F47,rawEnd,$G47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7" s="2">
        <f>LET(id,$A47,code,UPPER(TRIM($D47)),rawStart,$F47,rawEnd,$G47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7" s="2">
        <f>LET(id,$A47,code,UPPER(TRIM($D47)),rawStart,$F47,rawEnd,$G47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7" s="2">
        <f>LET(id,$A47,code,UPPER(TRIM($D47)),rawStart,$F47,rawEnd,$G47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47" s="2">
        <f>Calc_Engine!BD47</f>
        <v/>
      </c>
    </row>
    <row r="48">
      <c r="A48" s="2">
        <f>Calc_Engine!A48</f>
        <v/>
      </c>
      <c r="B48" s="2">
        <f>Calc_Engine!B48</f>
        <v/>
      </c>
      <c r="C48" s="2">
        <f>Calc_Engine!C48</f>
        <v/>
      </c>
      <c r="D48" s="2">
        <f>Calc_Engine!D48</f>
        <v/>
      </c>
      <c r="E48" s="4">
        <f>Calc_Engine!E48</f>
        <v/>
      </c>
      <c r="F48" s="5">
        <f>Calc_Engine!F48</f>
        <v/>
      </c>
      <c r="G48" s="5">
        <f>Calc_Engine!G48</f>
        <v/>
      </c>
      <c r="H48" s="2">
        <f>LET(id,$A48,code,UPPER(TRIM($D48)),rawStart,$F48,rawEnd,$G48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8" s="2">
        <f>LET(id,$A48,code,UPPER(TRIM($D48)),rawStart,$F48,rawEnd,$G48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8" s="2">
        <f>LET(id,$A48,code,UPPER(TRIM($D48)),rawStart,$F48,rawEnd,$G48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8" s="2">
        <f>LET(id,$A48,code,UPPER(TRIM($D48)),rawStart,$F48,rawEnd,$G48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8" s="2">
        <f>LET(id,$A48,code,UPPER(TRIM($D48)),rawStart,$F48,rawEnd,$G48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8" s="2">
        <f>LET(id,$A48,code,UPPER(TRIM($D48)),rawStart,$F48,rawEnd,$G48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8" s="2">
        <f>LET(id,$A48,code,UPPER(TRIM($D48)),rawStart,$F48,rawEnd,$G48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8" s="2">
        <f>LET(id,$A48,code,UPPER(TRIM($D48)),rawStart,$F48,rawEnd,$G48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8" s="2">
        <f>LET(id,$A48,code,UPPER(TRIM($D48)),rawStart,$F48,rawEnd,$G48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8" s="2">
        <f>LET(id,$A48,code,UPPER(TRIM($D48)),rawStart,$F48,rawEnd,$G48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8" s="2">
        <f>LET(id,$A48,code,UPPER(TRIM($D48)),rawStart,$F48,rawEnd,$G48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8" s="2">
        <f>LET(id,$A48,code,UPPER(TRIM($D48)),rawStart,$F48,rawEnd,$G48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8" s="2">
        <f>LET(id,$A48,code,UPPER(TRIM($D48)),rawStart,$F48,rawEnd,$G48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8" s="2">
        <f>LET(id,$A48,code,UPPER(TRIM($D48)),rawStart,$F48,rawEnd,$G48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8" s="2">
        <f>LET(id,$A48,code,UPPER(TRIM($D48)),rawStart,$F48,rawEnd,$G48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8" s="2">
        <f>LET(id,$A48,code,UPPER(TRIM($D48)),rawStart,$F48,rawEnd,$G48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8" s="2">
        <f>LET(id,$A48,code,UPPER(TRIM($D48)),rawStart,$F48,rawEnd,$G48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8" s="2">
        <f>LET(id,$A48,code,UPPER(TRIM($D48)),rawStart,$F48,rawEnd,$G48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8" s="2">
        <f>LET(id,$A48,code,UPPER(TRIM($D48)),rawStart,$F48,rawEnd,$G48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8" s="2">
        <f>LET(id,$A48,code,UPPER(TRIM($D48)),rawStart,$F48,rawEnd,$G48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8" s="2">
        <f>LET(id,$A48,code,UPPER(TRIM($D48)),rawStart,$F48,rawEnd,$G48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8" s="2">
        <f>LET(id,$A48,code,UPPER(TRIM($D48)),rawStart,$F48,rawEnd,$G48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8" s="2">
        <f>LET(id,$A48,code,UPPER(TRIM($D48)),rawStart,$F48,rawEnd,$G48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8" s="2">
        <f>LET(id,$A48,code,UPPER(TRIM($D48)),rawStart,$F48,rawEnd,$G48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8" s="2">
        <f>LET(id,$A48,code,UPPER(TRIM($D48)),rawStart,$F48,rawEnd,$G48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8" s="2">
        <f>LET(id,$A48,code,UPPER(TRIM($D48)),rawStart,$F48,rawEnd,$G48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8" s="2">
        <f>LET(id,$A48,code,UPPER(TRIM($D48)),rawStart,$F48,rawEnd,$G48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8" s="2">
        <f>LET(id,$A48,code,UPPER(TRIM($D48)),rawStart,$F48,rawEnd,$G48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8" s="2">
        <f>LET(id,$A48,code,UPPER(TRIM($D48)),rawStart,$F48,rawEnd,$G48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8" s="2">
        <f>LET(id,$A48,code,UPPER(TRIM($D48)),rawStart,$F48,rawEnd,$G48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8" s="2">
        <f>LET(id,$A48,code,UPPER(TRIM($D48)),rawStart,$F48,rawEnd,$G48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8" s="2">
        <f>LET(id,$A48,code,UPPER(TRIM($D48)),rawStart,$F48,rawEnd,$G48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8" s="2">
        <f>LET(id,$A48,code,UPPER(TRIM($D48)),rawStart,$F48,rawEnd,$G48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8" s="2">
        <f>LET(id,$A48,code,UPPER(TRIM($D48)),rawStart,$F48,rawEnd,$G48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8" s="2">
        <f>LET(id,$A48,code,UPPER(TRIM($D48)),rawStart,$F48,rawEnd,$G48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8" s="2">
        <f>LET(id,$A48,code,UPPER(TRIM($D48)),rawStart,$F48,rawEnd,$G48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8" s="2">
        <f>LET(id,$A48,code,UPPER(TRIM($D48)),rawStart,$F48,rawEnd,$G48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8" s="2">
        <f>LET(id,$A48,code,UPPER(TRIM($D48)),rawStart,$F48,rawEnd,$G48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8" s="2">
        <f>LET(id,$A48,code,UPPER(TRIM($D48)),rawStart,$F48,rawEnd,$G48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8" s="2">
        <f>LET(id,$A48,code,UPPER(TRIM($D48)),rawStart,$F48,rawEnd,$G48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8" s="2">
        <f>LET(id,$A48,code,UPPER(TRIM($D48)),rawStart,$F48,rawEnd,$G48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8" s="2">
        <f>LET(id,$A48,code,UPPER(TRIM($D48)),rawStart,$F48,rawEnd,$G48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8" s="2">
        <f>LET(id,$A48,code,UPPER(TRIM($D48)),rawStart,$F48,rawEnd,$G48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8" s="2">
        <f>LET(id,$A48,code,UPPER(TRIM($D48)),rawStart,$F48,rawEnd,$G48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8" s="2">
        <f>LET(id,$A48,code,UPPER(TRIM($D48)),rawStart,$F48,rawEnd,$G48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8" s="2">
        <f>LET(id,$A48,code,UPPER(TRIM($D48)),rawStart,$F48,rawEnd,$G48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8" s="2">
        <f>LET(id,$A48,code,UPPER(TRIM($D48)),rawStart,$F48,rawEnd,$G48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8" s="2">
        <f>LET(id,$A48,code,UPPER(TRIM($D48)),rawStart,$F48,rawEnd,$G48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48" s="2">
        <f>Calc_Engine!BD48</f>
        <v/>
      </c>
    </row>
    <row r="49">
      <c r="A49" s="2">
        <f>Calc_Engine!A49</f>
        <v/>
      </c>
      <c r="B49" s="2">
        <f>Calc_Engine!B49</f>
        <v/>
      </c>
      <c r="C49" s="2">
        <f>Calc_Engine!C49</f>
        <v/>
      </c>
      <c r="D49" s="2">
        <f>Calc_Engine!D49</f>
        <v/>
      </c>
      <c r="E49" s="4">
        <f>Calc_Engine!E49</f>
        <v/>
      </c>
      <c r="F49" s="5">
        <f>Calc_Engine!F49</f>
        <v/>
      </c>
      <c r="G49" s="5">
        <f>Calc_Engine!G49</f>
        <v/>
      </c>
      <c r="H49" s="2">
        <f>LET(id,$A49,code,UPPER(TRIM($D49)),rawStart,$F49,rawEnd,$G49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9" s="2">
        <f>LET(id,$A49,code,UPPER(TRIM($D49)),rawStart,$F49,rawEnd,$G49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9" s="2">
        <f>LET(id,$A49,code,UPPER(TRIM($D49)),rawStart,$F49,rawEnd,$G49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9" s="2">
        <f>LET(id,$A49,code,UPPER(TRIM($D49)),rawStart,$F49,rawEnd,$G49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9" s="2">
        <f>LET(id,$A49,code,UPPER(TRIM($D49)),rawStart,$F49,rawEnd,$G49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9" s="2">
        <f>LET(id,$A49,code,UPPER(TRIM($D49)),rawStart,$F49,rawEnd,$G49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9" s="2">
        <f>LET(id,$A49,code,UPPER(TRIM($D49)),rawStart,$F49,rawEnd,$G49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9" s="2">
        <f>LET(id,$A49,code,UPPER(TRIM($D49)),rawStart,$F49,rawEnd,$G49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9" s="2">
        <f>LET(id,$A49,code,UPPER(TRIM($D49)),rawStart,$F49,rawEnd,$G49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9" s="2">
        <f>LET(id,$A49,code,UPPER(TRIM($D49)),rawStart,$F49,rawEnd,$G49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9" s="2">
        <f>LET(id,$A49,code,UPPER(TRIM($D49)),rawStart,$F49,rawEnd,$G49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9" s="2">
        <f>LET(id,$A49,code,UPPER(TRIM($D49)),rawStart,$F49,rawEnd,$G49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9" s="2">
        <f>LET(id,$A49,code,UPPER(TRIM($D49)),rawStart,$F49,rawEnd,$G49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9" s="2">
        <f>LET(id,$A49,code,UPPER(TRIM($D49)),rawStart,$F49,rawEnd,$G49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9" s="2">
        <f>LET(id,$A49,code,UPPER(TRIM($D49)),rawStart,$F49,rawEnd,$G49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9" s="2">
        <f>LET(id,$A49,code,UPPER(TRIM($D49)),rawStart,$F49,rawEnd,$G49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9" s="2">
        <f>LET(id,$A49,code,UPPER(TRIM($D49)),rawStart,$F49,rawEnd,$G49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9" s="2">
        <f>LET(id,$A49,code,UPPER(TRIM($D49)),rawStart,$F49,rawEnd,$G49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9" s="2">
        <f>LET(id,$A49,code,UPPER(TRIM($D49)),rawStart,$F49,rawEnd,$G49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9" s="2">
        <f>LET(id,$A49,code,UPPER(TRIM($D49)),rawStart,$F49,rawEnd,$G49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9" s="2">
        <f>LET(id,$A49,code,UPPER(TRIM($D49)),rawStart,$F49,rawEnd,$G49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9" s="2">
        <f>LET(id,$A49,code,UPPER(TRIM($D49)),rawStart,$F49,rawEnd,$G49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9" s="2">
        <f>LET(id,$A49,code,UPPER(TRIM($D49)),rawStart,$F49,rawEnd,$G49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9" s="2">
        <f>LET(id,$A49,code,UPPER(TRIM($D49)),rawStart,$F49,rawEnd,$G49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9" s="2">
        <f>LET(id,$A49,code,UPPER(TRIM($D49)),rawStart,$F49,rawEnd,$G49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9" s="2">
        <f>LET(id,$A49,code,UPPER(TRIM($D49)),rawStart,$F49,rawEnd,$G49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9" s="2">
        <f>LET(id,$A49,code,UPPER(TRIM($D49)),rawStart,$F49,rawEnd,$G49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9" s="2">
        <f>LET(id,$A49,code,UPPER(TRIM($D49)),rawStart,$F49,rawEnd,$G49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9" s="2">
        <f>LET(id,$A49,code,UPPER(TRIM($D49)),rawStart,$F49,rawEnd,$G49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9" s="2">
        <f>LET(id,$A49,code,UPPER(TRIM($D49)),rawStart,$F49,rawEnd,$G49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9" s="2">
        <f>LET(id,$A49,code,UPPER(TRIM($D49)),rawStart,$F49,rawEnd,$G49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9" s="2">
        <f>LET(id,$A49,code,UPPER(TRIM($D49)),rawStart,$F49,rawEnd,$G49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9" s="2">
        <f>LET(id,$A49,code,UPPER(TRIM($D49)),rawStart,$F49,rawEnd,$G49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9" s="2">
        <f>LET(id,$A49,code,UPPER(TRIM($D49)),rawStart,$F49,rawEnd,$G49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9" s="2">
        <f>LET(id,$A49,code,UPPER(TRIM($D49)),rawStart,$F49,rawEnd,$G49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9" s="2">
        <f>LET(id,$A49,code,UPPER(TRIM($D49)),rawStart,$F49,rawEnd,$G49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9" s="2">
        <f>LET(id,$A49,code,UPPER(TRIM($D49)),rawStart,$F49,rawEnd,$G49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9" s="2">
        <f>LET(id,$A49,code,UPPER(TRIM($D49)),rawStart,$F49,rawEnd,$G49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9" s="2">
        <f>LET(id,$A49,code,UPPER(TRIM($D49)),rawStart,$F49,rawEnd,$G49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9" s="2">
        <f>LET(id,$A49,code,UPPER(TRIM($D49)),rawStart,$F49,rawEnd,$G49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9" s="2">
        <f>LET(id,$A49,code,UPPER(TRIM($D49)),rawStart,$F49,rawEnd,$G49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9" s="2">
        <f>LET(id,$A49,code,UPPER(TRIM($D49)),rawStart,$F49,rawEnd,$G49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9" s="2">
        <f>LET(id,$A49,code,UPPER(TRIM($D49)),rawStart,$F49,rawEnd,$G49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9" s="2">
        <f>LET(id,$A49,code,UPPER(TRIM($D49)),rawStart,$F49,rawEnd,$G49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9" s="2">
        <f>LET(id,$A49,code,UPPER(TRIM($D49)),rawStart,$F49,rawEnd,$G49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9" s="2">
        <f>LET(id,$A49,code,UPPER(TRIM($D49)),rawStart,$F49,rawEnd,$G49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9" s="2">
        <f>LET(id,$A49,code,UPPER(TRIM($D49)),rawStart,$F49,rawEnd,$G49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9" s="2">
        <f>LET(id,$A49,code,UPPER(TRIM($D49)),rawStart,$F49,rawEnd,$G49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49" s="2">
        <f>Calc_Engine!BD49</f>
        <v/>
      </c>
    </row>
    <row r="50">
      <c r="A50" s="2">
        <f>Calc_Engine!A50</f>
        <v/>
      </c>
      <c r="B50" s="2">
        <f>Calc_Engine!B50</f>
        <v/>
      </c>
      <c r="C50" s="2">
        <f>Calc_Engine!C50</f>
        <v/>
      </c>
      <c r="D50" s="2">
        <f>Calc_Engine!D50</f>
        <v/>
      </c>
      <c r="E50" s="4">
        <f>Calc_Engine!E50</f>
        <v/>
      </c>
      <c r="F50" s="5">
        <f>Calc_Engine!F50</f>
        <v/>
      </c>
      <c r="G50" s="5">
        <f>Calc_Engine!G50</f>
        <v/>
      </c>
      <c r="H50" s="2">
        <f>LET(id,$A50,code,UPPER(TRIM($D50)),rawStart,$F50,rawEnd,$G50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0" s="2">
        <f>LET(id,$A50,code,UPPER(TRIM($D50)),rawStart,$F50,rawEnd,$G50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0" s="2">
        <f>LET(id,$A50,code,UPPER(TRIM($D50)),rawStart,$F50,rawEnd,$G50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0" s="2">
        <f>LET(id,$A50,code,UPPER(TRIM($D50)),rawStart,$F50,rawEnd,$G50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0" s="2">
        <f>LET(id,$A50,code,UPPER(TRIM($D50)),rawStart,$F50,rawEnd,$G50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0" s="2">
        <f>LET(id,$A50,code,UPPER(TRIM($D50)),rawStart,$F50,rawEnd,$G50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0" s="2">
        <f>LET(id,$A50,code,UPPER(TRIM($D50)),rawStart,$F50,rawEnd,$G50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0" s="2">
        <f>LET(id,$A50,code,UPPER(TRIM($D50)),rawStart,$F50,rawEnd,$G50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0" s="2">
        <f>LET(id,$A50,code,UPPER(TRIM($D50)),rawStart,$F50,rawEnd,$G50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0" s="2">
        <f>LET(id,$A50,code,UPPER(TRIM($D50)),rawStart,$F50,rawEnd,$G50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0" s="2">
        <f>LET(id,$A50,code,UPPER(TRIM($D50)),rawStart,$F50,rawEnd,$G50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0" s="2">
        <f>LET(id,$A50,code,UPPER(TRIM($D50)),rawStart,$F50,rawEnd,$G50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0" s="2">
        <f>LET(id,$A50,code,UPPER(TRIM($D50)),rawStart,$F50,rawEnd,$G50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0" s="2">
        <f>LET(id,$A50,code,UPPER(TRIM($D50)),rawStart,$F50,rawEnd,$G50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0" s="2">
        <f>LET(id,$A50,code,UPPER(TRIM($D50)),rawStart,$F50,rawEnd,$G50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0" s="2">
        <f>LET(id,$A50,code,UPPER(TRIM($D50)),rawStart,$F50,rawEnd,$G50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0" s="2">
        <f>LET(id,$A50,code,UPPER(TRIM($D50)),rawStart,$F50,rawEnd,$G50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0" s="2">
        <f>LET(id,$A50,code,UPPER(TRIM($D50)),rawStart,$F50,rawEnd,$G50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0" s="2">
        <f>LET(id,$A50,code,UPPER(TRIM($D50)),rawStart,$F50,rawEnd,$G50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0" s="2">
        <f>LET(id,$A50,code,UPPER(TRIM($D50)),rawStart,$F50,rawEnd,$G50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0" s="2">
        <f>LET(id,$A50,code,UPPER(TRIM($D50)),rawStart,$F50,rawEnd,$G50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0" s="2">
        <f>LET(id,$A50,code,UPPER(TRIM($D50)),rawStart,$F50,rawEnd,$G50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0" s="2">
        <f>LET(id,$A50,code,UPPER(TRIM($D50)),rawStart,$F50,rawEnd,$G50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0" s="2">
        <f>LET(id,$A50,code,UPPER(TRIM($D50)),rawStart,$F50,rawEnd,$G50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0" s="2">
        <f>LET(id,$A50,code,UPPER(TRIM($D50)),rawStart,$F50,rawEnd,$G50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0" s="2">
        <f>LET(id,$A50,code,UPPER(TRIM($D50)),rawStart,$F50,rawEnd,$G50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0" s="2">
        <f>LET(id,$A50,code,UPPER(TRIM($D50)),rawStart,$F50,rawEnd,$G50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0" s="2">
        <f>LET(id,$A50,code,UPPER(TRIM($D50)),rawStart,$F50,rawEnd,$G50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0" s="2">
        <f>LET(id,$A50,code,UPPER(TRIM($D50)),rawStart,$F50,rawEnd,$G50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0" s="2">
        <f>LET(id,$A50,code,UPPER(TRIM($D50)),rawStart,$F50,rawEnd,$G50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0" s="2">
        <f>LET(id,$A50,code,UPPER(TRIM($D50)),rawStart,$F50,rawEnd,$G50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0" s="2">
        <f>LET(id,$A50,code,UPPER(TRIM($D50)),rawStart,$F50,rawEnd,$G50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0" s="2">
        <f>LET(id,$A50,code,UPPER(TRIM($D50)),rawStart,$F50,rawEnd,$G50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0" s="2">
        <f>LET(id,$A50,code,UPPER(TRIM($D50)),rawStart,$F50,rawEnd,$G50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0" s="2">
        <f>LET(id,$A50,code,UPPER(TRIM($D50)),rawStart,$F50,rawEnd,$G50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0" s="2">
        <f>LET(id,$A50,code,UPPER(TRIM($D50)),rawStart,$F50,rawEnd,$G50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0" s="2">
        <f>LET(id,$A50,code,UPPER(TRIM($D50)),rawStart,$F50,rawEnd,$G50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0" s="2">
        <f>LET(id,$A50,code,UPPER(TRIM($D50)),rawStart,$F50,rawEnd,$G50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0" s="2">
        <f>LET(id,$A50,code,UPPER(TRIM($D50)),rawStart,$F50,rawEnd,$G50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0" s="2">
        <f>LET(id,$A50,code,UPPER(TRIM($D50)),rawStart,$F50,rawEnd,$G50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0" s="2">
        <f>LET(id,$A50,code,UPPER(TRIM($D50)),rawStart,$F50,rawEnd,$G50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0" s="2">
        <f>LET(id,$A50,code,UPPER(TRIM($D50)),rawStart,$F50,rawEnd,$G50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0" s="2">
        <f>LET(id,$A50,code,UPPER(TRIM($D50)),rawStart,$F50,rawEnd,$G50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0" s="2">
        <f>LET(id,$A50,code,UPPER(TRIM($D50)),rawStart,$F50,rawEnd,$G50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0" s="2">
        <f>LET(id,$A50,code,UPPER(TRIM($D50)),rawStart,$F50,rawEnd,$G50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0" s="2">
        <f>LET(id,$A50,code,UPPER(TRIM($D50)),rawStart,$F50,rawEnd,$G50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0" s="2">
        <f>LET(id,$A50,code,UPPER(TRIM($D50)),rawStart,$F50,rawEnd,$G50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0" s="2">
        <f>LET(id,$A50,code,UPPER(TRIM($D50)),rawStart,$F50,rawEnd,$G50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50" s="2">
        <f>Calc_Engine!BD50</f>
        <v/>
      </c>
    </row>
    <row r="51">
      <c r="A51" s="2">
        <f>Calc_Engine!A51</f>
        <v/>
      </c>
      <c r="B51" s="2">
        <f>Calc_Engine!B51</f>
        <v/>
      </c>
      <c r="C51" s="2">
        <f>Calc_Engine!C51</f>
        <v/>
      </c>
      <c r="D51" s="2">
        <f>Calc_Engine!D51</f>
        <v/>
      </c>
      <c r="E51" s="4">
        <f>Calc_Engine!E51</f>
        <v/>
      </c>
      <c r="F51" s="5">
        <f>Calc_Engine!F51</f>
        <v/>
      </c>
      <c r="G51" s="5">
        <f>Calc_Engine!G51</f>
        <v/>
      </c>
      <c r="H51" s="2">
        <f>LET(id,$A51,code,UPPER(TRIM($D51)),rawStart,$F51,rawEnd,$G51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1" s="2">
        <f>LET(id,$A51,code,UPPER(TRIM($D51)),rawStart,$F51,rawEnd,$G51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1" s="2">
        <f>LET(id,$A51,code,UPPER(TRIM($D51)),rawStart,$F51,rawEnd,$G51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1" s="2">
        <f>LET(id,$A51,code,UPPER(TRIM($D51)),rawStart,$F51,rawEnd,$G51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1" s="2">
        <f>LET(id,$A51,code,UPPER(TRIM($D51)),rawStart,$F51,rawEnd,$G51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1" s="2">
        <f>LET(id,$A51,code,UPPER(TRIM($D51)),rawStart,$F51,rawEnd,$G51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1" s="2">
        <f>LET(id,$A51,code,UPPER(TRIM($D51)),rawStart,$F51,rawEnd,$G51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1" s="2">
        <f>LET(id,$A51,code,UPPER(TRIM($D51)),rawStart,$F51,rawEnd,$G51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1" s="2">
        <f>LET(id,$A51,code,UPPER(TRIM($D51)),rawStart,$F51,rawEnd,$G51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1" s="2">
        <f>LET(id,$A51,code,UPPER(TRIM($D51)),rawStart,$F51,rawEnd,$G51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1" s="2">
        <f>LET(id,$A51,code,UPPER(TRIM($D51)),rawStart,$F51,rawEnd,$G51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1" s="2">
        <f>LET(id,$A51,code,UPPER(TRIM($D51)),rawStart,$F51,rawEnd,$G51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1" s="2">
        <f>LET(id,$A51,code,UPPER(TRIM($D51)),rawStart,$F51,rawEnd,$G51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1" s="2">
        <f>LET(id,$A51,code,UPPER(TRIM($D51)),rawStart,$F51,rawEnd,$G51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1" s="2">
        <f>LET(id,$A51,code,UPPER(TRIM($D51)),rawStart,$F51,rawEnd,$G51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1" s="2">
        <f>LET(id,$A51,code,UPPER(TRIM($D51)),rawStart,$F51,rawEnd,$G51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1" s="2">
        <f>LET(id,$A51,code,UPPER(TRIM($D51)),rawStart,$F51,rawEnd,$G51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1" s="2">
        <f>LET(id,$A51,code,UPPER(TRIM($D51)),rawStart,$F51,rawEnd,$G51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1" s="2">
        <f>LET(id,$A51,code,UPPER(TRIM($D51)),rawStart,$F51,rawEnd,$G51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1" s="2">
        <f>LET(id,$A51,code,UPPER(TRIM($D51)),rawStart,$F51,rawEnd,$G51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1" s="2">
        <f>LET(id,$A51,code,UPPER(TRIM($D51)),rawStart,$F51,rawEnd,$G51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1" s="2">
        <f>LET(id,$A51,code,UPPER(TRIM($D51)),rawStart,$F51,rawEnd,$G51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1" s="2">
        <f>LET(id,$A51,code,UPPER(TRIM($D51)),rawStart,$F51,rawEnd,$G51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1" s="2">
        <f>LET(id,$A51,code,UPPER(TRIM($D51)),rawStart,$F51,rawEnd,$G51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1" s="2">
        <f>LET(id,$A51,code,UPPER(TRIM($D51)),rawStart,$F51,rawEnd,$G51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1" s="2">
        <f>LET(id,$A51,code,UPPER(TRIM($D51)),rawStart,$F51,rawEnd,$G51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1" s="2">
        <f>LET(id,$A51,code,UPPER(TRIM($D51)),rawStart,$F51,rawEnd,$G51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1" s="2">
        <f>LET(id,$A51,code,UPPER(TRIM($D51)),rawStart,$F51,rawEnd,$G51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1" s="2">
        <f>LET(id,$A51,code,UPPER(TRIM($D51)),rawStart,$F51,rawEnd,$G51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1" s="2">
        <f>LET(id,$A51,code,UPPER(TRIM($D51)),rawStart,$F51,rawEnd,$G51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1" s="2">
        <f>LET(id,$A51,code,UPPER(TRIM($D51)),rawStart,$F51,rawEnd,$G51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1" s="2">
        <f>LET(id,$A51,code,UPPER(TRIM($D51)),rawStart,$F51,rawEnd,$G51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1" s="2">
        <f>LET(id,$A51,code,UPPER(TRIM($D51)),rawStart,$F51,rawEnd,$G51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1" s="2">
        <f>LET(id,$A51,code,UPPER(TRIM($D51)),rawStart,$F51,rawEnd,$G51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1" s="2">
        <f>LET(id,$A51,code,UPPER(TRIM($D51)),rawStart,$F51,rawEnd,$G51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1" s="2">
        <f>LET(id,$A51,code,UPPER(TRIM($D51)),rawStart,$F51,rawEnd,$G51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1" s="2">
        <f>LET(id,$A51,code,UPPER(TRIM($D51)),rawStart,$F51,rawEnd,$G51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1" s="2">
        <f>LET(id,$A51,code,UPPER(TRIM($D51)),rawStart,$F51,rawEnd,$G51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1" s="2">
        <f>LET(id,$A51,code,UPPER(TRIM($D51)),rawStart,$F51,rawEnd,$G51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1" s="2">
        <f>LET(id,$A51,code,UPPER(TRIM($D51)),rawStart,$F51,rawEnd,$G51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1" s="2">
        <f>LET(id,$A51,code,UPPER(TRIM($D51)),rawStart,$F51,rawEnd,$G51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1" s="2">
        <f>LET(id,$A51,code,UPPER(TRIM($D51)),rawStart,$F51,rawEnd,$G51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1" s="2">
        <f>LET(id,$A51,code,UPPER(TRIM($D51)),rawStart,$F51,rawEnd,$G51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1" s="2">
        <f>LET(id,$A51,code,UPPER(TRIM($D51)),rawStart,$F51,rawEnd,$G51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1" s="2">
        <f>LET(id,$A51,code,UPPER(TRIM($D51)),rawStart,$F51,rawEnd,$G51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1" s="2">
        <f>LET(id,$A51,code,UPPER(TRIM($D51)),rawStart,$F51,rawEnd,$G51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1" s="2">
        <f>LET(id,$A51,code,UPPER(TRIM($D51)),rawStart,$F51,rawEnd,$G51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1" s="2">
        <f>LET(id,$A51,code,UPPER(TRIM($D51)),rawStart,$F51,rawEnd,$G51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51" s="2">
        <f>Calc_Engine!BD51</f>
        <v/>
      </c>
    </row>
    <row r="52">
      <c r="A52" s="2">
        <f>Calc_Engine!A52</f>
        <v/>
      </c>
      <c r="B52" s="2">
        <f>Calc_Engine!B52</f>
        <v/>
      </c>
      <c r="C52" s="2">
        <f>Calc_Engine!C52</f>
        <v/>
      </c>
      <c r="D52" s="2">
        <f>Calc_Engine!D52</f>
        <v/>
      </c>
      <c r="E52" s="4">
        <f>Calc_Engine!E52</f>
        <v/>
      </c>
      <c r="F52" s="5">
        <f>Calc_Engine!F52</f>
        <v/>
      </c>
      <c r="G52" s="5">
        <f>Calc_Engine!G52</f>
        <v/>
      </c>
      <c r="H52" s="2">
        <f>LET(id,$A52,code,UPPER(TRIM($D52)),rawStart,$F52,rawEnd,$G52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2" s="2">
        <f>LET(id,$A52,code,UPPER(TRIM($D52)),rawStart,$F52,rawEnd,$G52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2" s="2">
        <f>LET(id,$A52,code,UPPER(TRIM($D52)),rawStart,$F52,rawEnd,$G52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2" s="2">
        <f>LET(id,$A52,code,UPPER(TRIM($D52)),rawStart,$F52,rawEnd,$G52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2" s="2">
        <f>LET(id,$A52,code,UPPER(TRIM($D52)),rawStart,$F52,rawEnd,$G52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2" s="2">
        <f>LET(id,$A52,code,UPPER(TRIM($D52)),rawStart,$F52,rawEnd,$G52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2" s="2">
        <f>LET(id,$A52,code,UPPER(TRIM($D52)),rawStart,$F52,rawEnd,$G52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2" s="2">
        <f>LET(id,$A52,code,UPPER(TRIM($D52)),rawStart,$F52,rawEnd,$G52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2" s="2">
        <f>LET(id,$A52,code,UPPER(TRIM($D52)),rawStart,$F52,rawEnd,$G52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2" s="2">
        <f>LET(id,$A52,code,UPPER(TRIM($D52)),rawStart,$F52,rawEnd,$G52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2" s="2">
        <f>LET(id,$A52,code,UPPER(TRIM($D52)),rawStart,$F52,rawEnd,$G52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2" s="2">
        <f>LET(id,$A52,code,UPPER(TRIM($D52)),rawStart,$F52,rawEnd,$G52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2" s="2">
        <f>LET(id,$A52,code,UPPER(TRIM($D52)),rawStart,$F52,rawEnd,$G52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2" s="2">
        <f>LET(id,$A52,code,UPPER(TRIM($D52)),rawStart,$F52,rawEnd,$G52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2" s="2">
        <f>LET(id,$A52,code,UPPER(TRIM($D52)),rawStart,$F52,rawEnd,$G52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2" s="2">
        <f>LET(id,$A52,code,UPPER(TRIM($D52)),rawStart,$F52,rawEnd,$G52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2" s="2">
        <f>LET(id,$A52,code,UPPER(TRIM($D52)),rawStart,$F52,rawEnd,$G52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2" s="2">
        <f>LET(id,$A52,code,UPPER(TRIM($D52)),rawStart,$F52,rawEnd,$G52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2" s="2">
        <f>LET(id,$A52,code,UPPER(TRIM($D52)),rawStart,$F52,rawEnd,$G52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2" s="2">
        <f>LET(id,$A52,code,UPPER(TRIM($D52)),rawStart,$F52,rawEnd,$G52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2" s="2">
        <f>LET(id,$A52,code,UPPER(TRIM($D52)),rawStart,$F52,rawEnd,$G52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2" s="2">
        <f>LET(id,$A52,code,UPPER(TRIM($D52)),rawStart,$F52,rawEnd,$G52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2" s="2">
        <f>LET(id,$A52,code,UPPER(TRIM($D52)),rawStart,$F52,rawEnd,$G52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2" s="2">
        <f>LET(id,$A52,code,UPPER(TRIM($D52)),rawStart,$F52,rawEnd,$G52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2" s="2">
        <f>LET(id,$A52,code,UPPER(TRIM($D52)),rawStart,$F52,rawEnd,$G52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2" s="2">
        <f>LET(id,$A52,code,UPPER(TRIM($D52)),rawStart,$F52,rawEnd,$G52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2" s="2">
        <f>LET(id,$A52,code,UPPER(TRIM($D52)),rawStart,$F52,rawEnd,$G52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2" s="2">
        <f>LET(id,$A52,code,UPPER(TRIM($D52)),rawStart,$F52,rawEnd,$G52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2" s="2">
        <f>LET(id,$A52,code,UPPER(TRIM($D52)),rawStart,$F52,rawEnd,$G52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2" s="2">
        <f>LET(id,$A52,code,UPPER(TRIM($D52)),rawStart,$F52,rawEnd,$G52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2" s="2">
        <f>LET(id,$A52,code,UPPER(TRIM($D52)),rawStart,$F52,rawEnd,$G52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2" s="2">
        <f>LET(id,$A52,code,UPPER(TRIM($D52)),rawStart,$F52,rawEnd,$G52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2" s="2">
        <f>LET(id,$A52,code,UPPER(TRIM($D52)),rawStart,$F52,rawEnd,$G52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2" s="2">
        <f>LET(id,$A52,code,UPPER(TRIM($D52)),rawStart,$F52,rawEnd,$G52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2" s="2">
        <f>LET(id,$A52,code,UPPER(TRIM($D52)),rawStart,$F52,rawEnd,$G52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2" s="2">
        <f>LET(id,$A52,code,UPPER(TRIM($D52)),rawStart,$F52,rawEnd,$G52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2" s="2">
        <f>LET(id,$A52,code,UPPER(TRIM($D52)),rawStart,$F52,rawEnd,$G52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2" s="2">
        <f>LET(id,$A52,code,UPPER(TRIM($D52)),rawStart,$F52,rawEnd,$G52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2" s="2">
        <f>LET(id,$A52,code,UPPER(TRIM($D52)),rawStart,$F52,rawEnd,$G52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2" s="2">
        <f>LET(id,$A52,code,UPPER(TRIM($D52)),rawStart,$F52,rawEnd,$G52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2" s="2">
        <f>LET(id,$A52,code,UPPER(TRIM($D52)),rawStart,$F52,rawEnd,$G52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2" s="2">
        <f>LET(id,$A52,code,UPPER(TRIM($D52)),rawStart,$F52,rawEnd,$G52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2" s="2">
        <f>LET(id,$A52,code,UPPER(TRIM($D52)),rawStart,$F52,rawEnd,$G52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2" s="2">
        <f>LET(id,$A52,code,UPPER(TRIM($D52)),rawStart,$F52,rawEnd,$G52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2" s="2">
        <f>LET(id,$A52,code,UPPER(TRIM($D52)),rawStart,$F52,rawEnd,$G52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2" s="2">
        <f>LET(id,$A52,code,UPPER(TRIM($D52)),rawStart,$F52,rawEnd,$G52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2" s="2">
        <f>LET(id,$A52,code,UPPER(TRIM($D52)),rawStart,$F52,rawEnd,$G52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2" s="2">
        <f>LET(id,$A52,code,UPPER(TRIM($D52)),rawStart,$F52,rawEnd,$G52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52" s="2">
        <f>Calc_Engine!BD52</f>
        <v/>
      </c>
    </row>
    <row r="53">
      <c r="A53" s="2">
        <f>Calc_Engine!A53</f>
        <v/>
      </c>
      <c r="B53" s="2">
        <f>Calc_Engine!B53</f>
        <v/>
      </c>
      <c r="C53" s="2">
        <f>Calc_Engine!C53</f>
        <v/>
      </c>
      <c r="D53" s="2">
        <f>Calc_Engine!D53</f>
        <v/>
      </c>
      <c r="E53" s="4">
        <f>Calc_Engine!E53</f>
        <v/>
      </c>
      <c r="F53" s="5">
        <f>Calc_Engine!F53</f>
        <v/>
      </c>
      <c r="G53" s="5">
        <f>Calc_Engine!G53</f>
        <v/>
      </c>
      <c r="H53" s="2">
        <f>LET(id,$A53,code,UPPER(TRIM($D53)),rawStart,$F53,rawEnd,$G53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3" s="2">
        <f>LET(id,$A53,code,UPPER(TRIM($D53)),rawStart,$F53,rawEnd,$G53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3" s="2">
        <f>LET(id,$A53,code,UPPER(TRIM($D53)),rawStart,$F53,rawEnd,$G53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3" s="2">
        <f>LET(id,$A53,code,UPPER(TRIM($D53)),rawStart,$F53,rawEnd,$G53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3" s="2">
        <f>LET(id,$A53,code,UPPER(TRIM($D53)),rawStart,$F53,rawEnd,$G53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3" s="2">
        <f>LET(id,$A53,code,UPPER(TRIM($D53)),rawStart,$F53,rawEnd,$G53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3" s="2">
        <f>LET(id,$A53,code,UPPER(TRIM($D53)),rawStart,$F53,rawEnd,$G53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3" s="2">
        <f>LET(id,$A53,code,UPPER(TRIM($D53)),rawStart,$F53,rawEnd,$G53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3" s="2">
        <f>LET(id,$A53,code,UPPER(TRIM($D53)),rawStart,$F53,rawEnd,$G53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3" s="2">
        <f>LET(id,$A53,code,UPPER(TRIM($D53)),rawStart,$F53,rawEnd,$G53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3" s="2">
        <f>LET(id,$A53,code,UPPER(TRIM($D53)),rawStart,$F53,rawEnd,$G53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3" s="2">
        <f>LET(id,$A53,code,UPPER(TRIM($D53)),rawStart,$F53,rawEnd,$G53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3" s="2">
        <f>LET(id,$A53,code,UPPER(TRIM($D53)),rawStart,$F53,rawEnd,$G53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3" s="2">
        <f>LET(id,$A53,code,UPPER(TRIM($D53)),rawStart,$F53,rawEnd,$G53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3" s="2">
        <f>LET(id,$A53,code,UPPER(TRIM($D53)),rawStart,$F53,rawEnd,$G53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3" s="2">
        <f>LET(id,$A53,code,UPPER(TRIM($D53)),rawStart,$F53,rawEnd,$G53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3" s="2">
        <f>LET(id,$A53,code,UPPER(TRIM($D53)),rawStart,$F53,rawEnd,$G53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3" s="2">
        <f>LET(id,$A53,code,UPPER(TRIM($D53)),rawStart,$F53,rawEnd,$G53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3" s="2">
        <f>LET(id,$A53,code,UPPER(TRIM($D53)),rawStart,$F53,rawEnd,$G53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3" s="2">
        <f>LET(id,$A53,code,UPPER(TRIM($D53)),rawStart,$F53,rawEnd,$G53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3" s="2">
        <f>LET(id,$A53,code,UPPER(TRIM($D53)),rawStart,$F53,rawEnd,$G53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3" s="2">
        <f>LET(id,$A53,code,UPPER(TRIM($D53)),rawStart,$F53,rawEnd,$G53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3" s="2">
        <f>LET(id,$A53,code,UPPER(TRIM($D53)),rawStart,$F53,rawEnd,$G53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3" s="2">
        <f>LET(id,$A53,code,UPPER(TRIM($D53)),rawStart,$F53,rawEnd,$G53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3" s="2">
        <f>LET(id,$A53,code,UPPER(TRIM($D53)),rawStart,$F53,rawEnd,$G53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3" s="2">
        <f>LET(id,$A53,code,UPPER(TRIM($D53)),rawStart,$F53,rawEnd,$G53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3" s="2">
        <f>LET(id,$A53,code,UPPER(TRIM($D53)),rawStart,$F53,rawEnd,$G53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3" s="2">
        <f>LET(id,$A53,code,UPPER(TRIM($D53)),rawStart,$F53,rawEnd,$G53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3" s="2">
        <f>LET(id,$A53,code,UPPER(TRIM($D53)),rawStart,$F53,rawEnd,$G53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3" s="2">
        <f>LET(id,$A53,code,UPPER(TRIM($D53)),rawStart,$F53,rawEnd,$G53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3" s="2">
        <f>LET(id,$A53,code,UPPER(TRIM($D53)),rawStart,$F53,rawEnd,$G53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3" s="2">
        <f>LET(id,$A53,code,UPPER(TRIM($D53)),rawStart,$F53,rawEnd,$G53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3" s="2">
        <f>LET(id,$A53,code,UPPER(TRIM($D53)),rawStart,$F53,rawEnd,$G53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3" s="2">
        <f>LET(id,$A53,code,UPPER(TRIM($D53)),rawStart,$F53,rawEnd,$G53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3" s="2">
        <f>LET(id,$A53,code,UPPER(TRIM($D53)),rawStart,$F53,rawEnd,$G53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3" s="2">
        <f>LET(id,$A53,code,UPPER(TRIM($D53)),rawStart,$F53,rawEnd,$G53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3" s="2">
        <f>LET(id,$A53,code,UPPER(TRIM($D53)),rawStart,$F53,rawEnd,$G53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3" s="2">
        <f>LET(id,$A53,code,UPPER(TRIM($D53)),rawStart,$F53,rawEnd,$G53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3" s="2">
        <f>LET(id,$A53,code,UPPER(TRIM($D53)),rawStart,$F53,rawEnd,$G53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3" s="2">
        <f>LET(id,$A53,code,UPPER(TRIM($D53)),rawStart,$F53,rawEnd,$G53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3" s="2">
        <f>LET(id,$A53,code,UPPER(TRIM($D53)),rawStart,$F53,rawEnd,$G53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3" s="2">
        <f>LET(id,$A53,code,UPPER(TRIM($D53)),rawStart,$F53,rawEnd,$G53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3" s="2">
        <f>LET(id,$A53,code,UPPER(TRIM($D53)),rawStart,$F53,rawEnd,$G53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3" s="2">
        <f>LET(id,$A53,code,UPPER(TRIM($D53)),rawStart,$F53,rawEnd,$G53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3" s="2">
        <f>LET(id,$A53,code,UPPER(TRIM($D53)),rawStart,$F53,rawEnd,$G53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3" s="2">
        <f>LET(id,$A53,code,UPPER(TRIM($D53)),rawStart,$F53,rawEnd,$G53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3" s="2">
        <f>LET(id,$A53,code,UPPER(TRIM($D53)),rawStart,$F53,rawEnd,$G53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3" s="2">
        <f>LET(id,$A53,code,UPPER(TRIM($D53)),rawStart,$F53,rawEnd,$G53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53" s="2">
        <f>Calc_Engine!BD53</f>
        <v/>
      </c>
    </row>
    <row r="54">
      <c r="A54" s="2">
        <f>Calc_Engine!A54</f>
        <v/>
      </c>
      <c r="B54" s="2">
        <f>Calc_Engine!B54</f>
        <v/>
      </c>
      <c r="C54" s="2">
        <f>Calc_Engine!C54</f>
        <v/>
      </c>
      <c r="D54" s="2">
        <f>Calc_Engine!D54</f>
        <v/>
      </c>
      <c r="E54" s="4">
        <f>Calc_Engine!E54</f>
        <v/>
      </c>
      <c r="F54" s="5">
        <f>Calc_Engine!F54</f>
        <v/>
      </c>
      <c r="G54" s="5">
        <f>Calc_Engine!G54</f>
        <v/>
      </c>
      <c r="H54" s="2">
        <f>LET(id,$A54,code,UPPER(TRIM($D54)),rawStart,$F54,rawEnd,$G54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4" s="2">
        <f>LET(id,$A54,code,UPPER(TRIM($D54)),rawStart,$F54,rawEnd,$G54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4" s="2">
        <f>LET(id,$A54,code,UPPER(TRIM($D54)),rawStart,$F54,rawEnd,$G54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4" s="2">
        <f>LET(id,$A54,code,UPPER(TRIM($D54)),rawStart,$F54,rawEnd,$G54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4" s="2">
        <f>LET(id,$A54,code,UPPER(TRIM($D54)),rawStart,$F54,rawEnd,$G54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4" s="2">
        <f>LET(id,$A54,code,UPPER(TRIM($D54)),rawStart,$F54,rawEnd,$G54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4" s="2">
        <f>LET(id,$A54,code,UPPER(TRIM($D54)),rawStart,$F54,rawEnd,$G54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4" s="2">
        <f>LET(id,$A54,code,UPPER(TRIM($D54)),rawStart,$F54,rawEnd,$G54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4" s="2">
        <f>LET(id,$A54,code,UPPER(TRIM($D54)),rawStart,$F54,rawEnd,$G54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4" s="2">
        <f>LET(id,$A54,code,UPPER(TRIM($D54)),rawStart,$F54,rawEnd,$G54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4" s="2">
        <f>LET(id,$A54,code,UPPER(TRIM($D54)),rawStart,$F54,rawEnd,$G54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4" s="2">
        <f>LET(id,$A54,code,UPPER(TRIM($D54)),rawStart,$F54,rawEnd,$G54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4" s="2">
        <f>LET(id,$A54,code,UPPER(TRIM($D54)),rawStart,$F54,rawEnd,$G54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4" s="2">
        <f>LET(id,$A54,code,UPPER(TRIM($D54)),rawStart,$F54,rawEnd,$G54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4" s="2">
        <f>LET(id,$A54,code,UPPER(TRIM($D54)),rawStart,$F54,rawEnd,$G54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4" s="2">
        <f>LET(id,$A54,code,UPPER(TRIM($D54)),rawStart,$F54,rawEnd,$G54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4" s="2">
        <f>LET(id,$A54,code,UPPER(TRIM($D54)),rawStart,$F54,rawEnd,$G54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4" s="2">
        <f>LET(id,$A54,code,UPPER(TRIM($D54)),rawStart,$F54,rawEnd,$G54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4" s="2">
        <f>LET(id,$A54,code,UPPER(TRIM($D54)),rawStart,$F54,rawEnd,$G54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4" s="2">
        <f>LET(id,$A54,code,UPPER(TRIM($D54)),rawStart,$F54,rawEnd,$G54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4" s="2">
        <f>LET(id,$A54,code,UPPER(TRIM($D54)),rawStart,$F54,rawEnd,$G54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4" s="2">
        <f>LET(id,$A54,code,UPPER(TRIM($D54)),rawStart,$F54,rawEnd,$G54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4" s="2">
        <f>LET(id,$A54,code,UPPER(TRIM($D54)),rawStart,$F54,rawEnd,$G54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4" s="2">
        <f>LET(id,$A54,code,UPPER(TRIM($D54)),rawStart,$F54,rawEnd,$G54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4" s="2">
        <f>LET(id,$A54,code,UPPER(TRIM($D54)),rawStart,$F54,rawEnd,$G54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4" s="2">
        <f>LET(id,$A54,code,UPPER(TRIM($D54)),rawStart,$F54,rawEnd,$G54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4" s="2">
        <f>LET(id,$A54,code,UPPER(TRIM($D54)),rawStart,$F54,rawEnd,$G54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4" s="2">
        <f>LET(id,$A54,code,UPPER(TRIM($D54)),rawStart,$F54,rawEnd,$G54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4" s="2">
        <f>LET(id,$A54,code,UPPER(TRIM($D54)),rawStart,$F54,rawEnd,$G54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4" s="2">
        <f>LET(id,$A54,code,UPPER(TRIM($D54)),rawStart,$F54,rawEnd,$G54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4" s="2">
        <f>LET(id,$A54,code,UPPER(TRIM($D54)),rawStart,$F54,rawEnd,$G54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4" s="2">
        <f>LET(id,$A54,code,UPPER(TRIM($D54)),rawStart,$F54,rawEnd,$G54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4" s="2">
        <f>LET(id,$A54,code,UPPER(TRIM($D54)),rawStart,$F54,rawEnd,$G54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4" s="2">
        <f>LET(id,$A54,code,UPPER(TRIM($D54)),rawStart,$F54,rawEnd,$G54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4" s="2">
        <f>LET(id,$A54,code,UPPER(TRIM($D54)),rawStart,$F54,rawEnd,$G54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4" s="2">
        <f>LET(id,$A54,code,UPPER(TRIM($D54)),rawStart,$F54,rawEnd,$G54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4" s="2">
        <f>LET(id,$A54,code,UPPER(TRIM($D54)),rawStart,$F54,rawEnd,$G54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4" s="2">
        <f>LET(id,$A54,code,UPPER(TRIM($D54)),rawStart,$F54,rawEnd,$G54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4" s="2">
        <f>LET(id,$A54,code,UPPER(TRIM($D54)),rawStart,$F54,rawEnd,$G54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4" s="2">
        <f>LET(id,$A54,code,UPPER(TRIM($D54)),rawStart,$F54,rawEnd,$G54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4" s="2">
        <f>LET(id,$A54,code,UPPER(TRIM($D54)),rawStart,$F54,rawEnd,$G54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4" s="2">
        <f>LET(id,$A54,code,UPPER(TRIM($D54)),rawStart,$F54,rawEnd,$G54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4" s="2">
        <f>LET(id,$A54,code,UPPER(TRIM($D54)),rawStart,$F54,rawEnd,$G54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4" s="2">
        <f>LET(id,$A54,code,UPPER(TRIM($D54)),rawStart,$F54,rawEnd,$G54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4" s="2">
        <f>LET(id,$A54,code,UPPER(TRIM($D54)),rawStart,$F54,rawEnd,$G54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4" s="2">
        <f>LET(id,$A54,code,UPPER(TRIM($D54)),rawStart,$F54,rawEnd,$G54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4" s="2">
        <f>LET(id,$A54,code,UPPER(TRIM($D54)),rawStart,$F54,rawEnd,$G54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4" s="2">
        <f>LET(id,$A54,code,UPPER(TRIM($D54)),rawStart,$F54,rawEnd,$G54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54" s="2">
        <f>Calc_Engine!BD54</f>
        <v/>
      </c>
    </row>
    <row r="55">
      <c r="A55" s="2">
        <f>Calc_Engine!A55</f>
        <v/>
      </c>
      <c r="B55" s="2">
        <f>Calc_Engine!B55</f>
        <v/>
      </c>
      <c r="C55" s="2">
        <f>Calc_Engine!C55</f>
        <v/>
      </c>
      <c r="D55" s="2">
        <f>Calc_Engine!D55</f>
        <v/>
      </c>
      <c r="E55" s="4">
        <f>Calc_Engine!E55</f>
        <v/>
      </c>
      <c r="F55" s="5">
        <f>Calc_Engine!F55</f>
        <v/>
      </c>
      <c r="G55" s="5">
        <f>Calc_Engine!G55</f>
        <v/>
      </c>
      <c r="H55" s="2">
        <f>LET(id,$A55,code,UPPER(TRIM($D55)),rawStart,$F55,rawEnd,$G55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5" s="2">
        <f>LET(id,$A55,code,UPPER(TRIM($D55)),rawStart,$F55,rawEnd,$G55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5" s="2">
        <f>LET(id,$A55,code,UPPER(TRIM($D55)),rawStart,$F55,rawEnd,$G55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5" s="2">
        <f>LET(id,$A55,code,UPPER(TRIM($D55)),rawStart,$F55,rawEnd,$G55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5" s="2">
        <f>LET(id,$A55,code,UPPER(TRIM($D55)),rawStart,$F55,rawEnd,$G55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5" s="2">
        <f>LET(id,$A55,code,UPPER(TRIM($D55)),rawStart,$F55,rawEnd,$G55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5" s="2">
        <f>LET(id,$A55,code,UPPER(TRIM($D55)),rawStart,$F55,rawEnd,$G55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5" s="2">
        <f>LET(id,$A55,code,UPPER(TRIM($D55)),rawStart,$F55,rawEnd,$G55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5" s="2">
        <f>LET(id,$A55,code,UPPER(TRIM($D55)),rawStart,$F55,rawEnd,$G55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5" s="2">
        <f>LET(id,$A55,code,UPPER(TRIM($D55)),rawStart,$F55,rawEnd,$G55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5" s="2">
        <f>LET(id,$A55,code,UPPER(TRIM($D55)),rawStart,$F55,rawEnd,$G55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5" s="2">
        <f>LET(id,$A55,code,UPPER(TRIM($D55)),rawStart,$F55,rawEnd,$G55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5" s="2">
        <f>LET(id,$A55,code,UPPER(TRIM($D55)),rawStart,$F55,rawEnd,$G55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5" s="2">
        <f>LET(id,$A55,code,UPPER(TRIM($D55)),rawStart,$F55,rawEnd,$G55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5" s="2">
        <f>LET(id,$A55,code,UPPER(TRIM($D55)),rawStart,$F55,rawEnd,$G55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5" s="2">
        <f>LET(id,$A55,code,UPPER(TRIM($D55)),rawStart,$F55,rawEnd,$G55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5" s="2">
        <f>LET(id,$A55,code,UPPER(TRIM($D55)),rawStart,$F55,rawEnd,$G55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5" s="2">
        <f>LET(id,$A55,code,UPPER(TRIM($D55)),rawStart,$F55,rawEnd,$G55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5" s="2">
        <f>LET(id,$A55,code,UPPER(TRIM($D55)),rawStart,$F55,rawEnd,$G55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5" s="2">
        <f>LET(id,$A55,code,UPPER(TRIM($D55)),rawStart,$F55,rawEnd,$G55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5" s="2">
        <f>LET(id,$A55,code,UPPER(TRIM($D55)),rawStart,$F55,rawEnd,$G55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5" s="2">
        <f>LET(id,$A55,code,UPPER(TRIM($D55)),rawStart,$F55,rawEnd,$G55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5" s="2">
        <f>LET(id,$A55,code,UPPER(TRIM($D55)),rawStart,$F55,rawEnd,$G55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5" s="2">
        <f>LET(id,$A55,code,UPPER(TRIM($D55)),rawStart,$F55,rawEnd,$G55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5" s="2">
        <f>LET(id,$A55,code,UPPER(TRIM($D55)),rawStart,$F55,rawEnd,$G55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5" s="2">
        <f>LET(id,$A55,code,UPPER(TRIM($D55)),rawStart,$F55,rawEnd,$G55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5" s="2">
        <f>LET(id,$A55,code,UPPER(TRIM($D55)),rawStart,$F55,rawEnd,$G55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5" s="2">
        <f>LET(id,$A55,code,UPPER(TRIM($D55)),rawStart,$F55,rawEnd,$G55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5" s="2">
        <f>LET(id,$A55,code,UPPER(TRIM($D55)),rawStart,$F55,rawEnd,$G55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5" s="2">
        <f>LET(id,$A55,code,UPPER(TRIM($D55)),rawStart,$F55,rawEnd,$G55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5" s="2">
        <f>LET(id,$A55,code,UPPER(TRIM($D55)),rawStart,$F55,rawEnd,$G55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5" s="2">
        <f>LET(id,$A55,code,UPPER(TRIM($D55)),rawStart,$F55,rawEnd,$G55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5" s="2">
        <f>LET(id,$A55,code,UPPER(TRIM($D55)),rawStart,$F55,rawEnd,$G55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5" s="2">
        <f>LET(id,$A55,code,UPPER(TRIM($D55)),rawStart,$F55,rawEnd,$G55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5" s="2">
        <f>LET(id,$A55,code,UPPER(TRIM($D55)),rawStart,$F55,rawEnd,$G55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5" s="2">
        <f>LET(id,$A55,code,UPPER(TRIM($D55)),rawStart,$F55,rawEnd,$G55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5" s="2">
        <f>LET(id,$A55,code,UPPER(TRIM($D55)),rawStart,$F55,rawEnd,$G55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5" s="2">
        <f>LET(id,$A55,code,UPPER(TRIM($D55)),rawStart,$F55,rawEnd,$G55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5" s="2">
        <f>LET(id,$A55,code,UPPER(TRIM($D55)),rawStart,$F55,rawEnd,$G55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5" s="2">
        <f>LET(id,$A55,code,UPPER(TRIM($D55)),rawStart,$F55,rawEnd,$G55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5" s="2">
        <f>LET(id,$A55,code,UPPER(TRIM($D55)),rawStart,$F55,rawEnd,$G55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5" s="2">
        <f>LET(id,$A55,code,UPPER(TRIM($D55)),rawStart,$F55,rawEnd,$G55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5" s="2">
        <f>LET(id,$A55,code,UPPER(TRIM($D55)),rawStart,$F55,rawEnd,$G55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5" s="2">
        <f>LET(id,$A55,code,UPPER(TRIM($D55)),rawStart,$F55,rawEnd,$G55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5" s="2">
        <f>LET(id,$A55,code,UPPER(TRIM($D55)),rawStart,$F55,rawEnd,$G55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5" s="2">
        <f>LET(id,$A55,code,UPPER(TRIM($D55)),rawStart,$F55,rawEnd,$G55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5" s="2">
        <f>LET(id,$A55,code,UPPER(TRIM($D55)),rawStart,$F55,rawEnd,$G55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5" s="2">
        <f>LET(id,$A55,code,UPPER(TRIM($D55)),rawStart,$F55,rawEnd,$G55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55" s="2">
        <f>Calc_Engine!BD55</f>
        <v/>
      </c>
    </row>
    <row r="56">
      <c r="A56" s="2">
        <f>Calc_Engine!A56</f>
        <v/>
      </c>
      <c r="B56" s="2">
        <f>Calc_Engine!B56</f>
        <v/>
      </c>
      <c r="C56" s="2">
        <f>Calc_Engine!C56</f>
        <v/>
      </c>
      <c r="D56" s="2">
        <f>Calc_Engine!D56</f>
        <v/>
      </c>
      <c r="E56" s="4">
        <f>Calc_Engine!E56</f>
        <v/>
      </c>
      <c r="F56" s="5">
        <f>Calc_Engine!F56</f>
        <v/>
      </c>
      <c r="G56" s="5">
        <f>Calc_Engine!G56</f>
        <v/>
      </c>
      <c r="H56" s="2">
        <f>LET(id,$A56,code,UPPER(TRIM($D56)),rawStart,$F56,rawEnd,$G56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6" s="2">
        <f>LET(id,$A56,code,UPPER(TRIM($D56)),rawStart,$F56,rawEnd,$G56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6" s="2">
        <f>LET(id,$A56,code,UPPER(TRIM($D56)),rawStart,$F56,rawEnd,$G56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6" s="2">
        <f>LET(id,$A56,code,UPPER(TRIM($D56)),rawStart,$F56,rawEnd,$G56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6" s="2">
        <f>LET(id,$A56,code,UPPER(TRIM($D56)),rawStart,$F56,rawEnd,$G56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6" s="2">
        <f>LET(id,$A56,code,UPPER(TRIM($D56)),rawStart,$F56,rawEnd,$G56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6" s="2">
        <f>LET(id,$A56,code,UPPER(TRIM($D56)),rawStart,$F56,rawEnd,$G56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6" s="2">
        <f>LET(id,$A56,code,UPPER(TRIM($D56)),rawStart,$F56,rawEnd,$G56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6" s="2">
        <f>LET(id,$A56,code,UPPER(TRIM($D56)),rawStart,$F56,rawEnd,$G56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6" s="2">
        <f>LET(id,$A56,code,UPPER(TRIM($D56)),rawStart,$F56,rawEnd,$G56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6" s="2">
        <f>LET(id,$A56,code,UPPER(TRIM($D56)),rawStart,$F56,rawEnd,$G56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6" s="2">
        <f>LET(id,$A56,code,UPPER(TRIM($D56)),rawStart,$F56,rawEnd,$G56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6" s="2">
        <f>LET(id,$A56,code,UPPER(TRIM($D56)),rawStart,$F56,rawEnd,$G56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6" s="2">
        <f>LET(id,$A56,code,UPPER(TRIM($D56)),rawStart,$F56,rawEnd,$G56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6" s="2">
        <f>LET(id,$A56,code,UPPER(TRIM($D56)),rawStart,$F56,rawEnd,$G56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6" s="2">
        <f>LET(id,$A56,code,UPPER(TRIM($D56)),rawStart,$F56,rawEnd,$G56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6" s="2">
        <f>LET(id,$A56,code,UPPER(TRIM($D56)),rawStart,$F56,rawEnd,$G56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6" s="2">
        <f>LET(id,$A56,code,UPPER(TRIM($D56)),rawStart,$F56,rawEnd,$G56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6" s="2">
        <f>LET(id,$A56,code,UPPER(TRIM($D56)),rawStart,$F56,rawEnd,$G56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6" s="2">
        <f>LET(id,$A56,code,UPPER(TRIM($D56)),rawStart,$F56,rawEnd,$G56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6" s="2">
        <f>LET(id,$A56,code,UPPER(TRIM($D56)),rawStart,$F56,rawEnd,$G56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6" s="2">
        <f>LET(id,$A56,code,UPPER(TRIM($D56)),rawStart,$F56,rawEnd,$G56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6" s="2">
        <f>LET(id,$A56,code,UPPER(TRIM($D56)),rawStart,$F56,rawEnd,$G56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6" s="2">
        <f>LET(id,$A56,code,UPPER(TRIM($D56)),rawStart,$F56,rawEnd,$G56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6" s="2">
        <f>LET(id,$A56,code,UPPER(TRIM($D56)),rawStart,$F56,rawEnd,$G56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6" s="2">
        <f>LET(id,$A56,code,UPPER(TRIM($D56)),rawStart,$F56,rawEnd,$G56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6" s="2">
        <f>LET(id,$A56,code,UPPER(TRIM($D56)),rawStart,$F56,rawEnd,$G56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6" s="2">
        <f>LET(id,$A56,code,UPPER(TRIM($D56)),rawStart,$F56,rawEnd,$G56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6" s="2">
        <f>LET(id,$A56,code,UPPER(TRIM($D56)),rawStart,$F56,rawEnd,$G56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6" s="2">
        <f>LET(id,$A56,code,UPPER(TRIM($D56)),rawStart,$F56,rawEnd,$G56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6" s="2">
        <f>LET(id,$A56,code,UPPER(TRIM($D56)),rawStart,$F56,rawEnd,$G56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6" s="2">
        <f>LET(id,$A56,code,UPPER(TRIM($D56)),rawStart,$F56,rawEnd,$G56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6" s="2">
        <f>LET(id,$A56,code,UPPER(TRIM($D56)),rawStart,$F56,rawEnd,$G56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6" s="2">
        <f>LET(id,$A56,code,UPPER(TRIM($D56)),rawStart,$F56,rawEnd,$G56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6" s="2">
        <f>LET(id,$A56,code,UPPER(TRIM($D56)),rawStart,$F56,rawEnd,$G56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6" s="2">
        <f>LET(id,$A56,code,UPPER(TRIM($D56)),rawStart,$F56,rawEnd,$G56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6" s="2">
        <f>LET(id,$A56,code,UPPER(TRIM($D56)),rawStart,$F56,rawEnd,$G56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6" s="2">
        <f>LET(id,$A56,code,UPPER(TRIM($D56)),rawStart,$F56,rawEnd,$G56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6" s="2">
        <f>LET(id,$A56,code,UPPER(TRIM($D56)),rawStart,$F56,rawEnd,$G56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6" s="2">
        <f>LET(id,$A56,code,UPPER(TRIM($D56)),rawStart,$F56,rawEnd,$G56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6" s="2">
        <f>LET(id,$A56,code,UPPER(TRIM($D56)),rawStart,$F56,rawEnd,$G56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6" s="2">
        <f>LET(id,$A56,code,UPPER(TRIM($D56)),rawStart,$F56,rawEnd,$G56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6" s="2">
        <f>LET(id,$A56,code,UPPER(TRIM($D56)),rawStart,$F56,rawEnd,$G56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6" s="2">
        <f>LET(id,$A56,code,UPPER(TRIM($D56)),rawStart,$F56,rawEnd,$G56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6" s="2">
        <f>LET(id,$A56,code,UPPER(TRIM($D56)),rawStart,$F56,rawEnd,$G56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6" s="2">
        <f>LET(id,$A56,code,UPPER(TRIM($D56)),rawStart,$F56,rawEnd,$G56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6" s="2">
        <f>LET(id,$A56,code,UPPER(TRIM($D56)),rawStart,$F56,rawEnd,$G56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6" s="2">
        <f>LET(id,$A56,code,UPPER(TRIM($D56)),rawStart,$F56,rawEnd,$G56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56" s="2">
        <f>Calc_Engine!BD56</f>
        <v/>
      </c>
    </row>
    <row r="57">
      <c r="A57" s="2">
        <f>Calc_Engine!A57</f>
        <v/>
      </c>
      <c r="B57" s="2">
        <f>Calc_Engine!B57</f>
        <v/>
      </c>
      <c r="C57" s="2">
        <f>Calc_Engine!C57</f>
        <v/>
      </c>
      <c r="D57" s="2">
        <f>Calc_Engine!D57</f>
        <v/>
      </c>
      <c r="E57" s="4">
        <f>Calc_Engine!E57</f>
        <v/>
      </c>
      <c r="F57" s="5">
        <f>Calc_Engine!F57</f>
        <v/>
      </c>
      <c r="G57" s="5">
        <f>Calc_Engine!G57</f>
        <v/>
      </c>
      <c r="H57" s="2">
        <f>LET(id,$A57,code,UPPER(TRIM($D57)),rawStart,$F57,rawEnd,$G57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7" s="2">
        <f>LET(id,$A57,code,UPPER(TRIM($D57)),rawStart,$F57,rawEnd,$G57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7" s="2">
        <f>LET(id,$A57,code,UPPER(TRIM($D57)),rawStart,$F57,rawEnd,$G57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7" s="2">
        <f>LET(id,$A57,code,UPPER(TRIM($D57)),rawStart,$F57,rawEnd,$G57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7" s="2">
        <f>LET(id,$A57,code,UPPER(TRIM($D57)),rawStart,$F57,rawEnd,$G57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7" s="2">
        <f>LET(id,$A57,code,UPPER(TRIM($D57)),rawStart,$F57,rawEnd,$G57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7" s="2">
        <f>LET(id,$A57,code,UPPER(TRIM($D57)),rawStart,$F57,rawEnd,$G57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7" s="2">
        <f>LET(id,$A57,code,UPPER(TRIM($D57)),rawStart,$F57,rawEnd,$G57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7" s="2">
        <f>LET(id,$A57,code,UPPER(TRIM($D57)),rawStart,$F57,rawEnd,$G57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7" s="2">
        <f>LET(id,$A57,code,UPPER(TRIM($D57)),rawStart,$F57,rawEnd,$G57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7" s="2">
        <f>LET(id,$A57,code,UPPER(TRIM($D57)),rawStart,$F57,rawEnd,$G57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7" s="2">
        <f>LET(id,$A57,code,UPPER(TRIM($D57)),rawStart,$F57,rawEnd,$G57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7" s="2">
        <f>LET(id,$A57,code,UPPER(TRIM($D57)),rawStart,$F57,rawEnd,$G57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7" s="2">
        <f>LET(id,$A57,code,UPPER(TRIM($D57)),rawStart,$F57,rawEnd,$G57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7" s="2">
        <f>LET(id,$A57,code,UPPER(TRIM($D57)),rawStart,$F57,rawEnd,$G57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7" s="2">
        <f>LET(id,$A57,code,UPPER(TRIM($D57)),rawStart,$F57,rawEnd,$G57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7" s="2">
        <f>LET(id,$A57,code,UPPER(TRIM($D57)),rawStart,$F57,rawEnd,$G57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7" s="2">
        <f>LET(id,$A57,code,UPPER(TRIM($D57)),rawStart,$F57,rawEnd,$G57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7" s="2">
        <f>LET(id,$A57,code,UPPER(TRIM($D57)),rawStart,$F57,rawEnd,$G57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7" s="2">
        <f>LET(id,$A57,code,UPPER(TRIM($D57)),rawStart,$F57,rawEnd,$G57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7" s="2">
        <f>LET(id,$A57,code,UPPER(TRIM($D57)),rawStart,$F57,rawEnd,$G57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7" s="2">
        <f>LET(id,$A57,code,UPPER(TRIM($D57)),rawStart,$F57,rawEnd,$G57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7" s="2">
        <f>LET(id,$A57,code,UPPER(TRIM($D57)),rawStart,$F57,rawEnd,$G57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7" s="2">
        <f>LET(id,$A57,code,UPPER(TRIM($D57)),rawStart,$F57,rawEnd,$G57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7" s="2">
        <f>LET(id,$A57,code,UPPER(TRIM($D57)),rawStart,$F57,rawEnd,$G57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7" s="2">
        <f>LET(id,$A57,code,UPPER(TRIM($D57)),rawStart,$F57,rawEnd,$G57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7" s="2">
        <f>LET(id,$A57,code,UPPER(TRIM($D57)),rawStart,$F57,rawEnd,$G57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7" s="2">
        <f>LET(id,$A57,code,UPPER(TRIM($D57)),rawStart,$F57,rawEnd,$G57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7" s="2">
        <f>LET(id,$A57,code,UPPER(TRIM($D57)),rawStart,$F57,rawEnd,$G57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7" s="2">
        <f>LET(id,$A57,code,UPPER(TRIM($D57)),rawStart,$F57,rawEnd,$G57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7" s="2">
        <f>LET(id,$A57,code,UPPER(TRIM($D57)),rawStart,$F57,rawEnd,$G57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7" s="2">
        <f>LET(id,$A57,code,UPPER(TRIM($D57)),rawStart,$F57,rawEnd,$G57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7" s="2">
        <f>LET(id,$A57,code,UPPER(TRIM($D57)),rawStart,$F57,rawEnd,$G57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7" s="2">
        <f>LET(id,$A57,code,UPPER(TRIM($D57)),rawStart,$F57,rawEnd,$G57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7" s="2">
        <f>LET(id,$A57,code,UPPER(TRIM($D57)),rawStart,$F57,rawEnd,$G57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7" s="2">
        <f>LET(id,$A57,code,UPPER(TRIM($D57)),rawStart,$F57,rawEnd,$G57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7" s="2">
        <f>LET(id,$A57,code,UPPER(TRIM($D57)),rawStart,$F57,rawEnd,$G57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7" s="2">
        <f>LET(id,$A57,code,UPPER(TRIM($D57)),rawStart,$F57,rawEnd,$G57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7" s="2">
        <f>LET(id,$A57,code,UPPER(TRIM($D57)),rawStart,$F57,rawEnd,$G57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7" s="2">
        <f>LET(id,$A57,code,UPPER(TRIM($D57)),rawStart,$F57,rawEnd,$G57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7" s="2">
        <f>LET(id,$A57,code,UPPER(TRIM($D57)),rawStart,$F57,rawEnd,$G57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7" s="2">
        <f>LET(id,$A57,code,UPPER(TRIM($D57)),rawStart,$F57,rawEnd,$G57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7" s="2">
        <f>LET(id,$A57,code,UPPER(TRIM($D57)),rawStart,$F57,rawEnd,$G57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7" s="2">
        <f>LET(id,$A57,code,UPPER(TRIM($D57)),rawStart,$F57,rawEnd,$G57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7" s="2">
        <f>LET(id,$A57,code,UPPER(TRIM($D57)),rawStart,$F57,rawEnd,$G57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7" s="2">
        <f>LET(id,$A57,code,UPPER(TRIM($D57)),rawStart,$F57,rawEnd,$G57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7" s="2">
        <f>LET(id,$A57,code,UPPER(TRIM($D57)),rawStart,$F57,rawEnd,$G57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7" s="2">
        <f>LET(id,$A57,code,UPPER(TRIM($D57)),rawStart,$F57,rawEnd,$G57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57" s="2">
        <f>Calc_Engine!BD57</f>
        <v/>
      </c>
    </row>
    <row r="58">
      <c r="A58" s="2">
        <f>Calc_Engine!A58</f>
        <v/>
      </c>
      <c r="B58" s="2">
        <f>Calc_Engine!B58</f>
        <v/>
      </c>
      <c r="C58" s="2">
        <f>Calc_Engine!C58</f>
        <v/>
      </c>
      <c r="D58" s="2">
        <f>Calc_Engine!D58</f>
        <v/>
      </c>
      <c r="E58" s="4">
        <f>Calc_Engine!E58</f>
        <v/>
      </c>
      <c r="F58" s="5">
        <f>Calc_Engine!F58</f>
        <v/>
      </c>
      <c r="G58" s="5">
        <f>Calc_Engine!G58</f>
        <v/>
      </c>
      <c r="H58" s="2">
        <f>LET(id,$A58,code,UPPER(TRIM($D58)),rawStart,$F58,rawEnd,$G58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8" s="2">
        <f>LET(id,$A58,code,UPPER(TRIM($D58)),rawStart,$F58,rawEnd,$G58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8" s="2">
        <f>LET(id,$A58,code,UPPER(TRIM($D58)),rawStart,$F58,rawEnd,$G58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8" s="2">
        <f>LET(id,$A58,code,UPPER(TRIM($D58)),rawStart,$F58,rawEnd,$G58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8" s="2">
        <f>LET(id,$A58,code,UPPER(TRIM($D58)),rawStart,$F58,rawEnd,$G58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8" s="2">
        <f>LET(id,$A58,code,UPPER(TRIM($D58)),rawStart,$F58,rawEnd,$G58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8" s="2">
        <f>LET(id,$A58,code,UPPER(TRIM($D58)),rawStart,$F58,rawEnd,$G58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8" s="2">
        <f>LET(id,$A58,code,UPPER(TRIM($D58)),rawStart,$F58,rawEnd,$G58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8" s="2">
        <f>LET(id,$A58,code,UPPER(TRIM($D58)),rawStart,$F58,rawEnd,$G58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8" s="2">
        <f>LET(id,$A58,code,UPPER(TRIM($D58)),rawStart,$F58,rawEnd,$G58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8" s="2">
        <f>LET(id,$A58,code,UPPER(TRIM($D58)),rawStart,$F58,rawEnd,$G58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8" s="2">
        <f>LET(id,$A58,code,UPPER(TRIM($D58)),rawStart,$F58,rawEnd,$G58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8" s="2">
        <f>LET(id,$A58,code,UPPER(TRIM($D58)),rawStart,$F58,rawEnd,$G58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8" s="2">
        <f>LET(id,$A58,code,UPPER(TRIM($D58)),rawStart,$F58,rawEnd,$G58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8" s="2">
        <f>LET(id,$A58,code,UPPER(TRIM($D58)),rawStart,$F58,rawEnd,$G58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8" s="2">
        <f>LET(id,$A58,code,UPPER(TRIM($D58)),rawStart,$F58,rawEnd,$G58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8" s="2">
        <f>LET(id,$A58,code,UPPER(TRIM($D58)),rawStart,$F58,rawEnd,$G58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8" s="2">
        <f>LET(id,$A58,code,UPPER(TRIM($D58)),rawStart,$F58,rawEnd,$G58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8" s="2">
        <f>LET(id,$A58,code,UPPER(TRIM($D58)),rawStart,$F58,rawEnd,$G58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8" s="2">
        <f>LET(id,$A58,code,UPPER(TRIM($D58)),rawStart,$F58,rawEnd,$G58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8" s="2">
        <f>LET(id,$A58,code,UPPER(TRIM($D58)),rawStart,$F58,rawEnd,$G58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8" s="2">
        <f>LET(id,$A58,code,UPPER(TRIM($D58)),rawStart,$F58,rawEnd,$G58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8" s="2">
        <f>LET(id,$A58,code,UPPER(TRIM($D58)),rawStart,$F58,rawEnd,$G58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8" s="2">
        <f>LET(id,$A58,code,UPPER(TRIM($D58)),rawStart,$F58,rawEnd,$G58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8" s="2">
        <f>LET(id,$A58,code,UPPER(TRIM($D58)),rawStart,$F58,rawEnd,$G58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8" s="2">
        <f>LET(id,$A58,code,UPPER(TRIM($D58)),rawStart,$F58,rawEnd,$G58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8" s="2">
        <f>LET(id,$A58,code,UPPER(TRIM($D58)),rawStart,$F58,rawEnd,$G58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8" s="2">
        <f>LET(id,$A58,code,UPPER(TRIM($D58)),rawStart,$F58,rawEnd,$G58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8" s="2">
        <f>LET(id,$A58,code,UPPER(TRIM($D58)),rawStart,$F58,rawEnd,$G58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8" s="2">
        <f>LET(id,$A58,code,UPPER(TRIM($D58)),rawStart,$F58,rawEnd,$G58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8" s="2">
        <f>LET(id,$A58,code,UPPER(TRIM($D58)),rawStart,$F58,rawEnd,$G58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8" s="2">
        <f>LET(id,$A58,code,UPPER(TRIM($D58)),rawStart,$F58,rawEnd,$G58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8" s="2">
        <f>LET(id,$A58,code,UPPER(TRIM($D58)),rawStart,$F58,rawEnd,$G58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8" s="2">
        <f>LET(id,$A58,code,UPPER(TRIM($D58)),rawStart,$F58,rawEnd,$G58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8" s="2">
        <f>LET(id,$A58,code,UPPER(TRIM($D58)),rawStart,$F58,rawEnd,$G58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8" s="2">
        <f>LET(id,$A58,code,UPPER(TRIM($D58)),rawStart,$F58,rawEnd,$G58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8" s="2">
        <f>LET(id,$A58,code,UPPER(TRIM($D58)),rawStart,$F58,rawEnd,$G58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8" s="2">
        <f>LET(id,$A58,code,UPPER(TRIM($D58)),rawStart,$F58,rawEnd,$G58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8" s="2">
        <f>LET(id,$A58,code,UPPER(TRIM($D58)),rawStart,$F58,rawEnd,$G58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8" s="2">
        <f>LET(id,$A58,code,UPPER(TRIM($D58)),rawStart,$F58,rawEnd,$G58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8" s="2">
        <f>LET(id,$A58,code,UPPER(TRIM($D58)),rawStart,$F58,rawEnd,$G58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8" s="2">
        <f>LET(id,$A58,code,UPPER(TRIM($D58)),rawStart,$F58,rawEnd,$G58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8" s="2">
        <f>LET(id,$A58,code,UPPER(TRIM($D58)),rawStart,$F58,rawEnd,$G58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8" s="2">
        <f>LET(id,$A58,code,UPPER(TRIM($D58)),rawStart,$F58,rawEnd,$G58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8" s="2">
        <f>LET(id,$A58,code,UPPER(TRIM($D58)),rawStart,$F58,rawEnd,$G58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8" s="2">
        <f>LET(id,$A58,code,UPPER(TRIM($D58)),rawStart,$F58,rawEnd,$G58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8" s="2">
        <f>LET(id,$A58,code,UPPER(TRIM($D58)),rawStart,$F58,rawEnd,$G58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8" s="2">
        <f>LET(id,$A58,code,UPPER(TRIM($D58)),rawStart,$F58,rawEnd,$G58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58" s="2">
        <f>Calc_Engine!BD58</f>
        <v/>
      </c>
    </row>
    <row r="59">
      <c r="A59" s="2">
        <f>Calc_Engine!A59</f>
        <v/>
      </c>
      <c r="B59" s="2">
        <f>Calc_Engine!B59</f>
        <v/>
      </c>
      <c r="C59" s="2">
        <f>Calc_Engine!C59</f>
        <v/>
      </c>
      <c r="D59" s="2">
        <f>Calc_Engine!D59</f>
        <v/>
      </c>
      <c r="E59" s="4">
        <f>Calc_Engine!E59</f>
        <v/>
      </c>
      <c r="F59" s="5">
        <f>Calc_Engine!F59</f>
        <v/>
      </c>
      <c r="G59" s="5">
        <f>Calc_Engine!G59</f>
        <v/>
      </c>
      <c r="H59" s="2">
        <f>LET(id,$A59,code,UPPER(TRIM($D59)),rawStart,$F59,rawEnd,$G59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9" s="2">
        <f>LET(id,$A59,code,UPPER(TRIM($D59)),rawStart,$F59,rawEnd,$G59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9" s="2">
        <f>LET(id,$A59,code,UPPER(TRIM($D59)),rawStart,$F59,rawEnd,$G59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9" s="2">
        <f>LET(id,$A59,code,UPPER(TRIM($D59)),rawStart,$F59,rawEnd,$G59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9" s="2">
        <f>LET(id,$A59,code,UPPER(TRIM($D59)),rawStart,$F59,rawEnd,$G59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9" s="2">
        <f>LET(id,$A59,code,UPPER(TRIM($D59)),rawStart,$F59,rawEnd,$G59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9" s="2">
        <f>LET(id,$A59,code,UPPER(TRIM($D59)),rawStart,$F59,rawEnd,$G59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9" s="2">
        <f>LET(id,$A59,code,UPPER(TRIM($D59)),rawStart,$F59,rawEnd,$G59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9" s="2">
        <f>LET(id,$A59,code,UPPER(TRIM($D59)),rawStart,$F59,rawEnd,$G59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9" s="2">
        <f>LET(id,$A59,code,UPPER(TRIM($D59)),rawStart,$F59,rawEnd,$G59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9" s="2">
        <f>LET(id,$A59,code,UPPER(TRIM($D59)),rawStart,$F59,rawEnd,$G59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9" s="2">
        <f>LET(id,$A59,code,UPPER(TRIM($D59)),rawStart,$F59,rawEnd,$G59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9" s="2">
        <f>LET(id,$A59,code,UPPER(TRIM($D59)),rawStart,$F59,rawEnd,$G59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9" s="2">
        <f>LET(id,$A59,code,UPPER(TRIM($D59)),rawStart,$F59,rawEnd,$G59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9" s="2">
        <f>LET(id,$A59,code,UPPER(TRIM($D59)),rawStart,$F59,rawEnd,$G59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9" s="2">
        <f>LET(id,$A59,code,UPPER(TRIM($D59)),rawStart,$F59,rawEnd,$G59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9" s="2">
        <f>LET(id,$A59,code,UPPER(TRIM($D59)),rawStart,$F59,rawEnd,$G59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9" s="2">
        <f>LET(id,$A59,code,UPPER(TRIM($D59)),rawStart,$F59,rawEnd,$G59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9" s="2">
        <f>LET(id,$A59,code,UPPER(TRIM($D59)),rawStart,$F59,rawEnd,$G59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9" s="2">
        <f>LET(id,$A59,code,UPPER(TRIM($D59)),rawStart,$F59,rawEnd,$G59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9" s="2">
        <f>LET(id,$A59,code,UPPER(TRIM($D59)),rawStart,$F59,rawEnd,$G59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9" s="2">
        <f>LET(id,$A59,code,UPPER(TRIM($D59)),rawStart,$F59,rawEnd,$G59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9" s="2">
        <f>LET(id,$A59,code,UPPER(TRIM($D59)),rawStart,$F59,rawEnd,$G59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9" s="2">
        <f>LET(id,$A59,code,UPPER(TRIM($D59)),rawStart,$F59,rawEnd,$G59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9" s="2">
        <f>LET(id,$A59,code,UPPER(TRIM($D59)),rawStart,$F59,rawEnd,$G59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9" s="2">
        <f>LET(id,$A59,code,UPPER(TRIM($D59)),rawStart,$F59,rawEnd,$G59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9" s="2">
        <f>LET(id,$A59,code,UPPER(TRIM($D59)),rawStart,$F59,rawEnd,$G59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9" s="2">
        <f>LET(id,$A59,code,UPPER(TRIM($D59)),rawStart,$F59,rawEnd,$G59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9" s="2">
        <f>LET(id,$A59,code,UPPER(TRIM($D59)),rawStart,$F59,rawEnd,$G59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9" s="2">
        <f>LET(id,$A59,code,UPPER(TRIM($D59)),rawStart,$F59,rawEnd,$G59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9" s="2">
        <f>LET(id,$A59,code,UPPER(TRIM($D59)),rawStart,$F59,rawEnd,$G59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9" s="2">
        <f>LET(id,$A59,code,UPPER(TRIM($D59)),rawStart,$F59,rawEnd,$G59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9" s="2">
        <f>LET(id,$A59,code,UPPER(TRIM($D59)),rawStart,$F59,rawEnd,$G59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9" s="2">
        <f>LET(id,$A59,code,UPPER(TRIM($D59)),rawStart,$F59,rawEnd,$G59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9" s="2">
        <f>LET(id,$A59,code,UPPER(TRIM($D59)),rawStart,$F59,rawEnd,$G59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9" s="2">
        <f>LET(id,$A59,code,UPPER(TRIM($D59)),rawStart,$F59,rawEnd,$G59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9" s="2">
        <f>LET(id,$A59,code,UPPER(TRIM($D59)),rawStart,$F59,rawEnd,$G59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9" s="2">
        <f>LET(id,$A59,code,UPPER(TRIM($D59)),rawStart,$F59,rawEnd,$G59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9" s="2">
        <f>LET(id,$A59,code,UPPER(TRIM($D59)),rawStart,$F59,rawEnd,$G59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9" s="2">
        <f>LET(id,$A59,code,UPPER(TRIM($D59)),rawStart,$F59,rawEnd,$G59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9" s="2">
        <f>LET(id,$A59,code,UPPER(TRIM($D59)),rawStart,$F59,rawEnd,$G59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9" s="2">
        <f>LET(id,$A59,code,UPPER(TRIM($D59)),rawStart,$F59,rawEnd,$G59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9" s="2">
        <f>LET(id,$A59,code,UPPER(TRIM($D59)),rawStart,$F59,rawEnd,$G59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9" s="2">
        <f>LET(id,$A59,code,UPPER(TRIM($D59)),rawStart,$F59,rawEnd,$G59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9" s="2">
        <f>LET(id,$A59,code,UPPER(TRIM($D59)),rawStart,$F59,rawEnd,$G59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9" s="2">
        <f>LET(id,$A59,code,UPPER(TRIM($D59)),rawStart,$F59,rawEnd,$G59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9" s="2">
        <f>LET(id,$A59,code,UPPER(TRIM($D59)),rawStart,$F59,rawEnd,$G59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9" s="2">
        <f>LET(id,$A59,code,UPPER(TRIM($D59)),rawStart,$F59,rawEnd,$G59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59" s="2">
        <f>Calc_Engine!BD59</f>
        <v/>
      </c>
    </row>
    <row r="60">
      <c r="A60" s="2">
        <f>Calc_Engine!A60</f>
        <v/>
      </c>
      <c r="B60" s="2">
        <f>Calc_Engine!B60</f>
        <v/>
      </c>
      <c r="C60" s="2">
        <f>Calc_Engine!C60</f>
        <v/>
      </c>
      <c r="D60" s="2">
        <f>Calc_Engine!D60</f>
        <v/>
      </c>
      <c r="E60" s="4">
        <f>Calc_Engine!E60</f>
        <v/>
      </c>
      <c r="F60" s="5">
        <f>Calc_Engine!F60</f>
        <v/>
      </c>
      <c r="G60" s="5">
        <f>Calc_Engine!G60</f>
        <v/>
      </c>
      <c r="H60" s="2">
        <f>LET(id,$A60,code,UPPER(TRIM($D60)),rawStart,$F60,rawEnd,$G60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0" s="2">
        <f>LET(id,$A60,code,UPPER(TRIM($D60)),rawStart,$F60,rawEnd,$G60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0" s="2">
        <f>LET(id,$A60,code,UPPER(TRIM($D60)),rawStart,$F60,rawEnd,$G60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0" s="2">
        <f>LET(id,$A60,code,UPPER(TRIM($D60)),rawStart,$F60,rawEnd,$G60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0" s="2">
        <f>LET(id,$A60,code,UPPER(TRIM($D60)),rawStart,$F60,rawEnd,$G60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0" s="2">
        <f>LET(id,$A60,code,UPPER(TRIM($D60)),rawStart,$F60,rawEnd,$G60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0" s="2">
        <f>LET(id,$A60,code,UPPER(TRIM($D60)),rawStart,$F60,rawEnd,$G60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0" s="2">
        <f>LET(id,$A60,code,UPPER(TRIM($D60)),rawStart,$F60,rawEnd,$G60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0" s="2">
        <f>LET(id,$A60,code,UPPER(TRIM($D60)),rawStart,$F60,rawEnd,$G60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0" s="2">
        <f>LET(id,$A60,code,UPPER(TRIM($D60)),rawStart,$F60,rawEnd,$G60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0" s="2">
        <f>LET(id,$A60,code,UPPER(TRIM($D60)),rawStart,$F60,rawEnd,$G60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0" s="2">
        <f>LET(id,$A60,code,UPPER(TRIM($D60)),rawStart,$F60,rawEnd,$G60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0" s="2">
        <f>LET(id,$A60,code,UPPER(TRIM($D60)),rawStart,$F60,rawEnd,$G60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0" s="2">
        <f>LET(id,$A60,code,UPPER(TRIM($D60)),rawStart,$F60,rawEnd,$G60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0" s="2">
        <f>LET(id,$A60,code,UPPER(TRIM($D60)),rawStart,$F60,rawEnd,$G60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0" s="2">
        <f>LET(id,$A60,code,UPPER(TRIM($D60)),rawStart,$F60,rawEnd,$G60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0" s="2">
        <f>LET(id,$A60,code,UPPER(TRIM($D60)),rawStart,$F60,rawEnd,$G60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0" s="2">
        <f>LET(id,$A60,code,UPPER(TRIM($D60)),rawStart,$F60,rawEnd,$G60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0" s="2">
        <f>LET(id,$A60,code,UPPER(TRIM($D60)),rawStart,$F60,rawEnd,$G60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0" s="2">
        <f>LET(id,$A60,code,UPPER(TRIM($D60)),rawStart,$F60,rawEnd,$G60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0" s="2">
        <f>LET(id,$A60,code,UPPER(TRIM($D60)),rawStart,$F60,rawEnd,$G60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0" s="2">
        <f>LET(id,$A60,code,UPPER(TRIM($D60)),rawStart,$F60,rawEnd,$G60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0" s="2">
        <f>LET(id,$A60,code,UPPER(TRIM($D60)),rawStart,$F60,rawEnd,$G60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0" s="2">
        <f>LET(id,$A60,code,UPPER(TRIM($D60)),rawStart,$F60,rawEnd,$G60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0" s="2">
        <f>LET(id,$A60,code,UPPER(TRIM($D60)),rawStart,$F60,rawEnd,$G60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0" s="2">
        <f>LET(id,$A60,code,UPPER(TRIM($D60)),rawStart,$F60,rawEnd,$G60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0" s="2">
        <f>LET(id,$A60,code,UPPER(TRIM($D60)),rawStart,$F60,rawEnd,$G60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0" s="2">
        <f>LET(id,$A60,code,UPPER(TRIM($D60)),rawStart,$F60,rawEnd,$G60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0" s="2">
        <f>LET(id,$A60,code,UPPER(TRIM($D60)),rawStart,$F60,rawEnd,$G60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0" s="2">
        <f>LET(id,$A60,code,UPPER(TRIM($D60)),rawStart,$F60,rawEnd,$G60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0" s="2">
        <f>LET(id,$A60,code,UPPER(TRIM($D60)),rawStart,$F60,rawEnd,$G60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0" s="2">
        <f>LET(id,$A60,code,UPPER(TRIM($D60)),rawStart,$F60,rawEnd,$G60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0" s="2">
        <f>LET(id,$A60,code,UPPER(TRIM($D60)),rawStart,$F60,rawEnd,$G60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0" s="2">
        <f>LET(id,$A60,code,UPPER(TRIM($D60)),rawStart,$F60,rawEnd,$G60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0" s="2">
        <f>LET(id,$A60,code,UPPER(TRIM($D60)),rawStart,$F60,rawEnd,$G60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0" s="2">
        <f>LET(id,$A60,code,UPPER(TRIM($D60)),rawStart,$F60,rawEnd,$G60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0" s="2">
        <f>LET(id,$A60,code,UPPER(TRIM($D60)),rawStart,$F60,rawEnd,$G60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0" s="2">
        <f>LET(id,$A60,code,UPPER(TRIM($D60)),rawStart,$F60,rawEnd,$G60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0" s="2">
        <f>LET(id,$A60,code,UPPER(TRIM($D60)),rawStart,$F60,rawEnd,$G60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0" s="2">
        <f>LET(id,$A60,code,UPPER(TRIM($D60)),rawStart,$F60,rawEnd,$G60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0" s="2">
        <f>LET(id,$A60,code,UPPER(TRIM($D60)),rawStart,$F60,rawEnd,$G60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0" s="2">
        <f>LET(id,$A60,code,UPPER(TRIM($D60)),rawStart,$F60,rawEnd,$G60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0" s="2">
        <f>LET(id,$A60,code,UPPER(TRIM($D60)),rawStart,$F60,rawEnd,$G60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0" s="2">
        <f>LET(id,$A60,code,UPPER(TRIM($D60)),rawStart,$F60,rawEnd,$G60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0" s="2">
        <f>LET(id,$A60,code,UPPER(TRIM($D60)),rawStart,$F60,rawEnd,$G60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0" s="2">
        <f>LET(id,$A60,code,UPPER(TRIM($D60)),rawStart,$F60,rawEnd,$G60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0" s="2">
        <f>LET(id,$A60,code,UPPER(TRIM($D60)),rawStart,$F60,rawEnd,$G60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0" s="2">
        <f>LET(id,$A60,code,UPPER(TRIM($D60)),rawStart,$F60,rawEnd,$G60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60" s="2">
        <f>Calc_Engine!BD60</f>
        <v/>
      </c>
    </row>
    <row r="61">
      <c r="A61" s="2">
        <f>Calc_Engine!A61</f>
        <v/>
      </c>
      <c r="B61" s="2">
        <f>Calc_Engine!B61</f>
        <v/>
      </c>
      <c r="C61" s="2">
        <f>Calc_Engine!C61</f>
        <v/>
      </c>
      <c r="D61" s="2">
        <f>Calc_Engine!D61</f>
        <v/>
      </c>
      <c r="E61" s="4">
        <f>Calc_Engine!E61</f>
        <v/>
      </c>
      <c r="F61" s="5">
        <f>Calc_Engine!F61</f>
        <v/>
      </c>
      <c r="G61" s="5">
        <f>Calc_Engine!G61</f>
        <v/>
      </c>
      <c r="H61" s="2">
        <f>LET(id,$A61,code,UPPER(TRIM($D61)),rawStart,$F61,rawEnd,$G61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1" s="2">
        <f>LET(id,$A61,code,UPPER(TRIM($D61)),rawStart,$F61,rawEnd,$G61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1" s="2">
        <f>LET(id,$A61,code,UPPER(TRIM($D61)),rawStart,$F61,rawEnd,$G61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1" s="2">
        <f>LET(id,$A61,code,UPPER(TRIM($D61)),rawStart,$F61,rawEnd,$G61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1" s="2">
        <f>LET(id,$A61,code,UPPER(TRIM($D61)),rawStart,$F61,rawEnd,$G61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1" s="2">
        <f>LET(id,$A61,code,UPPER(TRIM($D61)),rawStart,$F61,rawEnd,$G61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1" s="2">
        <f>LET(id,$A61,code,UPPER(TRIM($D61)),rawStart,$F61,rawEnd,$G61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1" s="2">
        <f>LET(id,$A61,code,UPPER(TRIM($D61)),rawStart,$F61,rawEnd,$G61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1" s="2">
        <f>LET(id,$A61,code,UPPER(TRIM($D61)),rawStart,$F61,rawEnd,$G61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1" s="2">
        <f>LET(id,$A61,code,UPPER(TRIM($D61)),rawStart,$F61,rawEnd,$G61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1" s="2">
        <f>LET(id,$A61,code,UPPER(TRIM($D61)),rawStart,$F61,rawEnd,$G61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1" s="2">
        <f>LET(id,$A61,code,UPPER(TRIM($D61)),rawStart,$F61,rawEnd,$G61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1" s="2">
        <f>LET(id,$A61,code,UPPER(TRIM($D61)),rawStart,$F61,rawEnd,$G61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1" s="2">
        <f>LET(id,$A61,code,UPPER(TRIM($D61)),rawStart,$F61,rawEnd,$G61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1" s="2">
        <f>LET(id,$A61,code,UPPER(TRIM($D61)),rawStart,$F61,rawEnd,$G61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1" s="2">
        <f>LET(id,$A61,code,UPPER(TRIM($D61)),rawStart,$F61,rawEnd,$G61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1" s="2">
        <f>LET(id,$A61,code,UPPER(TRIM($D61)),rawStart,$F61,rawEnd,$G61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1" s="2">
        <f>LET(id,$A61,code,UPPER(TRIM($D61)),rawStart,$F61,rawEnd,$G61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1" s="2">
        <f>LET(id,$A61,code,UPPER(TRIM($D61)),rawStart,$F61,rawEnd,$G61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1" s="2">
        <f>LET(id,$A61,code,UPPER(TRIM($D61)),rawStart,$F61,rawEnd,$G61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1" s="2">
        <f>LET(id,$A61,code,UPPER(TRIM($D61)),rawStart,$F61,rawEnd,$G61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1" s="2">
        <f>LET(id,$A61,code,UPPER(TRIM($D61)),rawStart,$F61,rawEnd,$G61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1" s="2">
        <f>LET(id,$A61,code,UPPER(TRIM($D61)),rawStart,$F61,rawEnd,$G61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1" s="2">
        <f>LET(id,$A61,code,UPPER(TRIM($D61)),rawStart,$F61,rawEnd,$G61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1" s="2">
        <f>LET(id,$A61,code,UPPER(TRIM($D61)),rawStart,$F61,rawEnd,$G61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1" s="2">
        <f>LET(id,$A61,code,UPPER(TRIM($D61)),rawStart,$F61,rawEnd,$G61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1" s="2">
        <f>LET(id,$A61,code,UPPER(TRIM($D61)),rawStart,$F61,rawEnd,$G61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1" s="2">
        <f>LET(id,$A61,code,UPPER(TRIM($D61)),rawStart,$F61,rawEnd,$G61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1" s="2">
        <f>LET(id,$A61,code,UPPER(TRIM($D61)),rawStart,$F61,rawEnd,$G61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1" s="2">
        <f>LET(id,$A61,code,UPPER(TRIM($D61)),rawStart,$F61,rawEnd,$G61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1" s="2">
        <f>LET(id,$A61,code,UPPER(TRIM($D61)),rawStart,$F61,rawEnd,$G61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1" s="2">
        <f>LET(id,$A61,code,UPPER(TRIM($D61)),rawStart,$F61,rawEnd,$G61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1" s="2">
        <f>LET(id,$A61,code,UPPER(TRIM($D61)),rawStart,$F61,rawEnd,$G61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1" s="2">
        <f>LET(id,$A61,code,UPPER(TRIM($D61)),rawStart,$F61,rawEnd,$G61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1" s="2">
        <f>LET(id,$A61,code,UPPER(TRIM($D61)),rawStart,$F61,rawEnd,$G61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1" s="2">
        <f>LET(id,$A61,code,UPPER(TRIM($D61)),rawStart,$F61,rawEnd,$G61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1" s="2">
        <f>LET(id,$A61,code,UPPER(TRIM($D61)),rawStart,$F61,rawEnd,$G61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1" s="2">
        <f>LET(id,$A61,code,UPPER(TRIM($D61)),rawStart,$F61,rawEnd,$G61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1" s="2">
        <f>LET(id,$A61,code,UPPER(TRIM($D61)),rawStart,$F61,rawEnd,$G61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1" s="2">
        <f>LET(id,$A61,code,UPPER(TRIM($D61)),rawStart,$F61,rawEnd,$G61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1" s="2">
        <f>LET(id,$A61,code,UPPER(TRIM($D61)),rawStart,$F61,rawEnd,$G61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1" s="2">
        <f>LET(id,$A61,code,UPPER(TRIM($D61)),rawStart,$F61,rawEnd,$G61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1" s="2">
        <f>LET(id,$A61,code,UPPER(TRIM($D61)),rawStart,$F61,rawEnd,$G61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1" s="2">
        <f>LET(id,$A61,code,UPPER(TRIM($D61)),rawStart,$F61,rawEnd,$G61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1" s="2">
        <f>LET(id,$A61,code,UPPER(TRIM($D61)),rawStart,$F61,rawEnd,$G61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1" s="2">
        <f>LET(id,$A61,code,UPPER(TRIM($D61)),rawStart,$F61,rawEnd,$G61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1" s="2">
        <f>LET(id,$A61,code,UPPER(TRIM($D61)),rawStart,$F61,rawEnd,$G61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1" s="2">
        <f>LET(id,$A61,code,UPPER(TRIM($D61)),rawStart,$F61,rawEnd,$G61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61" s="2">
        <f>Calc_Engine!BD61</f>
        <v/>
      </c>
    </row>
    <row r="62">
      <c r="A62" s="2">
        <f>Calc_Engine!A62</f>
        <v/>
      </c>
      <c r="B62" s="2">
        <f>Calc_Engine!B62</f>
        <v/>
      </c>
      <c r="C62" s="2">
        <f>Calc_Engine!C62</f>
        <v/>
      </c>
      <c r="D62" s="2">
        <f>Calc_Engine!D62</f>
        <v/>
      </c>
      <c r="E62" s="4">
        <f>Calc_Engine!E62</f>
        <v/>
      </c>
      <c r="F62" s="5">
        <f>Calc_Engine!F62</f>
        <v/>
      </c>
      <c r="G62" s="5">
        <f>Calc_Engine!G62</f>
        <v/>
      </c>
      <c r="H62" s="2">
        <f>LET(id,$A62,code,UPPER(TRIM($D62)),rawStart,$F62,rawEnd,$G62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2" s="2">
        <f>LET(id,$A62,code,UPPER(TRIM($D62)),rawStart,$F62,rawEnd,$G62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2" s="2">
        <f>LET(id,$A62,code,UPPER(TRIM($D62)),rawStart,$F62,rawEnd,$G62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2" s="2">
        <f>LET(id,$A62,code,UPPER(TRIM($D62)),rawStart,$F62,rawEnd,$G62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2" s="2">
        <f>LET(id,$A62,code,UPPER(TRIM($D62)),rawStart,$F62,rawEnd,$G62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2" s="2">
        <f>LET(id,$A62,code,UPPER(TRIM($D62)),rawStart,$F62,rawEnd,$G62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2" s="2">
        <f>LET(id,$A62,code,UPPER(TRIM($D62)),rawStart,$F62,rawEnd,$G62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2" s="2">
        <f>LET(id,$A62,code,UPPER(TRIM($D62)),rawStart,$F62,rawEnd,$G62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2" s="2">
        <f>LET(id,$A62,code,UPPER(TRIM($D62)),rawStart,$F62,rawEnd,$G62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2" s="2">
        <f>LET(id,$A62,code,UPPER(TRIM($D62)),rawStart,$F62,rawEnd,$G62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2" s="2">
        <f>LET(id,$A62,code,UPPER(TRIM($D62)),rawStart,$F62,rawEnd,$G62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2" s="2">
        <f>LET(id,$A62,code,UPPER(TRIM($D62)),rawStart,$F62,rawEnd,$G62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2" s="2">
        <f>LET(id,$A62,code,UPPER(TRIM($D62)),rawStart,$F62,rawEnd,$G62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2" s="2">
        <f>LET(id,$A62,code,UPPER(TRIM($D62)),rawStart,$F62,rawEnd,$G62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2" s="2">
        <f>LET(id,$A62,code,UPPER(TRIM($D62)),rawStart,$F62,rawEnd,$G62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2" s="2">
        <f>LET(id,$A62,code,UPPER(TRIM($D62)),rawStart,$F62,rawEnd,$G62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2" s="2">
        <f>LET(id,$A62,code,UPPER(TRIM($D62)),rawStart,$F62,rawEnd,$G62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2" s="2">
        <f>LET(id,$A62,code,UPPER(TRIM($D62)),rawStart,$F62,rawEnd,$G62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2" s="2">
        <f>LET(id,$A62,code,UPPER(TRIM($D62)),rawStart,$F62,rawEnd,$G62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2" s="2">
        <f>LET(id,$A62,code,UPPER(TRIM($D62)),rawStart,$F62,rawEnd,$G62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2" s="2">
        <f>LET(id,$A62,code,UPPER(TRIM($D62)),rawStart,$F62,rawEnd,$G62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2" s="2">
        <f>LET(id,$A62,code,UPPER(TRIM($D62)),rawStart,$F62,rawEnd,$G62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2" s="2">
        <f>LET(id,$A62,code,UPPER(TRIM($D62)),rawStart,$F62,rawEnd,$G62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2" s="2">
        <f>LET(id,$A62,code,UPPER(TRIM($D62)),rawStart,$F62,rawEnd,$G62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2" s="2">
        <f>LET(id,$A62,code,UPPER(TRIM($D62)),rawStart,$F62,rawEnd,$G62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2" s="2">
        <f>LET(id,$A62,code,UPPER(TRIM($D62)),rawStart,$F62,rawEnd,$G62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2" s="2">
        <f>LET(id,$A62,code,UPPER(TRIM($D62)),rawStart,$F62,rawEnd,$G62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2" s="2">
        <f>LET(id,$A62,code,UPPER(TRIM($D62)),rawStart,$F62,rawEnd,$G62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2" s="2">
        <f>LET(id,$A62,code,UPPER(TRIM($D62)),rawStart,$F62,rawEnd,$G62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2" s="2">
        <f>LET(id,$A62,code,UPPER(TRIM($D62)),rawStart,$F62,rawEnd,$G62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2" s="2">
        <f>LET(id,$A62,code,UPPER(TRIM($D62)),rawStart,$F62,rawEnd,$G62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2" s="2">
        <f>LET(id,$A62,code,UPPER(TRIM($D62)),rawStart,$F62,rawEnd,$G62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2" s="2">
        <f>LET(id,$A62,code,UPPER(TRIM($D62)),rawStart,$F62,rawEnd,$G62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2" s="2">
        <f>LET(id,$A62,code,UPPER(TRIM($D62)),rawStart,$F62,rawEnd,$G62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2" s="2">
        <f>LET(id,$A62,code,UPPER(TRIM($D62)),rawStart,$F62,rawEnd,$G62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2" s="2">
        <f>LET(id,$A62,code,UPPER(TRIM($D62)),rawStart,$F62,rawEnd,$G62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2" s="2">
        <f>LET(id,$A62,code,UPPER(TRIM($D62)),rawStart,$F62,rawEnd,$G62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2" s="2">
        <f>LET(id,$A62,code,UPPER(TRIM($D62)),rawStart,$F62,rawEnd,$G62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2" s="2">
        <f>LET(id,$A62,code,UPPER(TRIM($D62)),rawStart,$F62,rawEnd,$G62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2" s="2">
        <f>LET(id,$A62,code,UPPER(TRIM($D62)),rawStart,$F62,rawEnd,$G62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2" s="2">
        <f>LET(id,$A62,code,UPPER(TRIM($D62)),rawStart,$F62,rawEnd,$G62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2" s="2">
        <f>LET(id,$A62,code,UPPER(TRIM($D62)),rawStart,$F62,rawEnd,$G62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2" s="2">
        <f>LET(id,$A62,code,UPPER(TRIM($D62)),rawStart,$F62,rawEnd,$G62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2" s="2">
        <f>LET(id,$A62,code,UPPER(TRIM($D62)),rawStart,$F62,rawEnd,$G62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2" s="2">
        <f>LET(id,$A62,code,UPPER(TRIM($D62)),rawStart,$F62,rawEnd,$G62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2" s="2">
        <f>LET(id,$A62,code,UPPER(TRIM($D62)),rawStart,$F62,rawEnd,$G62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2" s="2">
        <f>LET(id,$A62,code,UPPER(TRIM($D62)),rawStart,$F62,rawEnd,$G62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2" s="2">
        <f>LET(id,$A62,code,UPPER(TRIM($D62)),rawStart,$F62,rawEnd,$G62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62" s="2">
        <f>Calc_Engine!BD62</f>
        <v/>
      </c>
    </row>
    <row r="63">
      <c r="A63" s="2">
        <f>Calc_Engine!A63</f>
        <v/>
      </c>
      <c r="B63" s="2">
        <f>Calc_Engine!B63</f>
        <v/>
      </c>
      <c r="C63" s="2">
        <f>Calc_Engine!C63</f>
        <v/>
      </c>
      <c r="D63" s="2">
        <f>Calc_Engine!D63</f>
        <v/>
      </c>
      <c r="E63" s="4">
        <f>Calc_Engine!E63</f>
        <v/>
      </c>
      <c r="F63" s="5">
        <f>Calc_Engine!F63</f>
        <v/>
      </c>
      <c r="G63" s="5">
        <f>Calc_Engine!G63</f>
        <v/>
      </c>
      <c r="H63" s="2">
        <f>LET(id,$A63,code,UPPER(TRIM($D63)),rawStart,$F63,rawEnd,$G63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3" s="2">
        <f>LET(id,$A63,code,UPPER(TRIM($D63)),rawStart,$F63,rawEnd,$G63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3" s="2">
        <f>LET(id,$A63,code,UPPER(TRIM($D63)),rawStart,$F63,rawEnd,$G63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3" s="2">
        <f>LET(id,$A63,code,UPPER(TRIM($D63)),rawStart,$F63,rawEnd,$G63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3" s="2">
        <f>LET(id,$A63,code,UPPER(TRIM($D63)),rawStart,$F63,rawEnd,$G63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3" s="2">
        <f>LET(id,$A63,code,UPPER(TRIM($D63)),rawStart,$F63,rawEnd,$G63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3" s="2">
        <f>LET(id,$A63,code,UPPER(TRIM($D63)),rawStart,$F63,rawEnd,$G63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3" s="2">
        <f>LET(id,$A63,code,UPPER(TRIM($D63)),rawStart,$F63,rawEnd,$G63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3" s="2">
        <f>LET(id,$A63,code,UPPER(TRIM($D63)),rawStart,$F63,rawEnd,$G63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3" s="2">
        <f>LET(id,$A63,code,UPPER(TRIM($D63)),rawStart,$F63,rawEnd,$G63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3" s="2">
        <f>LET(id,$A63,code,UPPER(TRIM($D63)),rawStart,$F63,rawEnd,$G63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3" s="2">
        <f>LET(id,$A63,code,UPPER(TRIM($D63)),rawStart,$F63,rawEnd,$G63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3" s="2">
        <f>LET(id,$A63,code,UPPER(TRIM($D63)),rawStart,$F63,rawEnd,$G63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3" s="2">
        <f>LET(id,$A63,code,UPPER(TRIM($D63)),rawStart,$F63,rawEnd,$G63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3" s="2">
        <f>LET(id,$A63,code,UPPER(TRIM($D63)),rawStart,$F63,rawEnd,$G63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3" s="2">
        <f>LET(id,$A63,code,UPPER(TRIM($D63)),rawStart,$F63,rawEnd,$G63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3" s="2">
        <f>LET(id,$A63,code,UPPER(TRIM($D63)),rawStart,$F63,rawEnd,$G63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3" s="2">
        <f>LET(id,$A63,code,UPPER(TRIM($D63)),rawStart,$F63,rawEnd,$G63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3" s="2">
        <f>LET(id,$A63,code,UPPER(TRIM($D63)),rawStart,$F63,rawEnd,$G63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3" s="2">
        <f>LET(id,$A63,code,UPPER(TRIM($D63)),rawStart,$F63,rawEnd,$G63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3" s="2">
        <f>LET(id,$A63,code,UPPER(TRIM($D63)),rawStart,$F63,rawEnd,$G63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3" s="2">
        <f>LET(id,$A63,code,UPPER(TRIM($D63)),rawStart,$F63,rawEnd,$G63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3" s="2">
        <f>LET(id,$A63,code,UPPER(TRIM($D63)),rawStart,$F63,rawEnd,$G63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3" s="2">
        <f>LET(id,$A63,code,UPPER(TRIM($D63)),rawStart,$F63,rawEnd,$G63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3" s="2">
        <f>LET(id,$A63,code,UPPER(TRIM($D63)),rawStart,$F63,rawEnd,$G63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3" s="2">
        <f>LET(id,$A63,code,UPPER(TRIM($D63)),rawStart,$F63,rawEnd,$G63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3" s="2">
        <f>LET(id,$A63,code,UPPER(TRIM($D63)),rawStart,$F63,rawEnd,$G63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3" s="2">
        <f>LET(id,$A63,code,UPPER(TRIM($D63)),rawStart,$F63,rawEnd,$G63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3" s="2">
        <f>LET(id,$A63,code,UPPER(TRIM($D63)),rawStart,$F63,rawEnd,$G63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3" s="2">
        <f>LET(id,$A63,code,UPPER(TRIM($D63)),rawStart,$F63,rawEnd,$G63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3" s="2">
        <f>LET(id,$A63,code,UPPER(TRIM($D63)),rawStart,$F63,rawEnd,$G63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3" s="2">
        <f>LET(id,$A63,code,UPPER(TRIM($D63)),rawStart,$F63,rawEnd,$G63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3" s="2">
        <f>LET(id,$A63,code,UPPER(TRIM($D63)),rawStart,$F63,rawEnd,$G63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3" s="2">
        <f>LET(id,$A63,code,UPPER(TRIM($D63)),rawStart,$F63,rawEnd,$G63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3" s="2">
        <f>LET(id,$A63,code,UPPER(TRIM($D63)),rawStart,$F63,rawEnd,$G63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3" s="2">
        <f>LET(id,$A63,code,UPPER(TRIM($D63)),rawStart,$F63,rawEnd,$G63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3" s="2">
        <f>LET(id,$A63,code,UPPER(TRIM($D63)),rawStart,$F63,rawEnd,$G63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3" s="2">
        <f>LET(id,$A63,code,UPPER(TRIM($D63)),rawStart,$F63,rawEnd,$G63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3" s="2">
        <f>LET(id,$A63,code,UPPER(TRIM($D63)),rawStart,$F63,rawEnd,$G63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3" s="2">
        <f>LET(id,$A63,code,UPPER(TRIM($D63)),rawStart,$F63,rawEnd,$G63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3" s="2">
        <f>LET(id,$A63,code,UPPER(TRIM($D63)),rawStart,$F63,rawEnd,$G63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3" s="2">
        <f>LET(id,$A63,code,UPPER(TRIM($D63)),rawStart,$F63,rawEnd,$G63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3" s="2">
        <f>LET(id,$A63,code,UPPER(TRIM($D63)),rawStart,$F63,rawEnd,$G63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3" s="2">
        <f>LET(id,$A63,code,UPPER(TRIM($D63)),rawStart,$F63,rawEnd,$G63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3" s="2">
        <f>LET(id,$A63,code,UPPER(TRIM($D63)),rawStart,$F63,rawEnd,$G63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3" s="2">
        <f>LET(id,$A63,code,UPPER(TRIM($D63)),rawStart,$F63,rawEnd,$G63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3" s="2">
        <f>LET(id,$A63,code,UPPER(TRIM($D63)),rawStart,$F63,rawEnd,$G63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3" s="2">
        <f>LET(id,$A63,code,UPPER(TRIM($D63)),rawStart,$F63,rawEnd,$G63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63" s="2">
        <f>Calc_Engine!BD63</f>
        <v/>
      </c>
    </row>
    <row r="64">
      <c r="A64" s="2">
        <f>Calc_Engine!A64</f>
        <v/>
      </c>
      <c r="B64" s="2">
        <f>Calc_Engine!B64</f>
        <v/>
      </c>
      <c r="C64" s="2">
        <f>Calc_Engine!C64</f>
        <v/>
      </c>
      <c r="D64" s="2">
        <f>Calc_Engine!D64</f>
        <v/>
      </c>
      <c r="E64" s="4">
        <f>Calc_Engine!E64</f>
        <v/>
      </c>
      <c r="F64" s="5">
        <f>Calc_Engine!F64</f>
        <v/>
      </c>
      <c r="G64" s="5">
        <f>Calc_Engine!G64</f>
        <v/>
      </c>
      <c r="H64" s="2">
        <f>LET(id,$A64,code,UPPER(TRIM($D64)),rawStart,$F64,rawEnd,$G64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4" s="2">
        <f>LET(id,$A64,code,UPPER(TRIM($D64)),rawStart,$F64,rawEnd,$G64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4" s="2">
        <f>LET(id,$A64,code,UPPER(TRIM($D64)),rawStart,$F64,rawEnd,$G64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4" s="2">
        <f>LET(id,$A64,code,UPPER(TRIM($D64)),rawStart,$F64,rawEnd,$G64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4" s="2">
        <f>LET(id,$A64,code,UPPER(TRIM($D64)),rawStart,$F64,rawEnd,$G64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4" s="2">
        <f>LET(id,$A64,code,UPPER(TRIM($D64)),rawStart,$F64,rawEnd,$G64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4" s="2">
        <f>LET(id,$A64,code,UPPER(TRIM($D64)),rawStart,$F64,rawEnd,$G64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4" s="2">
        <f>LET(id,$A64,code,UPPER(TRIM($D64)),rawStart,$F64,rawEnd,$G64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4" s="2">
        <f>LET(id,$A64,code,UPPER(TRIM($D64)),rawStart,$F64,rawEnd,$G64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4" s="2">
        <f>LET(id,$A64,code,UPPER(TRIM($D64)),rawStart,$F64,rawEnd,$G64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4" s="2">
        <f>LET(id,$A64,code,UPPER(TRIM($D64)),rawStart,$F64,rawEnd,$G64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4" s="2">
        <f>LET(id,$A64,code,UPPER(TRIM($D64)),rawStart,$F64,rawEnd,$G64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4" s="2">
        <f>LET(id,$A64,code,UPPER(TRIM($D64)),rawStart,$F64,rawEnd,$G64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4" s="2">
        <f>LET(id,$A64,code,UPPER(TRIM($D64)),rawStart,$F64,rawEnd,$G64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4" s="2">
        <f>LET(id,$A64,code,UPPER(TRIM($D64)),rawStart,$F64,rawEnd,$G64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4" s="2">
        <f>LET(id,$A64,code,UPPER(TRIM($D64)),rawStart,$F64,rawEnd,$G64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4" s="2">
        <f>LET(id,$A64,code,UPPER(TRIM($D64)),rawStart,$F64,rawEnd,$G64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4" s="2">
        <f>LET(id,$A64,code,UPPER(TRIM($D64)),rawStart,$F64,rawEnd,$G64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4" s="2">
        <f>LET(id,$A64,code,UPPER(TRIM($D64)),rawStart,$F64,rawEnd,$G64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4" s="2">
        <f>LET(id,$A64,code,UPPER(TRIM($D64)),rawStart,$F64,rawEnd,$G64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4" s="2">
        <f>LET(id,$A64,code,UPPER(TRIM($D64)),rawStart,$F64,rawEnd,$G64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4" s="2">
        <f>LET(id,$A64,code,UPPER(TRIM($D64)),rawStart,$F64,rawEnd,$G64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4" s="2">
        <f>LET(id,$A64,code,UPPER(TRIM($D64)),rawStart,$F64,rawEnd,$G64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4" s="2">
        <f>LET(id,$A64,code,UPPER(TRIM($D64)),rawStart,$F64,rawEnd,$G64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4" s="2">
        <f>LET(id,$A64,code,UPPER(TRIM($D64)),rawStart,$F64,rawEnd,$G64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4" s="2">
        <f>LET(id,$A64,code,UPPER(TRIM($D64)),rawStart,$F64,rawEnd,$G64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4" s="2">
        <f>LET(id,$A64,code,UPPER(TRIM($D64)),rawStart,$F64,rawEnd,$G64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4" s="2">
        <f>LET(id,$A64,code,UPPER(TRIM($D64)),rawStart,$F64,rawEnd,$G64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4" s="2">
        <f>LET(id,$A64,code,UPPER(TRIM($D64)),rawStart,$F64,rawEnd,$G64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4" s="2">
        <f>LET(id,$A64,code,UPPER(TRIM($D64)),rawStart,$F64,rawEnd,$G64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4" s="2">
        <f>LET(id,$A64,code,UPPER(TRIM($D64)),rawStart,$F64,rawEnd,$G64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4" s="2">
        <f>LET(id,$A64,code,UPPER(TRIM($D64)),rawStart,$F64,rawEnd,$G64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4" s="2">
        <f>LET(id,$A64,code,UPPER(TRIM($D64)),rawStart,$F64,rawEnd,$G64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4" s="2">
        <f>LET(id,$A64,code,UPPER(TRIM($D64)),rawStart,$F64,rawEnd,$G64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4" s="2">
        <f>LET(id,$A64,code,UPPER(TRIM($D64)),rawStart,$F64,rawEnd,$G64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4" s="2">
        <f>LET(id,$A64,code,UPPER(TRIM($D64)),rawStart,$F64,rawEnd,$G64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4" s="2">
        <f>LET(id,$A64,code,UPPER(TRIM($D64)),rawStart,$F64,rawEnd,$G64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4" s="2">
        <f>LET(id,$A64,code,UPPER(TRIM($D64)),rawStart,$F64,rawEnd,$G64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4" s="2">
        <f>LET(id,$A64,code,UPPER(TRIM($D64)),rawStart,$F64,rawEnd,$G64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4" s="2">
        <f>LET(id,$A64,code,UPPER(TRIM($D64)),rawStart,$F64,rawEnd,$G64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4" s="2">
        <f>LET(id,$A64,code,UPPER(TRIM($D64)),rawStart,$F64,rawEnd,$G64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4" s="2">
        <f>LET(id,$A64,code,UPPER(TRIM($D64)),rawStart,$F64,rawEnd,$G64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4" s="2">
        <f>LET(id,$A64,code,UPPER(TRIM($D64)),rawStart,$F64,rawEnd,$G64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4" s="2">
        <f>LET(id,$A64,code,UPPER(TRIM($D64)),rawStart,$F64,rawEnd,$G64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4" s="2">
        <f>LET(id,$A64,code,UPPER(TRIM($D64)),rawStart,$F64,rawEnd,$G64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4" s="2">
        <f>LET(id,$A64,code,UPPER(TRIM($D64)),rawStart,$F64,rawEnd,$G64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4" s="2">
        <f>LET(id,$A64,code,UPPER(TRIM($D64)),rawStart,$F64,rawEnd,$G64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4" s="2">
        <f>LET(id,$A64,code,UPPER(TRIM($D64)),rawStart,$F64,rawEnd,$G64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64" s="2">
        <f>Calc_Engine!BD64</f>
        <v/>
      </c>
    </row>
    <row r="65">
      <c r="A65" s="2">
        <f>Calc_Engine!A65</f>
        <v/>
      </c>
      <c r="B65" s="2">
        <f>Calc_Engine!B65</f>
        <v/>
      </c>
      <c r="C65" s="2">
        <f>Calc_Engine!C65</f>
        <v/>
      </c>
      <c r="D65" s="2">
        <f>Calc_Engine!D65</f>
        <v/>
      </c>
      <c r="E65" s="4">
        <f>Calc_Engine!E65</f>
        <v/>
      </c>
      <c r="F65" s="5">
        <f>Calc_Engine!F65</f>
        <v/>
      </c>
      <c r="G65" s="5">
        <f>Calc_Engine!G65</f>
        <v/>
      </c>
      <c r="H65" s="2">
        <f>LET(id,$A65,code,UPPER(TRIM($D65)),rawStart,$F65,rawEnd,$G65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5" s="2">
        <f>LET(id,$A65,code,UPPER(TRIM($D65)),rawStart,$F65,rawEnd,$G65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5" s="2">
        <f>LET(id,$A65,code,UPPER(TRIM($D65)),rawStart,$F65,rawEnd,$G65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5" s="2">
        <f>LET(id,$A65,code,UPPER(TRIM($D65)),rawStart,$F65,rawEnd,$G65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5" s="2">
        <f>LET(id,$A65,code,UPPER(TRIM($D65)),rawStart,$F65,rawEnd,$G65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5" s="2">
        <f>LET(id,$A65,code,UPPER(TRIM($D65)),rawStart,$F65,rawEnd,$G65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5" s="2">
        <f>LET(id,$A65,code,UPPER(TRIM($D65)),rawStart,$F65,rawEnd,$G65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5" s="2">
        <f>LET(id,$A65,code,UPPER(TRIM($D65)),rawStart,$F65,rawEnd,$G65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5" s="2">
        <f>LET(id,$A65,code,UPPER(TRIM($D65)),rawStart,$F65,rawEnd,$G65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5" s="2">
        <f>LET(id,$A65,code,UPPER(TRIM($D65)),rawStart,$F65,rawEnd,$G65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5" s="2">
        <f>LET(id,$A65,code,UPPER(TRIM($D65)),rawStart,$F65,rawEnd,$G65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5" s="2">
        <f>LET(id,$A65,code,UPPER(TRIM($D65)),rawStart,$F65,rawEnd,$G65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5" s="2">
        <f>LET(id,$A65,code,UPPER(TRIM($D65)),rawStart,$F65,rawEnd,$G65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5" s="2">
        <f>LET(id,$A65,code,UPPER(TRIM($D65)),rawStart,$F65,rawEnd,$G65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5" s="2">
        <f>LET(id,$A65,code,UPPER(TRIM($D65)),rawStart,$F65,rawEnd,$G65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5" s="2">
        <f>LET(id,$A65,code,UPPER(TRIM($D65)),rawStart,$F65,rawEnd,$G65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5" s="2">
        <f>LET(id,$A65,code,UPPER(TRIM($D65)),rawStart,$F65,rawEnd,$G65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5" s="2">
        <f>LET(id,$A65,code,UPPER(TRIM($D65)),rawStart,$F65,rawEnd,$G65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5" s="2">
        <f>LET(id,$A65,code,UPPER(TRIM($D65)),rawStart,$F65,rawEnd,$G65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5" s="2">
        <f>LET(id,$A65,code,UPPER(TRIM($D65)),rawStart,$F65,rawEnd,$G65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5" s="2">
        <f>LET(id,$A65,code,UPPER(TRIM($D65)),rawStart,$F65,rawEnd,$G65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5" s="2">
        <f>LET(id,$A65,code,UPPER(TRIM($D65)),rawStart,$F65,rawEnd,$G65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5" s="2">
        <f>LET(id,$A65,code,UPPER(TRIM($D65)),rawStart,$F65,rawEnd,$G65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5" s="2">
        <f>LET(id,$A65,code,UPPER(TRIM($D65)),rawStart,$F65,rawEnd,$G65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5" s="2">
        <f>LET(id,$A65,code,UPPER(TRIM($D65)),rawStart,$F65,rawEnd,$G65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5" s="2">
        <f>LET(id,$A65,code,UPPER(TRIM($D65)),rawStart,$F65,rawEnd,$G65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5" s="2">
        <f>LET(id,$A65,code,UPPER(TRIM($D65)),rawStart,$F65,rawEnd,$G65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5" s="2">
        <f>LET(id,$A65,code,UPPER(TRIM($D65)),rawStart,$F65,rawEnd,$G65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5" s="2">
        <f>LET(id,$A65,code,UPPER(TRIM($D65)),rawStart,$F65,rawEnd,$G65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5" s="2">
        <f>LET(id,$A65,code,UPPER(TRIM($D65)),rawStart,$F65,rawEnd,$G65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5" s="2">
        <f>LET(id,$A65,code,UPPER(TRIM($D65)),rawStart,$F65,rawEnd,$G65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5" s="2">
        <f>LET(id,$A65,code,UPPER(TRIM($D65)),rawStart,$F65,rawEnd,$G65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5" s="2">
        <f>LET(id,$A65,code,UPPER(TRIM($D65)),rawStart,$F65,rawEnd,$G65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5" s="2">
        <f>LET(id,$A65,code,UPPER(TRIM($D65)),rawStart,$F65,rawEnd,$G65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5" s="2">
        <f>LET(id,$A65,code,UPPER(TRIM($D65)),rawStart,$F65,rawEnd,$G65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5" s="2">
        <f>LET(id,$A65,code,UPPER(TRIM($D65)),rawStart,$F65,rawEnd,$G65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5" s="2">
        <f>LET(id,$A65,code,UPPER(TRIM($D65)),rawStart,$F65,rawEnd,$G65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5" s="2">
        <f>LET(id,$A65,code,UPPER(TRIM($D65)),rawStart,$F65,rawEnd,$G65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5" s="2">
        <f>LET(id,$A65,code,UPPER(TRIM($D65)),rawStart,$F65,rawEnd,$G65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5" s="2">
        <f>LET(id,$A65,code,UPPER(TRIM($D65)),rawStart,$F65,rawEnd,$G65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5" s="2">
        <f>LET(id,$A65,code,UPPER(TRIM($D65)),rawStart,$F65,rawEnd,$G65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5" s="2">
        <f>LET(id,$A65,code,UPPER(TRIM($D65)),rawStart,$F65,rawEnd,$G65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5" s="2">
        <f>LET(id,$A65,code,UPPER(TRIM($D65)),rawStart,$F65,rawEnd,$G65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5" s="2">
        <f>LET(id,$A65,code,UPPER(TRIM($D65)),rawStart,$F65,rawEnd,$G65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5" s="2">
        <f>LET(id,$A65,code,UPPER(TRIM($D65)),rawStart,$F65,rawEnd,$G65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5" s="2">
        <f>LET(id,$A65,code,UPPER(TRIM($D65)),rawStart,$F65,rawEnd,$G65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5" s="2">
        <f>LET(id,$A65,code,UPPER(TRIM($D65)),rawStart,$F65,rawEnd,$G65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5" s="2">
        <f>LET(id,$A65,code,UPPER(TRIM($D65)),rawStart,$F65,rawEnd,$G65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65" s="2">
        <f>Calc_Engine!BD65</f>
        <v/>
      </c>
    </row>
    <row r="66">
      <c r="A66" s="2">
        <f>Calc_Engine!A66</f>
        <v/>
      </c>
      <c r="B66" s="2">
        <f>Calc_Engine!B66</f>
        <v/>
      </c>
      <c r="C66" s="2">
        <f>Calc_Engine!C66</f>
        <v/>
      </c>
      <c r="D66" s="2">
        <f>Calc_Engine!D66</f>
        <v/>
      </c>
      <c r="E66" s="4">
        <f>Calc_Engine!E66</f>
        <v/>
      </c>
      <c r="F66" s="5">
        <f>Calc_Engine!F66</f>
        <v/>
      </c>
      <c r="G66" s="5">
        <f>Calc_Engine!G66</f>
        <v/>
      </c>
      <c r="H66" s="2">
        <f>LET(id,$A66,code,UPPER(TRIM($D66)),rawStart,$F66,rawEnd,$G66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6" s="2">
        <f>LET(id,$A66,code,UPPER(TRIM($D66)),rawStart,$F66,rawEnd,$G66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6" s="2">
        <f>LET(id,$A66,code,UPPER(TRIM($D66)),rawStart,$F66,rawEnd,$G66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6" s="2">
        <f>LET(id,$A66,code,UPPER(TRIM($D66)),rawStart,$F66,rawEnd,$G66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6" s="2">
        <f>LET(id,$A66,code,UPPER(TRIM($D66)),rawStart,$F66,rawEnd,$G66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6" s="2">
        <f>LET(id,$A66,code,UPPER(TRIM($D66)),rawStart,$F66,rawEnd,$G66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6" s="2">
        <f>LET(id,$A66,code,UPPER(TRIM($D66)),rawStart,$F66,rawEnd,$G66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6" s="2">
        <f>LET(id,$A66,code,UPPER(TRIM($D66)),rawStart,$F66,rawEnd,$G66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6" s="2">
        <f>LET(id,$A66,code,UPPER(TRIM($D66)),rawStart,$F66,rawEnd,$G66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6" s="2">
        <f>LET(id,$A66,code,UPPER(TRIM($D66)),rawStart,$F66,rawEnd,$G66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6" s="2">
        <f>LET(id,$A66,code,UPPER(TRIM($D66)),rawStart,$F66,rawEnd,$G66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6" s="2">
        <f>LET(id,$A66,code,UPPER(TRIM($D66)),rawStart,$F66,rawEnd,$G66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6" s="2">
        <f>LET(id,$A66,code,UPPER(TRIM($D66)),rawStart,$F66,rawEnd,$G66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6" s="2">
        <f>LET(id,$A66,code,UPPER(TRIM($D66)),rawStart,$F66,rawEnd,$G66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6" s="2">
        <f>LET(id,$A66,code,UPPER(TRIM($D66)),rawStart,$F66,rawEnd,$G66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6" s="2">
        <f>LET(id,$A66,code,UPPER(TRIM($D66)),rawStart,$F66,rawEnd,$G66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6" s="2">
        <f>LET(id,$A66,code,UPPER(TRIM($D66)),rawStart,$F66,rawEnd,$G66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6" s="2">
        <f>LET(id,$A66,code,UPPER(TRIM($D66)),rawStart,$F66,rawEnd,$G66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6" s="2">
        <f>LET(id,$A66,code,UPPER(TRIM($D66)),rawStart,$F66,rawEnd,$G66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6" s="2">
        <f>LET(id,$A66,code,UPPER(TRIM($D66)),rawStart,$F66,rawEnd,$G66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6" s="2">
        <f>LET(id,$A66,code,UPPER(TRIM($D66)),rawStart,$F66,rawEnd,$G66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6" s="2">
        <f>LET(id,$A66,code,UPPER(TRIM($D66)),rawStart,$F66,rawEnd,$G66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6" s="2">
        <f>LET(id,$A66,code,UPPER(TRIM($D66)),rawStart,$F66,rawEnd,$G66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6" s="2">
        <f>LET(id,$A66,code,UPPER(TRIM($D66)),rawStart,$F66,rawEnd,$G66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6" s="2">
        <f>LET(id,$A66,code,UPPER(TRIM($D66)),rawStart,$F66,rawEnd,$G66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6" s="2">
        <f>LET(id,$A66,code,UPPER(TRIM($D66)),rawStart,$F66,rawEnd,$G66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6" s="2">
        <f>LET(id,$A66,code,UPPER(TRIM($D66)),rawStart,$F66,rawEnd,$G66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6" s="2">
        <f>LET(id,$A66,code,UPPER(TRIM($D66)),rawStart,$F66,rawEnd,$G66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6" s="2">
        <f>LET(id,$A66,code,UPPER(TRIM($D66)),rawStart,$F66,rawEnd,$G66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6" s="2">
        <f>LET(id,$A66,code,UPPER(TRIM($D66)),rawStart,$F66,rawEnd,$G66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6" s="2">
        <f>LET(id,$A66,code,UPPER(TRIM($D66)),rawStart,$F66,rawEnd,$G66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6" s="2">
        <f>LET(id,$A66,code,UPPER(TRIM($D66)),rawStart,$F66,rawEnd,$G66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6" s="2">
        <f>LET(id,$A66,code,UPPER(TRIM($D66)),rawStart,$F66,rawEnd,$G66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6" s="2">
        <f>LET(id,$A66,code,UPPER(TRIM($D66)),rawStart,$F66,rawEnd,$G66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6" s="2">
        <f>LET(id,$A66,code,UPPER(TRIM($D66)),rawStart,$F66,rawEnd,$G66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6" s="2">
        <f>LET(id,$A66,code,UPPER(TRIM($D66)),rawStart,$F66,rawEnd,$G66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6" s="2">
        <f>LET(id,$A66,code,UPPER(TRIM($D66)),rawStart,$F66,rawEnd,$G66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6" s="2">
        <f>LET(id,$A66,code,UPPER(TRIM($D66)),rawStart,$F66,rawEnd,$G66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6" s="2">
        <f>LET(id,$A66,code,UPPER(TRIM($D66)),rawStart,$F66,rawEnd,$G66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6" s="2">
        <f>LET(id,$A66,code,UPPER(TRIM($D66)),rawStart,$F66,rawEnd,$G66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6" s="2">
        <f>LET(id,$A66,code,UPPER(TRIM($D66)),rawStart,$F66,rawEnd,$G66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6" s="2">
        <f>LET(id,$A66,code,UPPER(TRIM($D66)),rawStart,$F66,rawEnd,$G66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6" s="2">
        <f>LET(id,$A66,code,UPPER(TRIM($D66)),rawStart,$F66,rawEnd,$G66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6" s="2">
        <f>LET(id,$A66,code,UPPER(TRIM($D66)),rawStart,$F66,rawEnd,$G66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6" s="2">
        <f>LET(id,$A66,code,UPPER(TRIM($D66)),rawStart,$F66,rawEnd,$G66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6" s="2">
        <f>LET(id,$A66,code,UPPER(TRIM($D66)),rawStart,$F66,rawEnd,$G66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6" s="2">
        <f>LET(id,$A66,code,UPPER(TRIM($D66)),rawStart,$F66,rawEnd,$G66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6" s="2">
        <f>LET(id,$A66,code,UPPER(TRIM($D66)),rawStart,$F66,rawEnd,$G66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66" s="2">
        <f>Calc_Engine!BD66</f>
        <v/>
      </c>
    </row>
    <row r="67">
      <c r="A67" s="2">
        <f>Calc_Engine!A67</f>
        <v/>
      </c>
      <c r="B67" s="2">
        <f>Calc_Engine!B67</f>
        <v/>
      </c>
      <c r="C67" s="2">
        <f>Calc_Engine!C67</f>
        <v/>
      </c>
      <c r="D67" s="2">
        <f>Calc_Engine!D67</f>
        <v/>
      </c>
      <c r="E67" s="4">
        <f>Calc_Engine!E67</f>
        <v/>
      </c>
      <c r="F67" s="5">
        <f>Calc_Engine!F67</f>
        <v/>
      </c>
      <c r="G67" s="5">
        <f>Calc_Engine!G67</f>
        <v/>
      </c>
      <c r="H67" s="2">
        <f>LET(id,$A67,code,UPPER(TRIM($D67)),rawStart,$F67,rawEnd,$G67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7" s="2">
        <f>LET(id,$A67,code,UPPER(TRIM($D67)),rawStart,$F67,rawEnd,$G67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7" s="2">
        <f>LET(id,$A67,code,UPPER(TRIM($D67)),rawStart,$F67,rawEnd,$G67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7" s="2">
        <f>LET(id,$A67,code,UPPER(TRIM($D67)),rawStart,$F67,rawEnd,$G67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7" s="2">
        <f>LET(id,$A67,code,UPPER(TRIM($D67)),rawStart,$F67,rawEnd,$G67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7" s="2">
        <f>LET(id,$A67,code,UPPER(TRIM($D67)),rawStart,$F67,rawEnd,$G67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7" s="2">
        <f>LET(id,$A67,code,UPPER(TRIM($D67)),rawStart,$F67,rawEnd,$G67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7" s="2">
        <f>LET(id,$A67,code,UPPER(TRIM($D67)),rawStart,$F67,rawEnd,$G67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7" s="2">
        <f>LET(id,$A67,code,UPPER(TRIM($D67)),rawStart,$F67,rawEnd,$G67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7" s="2">
        <f>LET(id,$A67,code,UPPER(TRIM($D67)),rawStart,$F67,rawEnd,$G67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7" s="2">
        <f>LET(id,$A67,code,UPPER(TRIM($D67)),rawStart,$F67,rawEnd,$G67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7" s="2">
        <f>LET(id,$A67,code,UPPER(TRIM($D67)),rawStart,$F67,rawEnd,$G67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7" s="2">
        <f>LET(id,$A67,code,UPPER(TRIM($D67)),rawStart,$F67,rawEnd,$G67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7" s="2">
        <f>LET(id,$A67,code,UPPER(TRIM($D67)),rawStart,$F67,rawEnd,$G67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7" s="2">
        <f>LET(id,$A67,code,UPPER(TRIM($D67)),rawStart,$F67,rawEnd,$G67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7" s="2">
        <f>LET(id,$A67,code,UPPER(TRIM($D67)),rawStart,$F67,rawEnd,$G67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7" s="2">
        <f>LET(id,$A67,code,UPPER(TRIM($D67)),rawStart,$F67,rawEnd,$G67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7" s="2">
        <f>LET(id,$A67,code,UPPER(TRIM($D67)),rawStart,$F67,rawEnd,$G67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7" s="2">
        <f>LET(id,$A67,code,UPPER(TRIM($D67)),rawStart,$F67,rawEnd,$G67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7" s="2">
        <f>LET(id,$A67,code,UPPER(TRIM($D67)),rawStart,$F67,rawEnd,$G67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7" s="2">
        <f>LET(id,$A67,code,UPPER(TRIM($D67)),rawStart,$F67,rawEnd,$G67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7" s="2">
        <f>LET(id,$A67,code,UPPER(TRIM($D67)),rawStart,$F67,rawEnd,$G67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7" s="2">
        <f>LET(id,$A67,code,UPPER(TRIM($D67)),rawStart,$F67,rawEnd,$G67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7" s="2">
        <f>LET(id,$A67,code,UPPER(TRIM($D67)),rawStart,$F67,rawEnd,$G67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7" s="2">
        <f>LET(id,$A67,code,UPPER(TRIM($D67)),rawStart,$F67,rawEnd,$G67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7" s="2">
        <f>LET(id,$A67,code,UPPER(TRIM($D67)),rawStart,$F67,rawEnd,$G67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7" s="2">
        <f>LET(id,$A67,code,UPPER(TRIM($D67)),rawStart,$F67,rawEnd,$G67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7" s="2">
        <f>LET(id,$A67,code,UPPER(TRIM($D67)),rawStart,$F67,rawEnd,$G67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7" s="2">
        <f>LET(id,$A67,code,UPPER(TRIM($D67)),rawStart,$F67,rawEnd,$G67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7" s="2">
        <f>LET(id,$A67,code,UPPER(TRIM($D67)),rawStart,$F67,rawEnd,$G67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7" s="2">
        <f>LET(id,$A67,code,UPPER(TRIM($D67)),rawStart,$F67,rawEnd,$G67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7" s="2">
        <f>LET(id,$A67,code,UPPER(TRIM($D67)),rawStart,$F67,rawEnd,$G67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7" s="2">
        <f>LET(id,$A67,code,UPPER(TRIM($D67)),rawStart,$F67,rawEnd,$G67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7" s="2">
        <f>LET(id,$A67,code,UPPER(TRIM($D67)),rawStart,$F67,rawEnd,$G67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7" s="2">
        <f>LET(id,$A67,code,UPPER(TRIM($D67)),rawStart,$F67,rawEnd,$G67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7" s="2">
        <f>LET(id,$A67,code,UPPER(TRIM($D67)),rawStart,$F67,rawEnd,$G67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7" s="2">
        <f>LET(id,$A67,code,UPPER(TRIM($D67)),rawStart,$F67,rawEnd,$G67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7" s="2">
        <f>LET(id,$A67,code,UPPER(TRIM($D67)),rawStart,$F67,rawEnd,$G67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7" s="2">
        <f>LET(id,$A67,code,UPPER(TRIM($D67)),rawStart,$F67,rawEnd,$G67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7" s="2">
        <f>LET(id,$A67,code,UPPER(TRIM($D67)),rawStart,$F67,rawEnd,$G67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7" s="2">
        <f>LET(id,$A67,code,UPPER(TRIM($D67)),rawStart,$F67,rawEnd,$G67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7" s="2">
        <f>LET(id,$A67,code,UPPER(TRIM($D67)),rawStart,$F67,rawEnd,$G67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7" s="2">
        <f>LET(id,$A67,code,UPPER(TRIM($D67)),rawStart,$F67,rawEnd,$G67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7" s="2">
        <f>LET(id,$A67,code,UPPER(TRIM($D67)),rawStart,$F67,rawEnd,$G67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7" s="2">
        <f>LET(id,$A67,code,UPPER(TRIM($D67)),rawStart,$F67,rawEnd,$G67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7" s="2">
        <f>LET(id,$A67,code,UPPER(TRIM($D67)),rawStart,$F67,rawEnd,$G67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7" s="2">
        <f>LET(id,$A67,code,UPPER(TRIM($D67)),rawStart,$F67,rawEnd,$G67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7" s="2">
        <f>LET(id,$A67,code,UPPER(TRIM($D67)),rawStart,$F67,rawEnd,$G67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67" s="2">
        <f>Calc_Engine!BD67</f>
        <v/>
      </c>
    </row>
    <row r="68">
      <c r="A68" s="2">
        <f>Calc_Engine!A68</f>
        <v/>
      </c>
      <c r="B68" s="2">
        <f>Calc_Engine!B68</f>
        <v/>
      </c>
      <c r="C68" s="2">
        <f>Calc_Engine!C68</f>
        <v/>
      </c>
      <c r="D68" s="2">
        <f>Calc_Engine!D68</f>
        <v/>
      </c>
      <c r="E68" s="4">
        <f>Calc_Engine!E68</f>
        <v/>
      </c>
      <c r="F68" s="5">
        <f>Calc_Engine!F68</f>
        <v/>
      </c>
      <c r="G68" s="5">
        <f>Calc_Engine!G68</f>
        <v/>
      </c>
      <c r="H68" s="2">
        <f>LET(id,$A68,code,UPPER(TRIM($D68)),rawStart,$F68,rawEnd,$G68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8" s="2">
        <f>LET(id,$A68,code,UPPER(TRIM($D68)),rawStart,$F68,rawEnd,$G68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8" s="2">
        <f>LET(id,$A68,code,UPPER(TRIM($D68)),rawStart,$F68,rawEnd,$G68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8" s="2">
        <f>LET(id,$A68,code,UPPER(TRIM($D68)),rawStart,$F68,rawEnd,$G68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8" s="2">
        <f>LET(id,$A68,code,UPPER(TRIM($D68)),rawStart,$F68,rawEnd,$G68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8" s="2">
        <f>LET(id,$A68,code,UPPER(TRIM($D68)),rawStart,$F68,rawEnd,$G68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8" s="2">
        <f>LET(id,$A68,code,UPPER(TRIM($D68)),rawStart,$F68,rawEnd,$G68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8" s="2">
        <f>LET(id,$A68,code,UPPER(TRIM($D68)),rawStart,$F68,rawEnd,$G68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8" s="2">
        <f>LET(id,$A68,code,UPPER(TRIM($D68)),rawStart,$F68,rawEnd,$G68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8" s="2">
        <f>LET(id,$A68,code,UPPER(TRIM($D68)),rawStart,$F68,rawEnd,$G68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8" s="2">
        <f>LET(id,$A68,code,UPPER(TRIM($D68)),rawStart,$F68,rawEnd,$G68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8" s="2">
        <f>LET(id,$A68,code,UPPER(TRIM($D68)),rawStart,$F68,rawEnd,$G68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8" s="2">
        <f>LET(id,$A68,code,UPPER(TRIM($D68)),rawStart,$F68,rawEnd,$G68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8" s="2">
        <f>LET(id,$A68,code,UPPER(TRIM($D68)),rawStart,$F68,rawEnd,$G68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8" s="2">
        <f>LET(id,$A68,code,UPPER(TRIM($D68)),rawStart,$F68,rawEnd,$G68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8" s="2">
        <f>LET(id,$A68,code,UPPER(TRIM($D68)),rawStart,$F68,rawEnd,$G68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8" s="2">
        <f>LET(id,$A68,code,UPPER(TRIM($D68)),rawStart,$F68,rawEnd,$G68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8" s="2">
        <f>LET(id,$A68,code,UPPER(TRIM($D68)),rawStart,$F68,rawEnd,$G68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8" s="2">
        <f>LET(id,$A68,code,UPPER(TRIM($D68)),rawStart,$F68,rawEnd,$G68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8" s="2">
        <f>LET(id,$A68,code,UPPER(TRIM($D68)),rawStart,$F68,rawEnd,$G68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8" s="2">
        <f>LET(id,$A68,code,UPPER(TRIM($D68)),rawStart,$F68,rawEnd,$G68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8" s="2">
        <f>LET(id,$A68,code,UPPER(TRIM($D68)),rawStart,$F68,rawEnd,$G68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8" s="2">
        <f>LET(id,$A68,code,UPPER(TRIM($D68)),rawStart,$F68,rawEnd,$G68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8" s="2">
        <f>LET(id,$A68,code,UPPER(TRIM($D68)),rawStart,$F68,rawEnd,$G68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8" s="2">
        <f>LET(id,$A68,code,UPPER(TRIM($D68)),rawStart,$F68,rawEnd,$G68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8" s="2">
        <f>LET(id,$A68,code,UPPER(TRIM($D68)),rawStart,$F68,rawEnd,$G68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8" s="2">
        <f>LET(id,$A68,code,UPPER(TRIM($D68)),rawStart,$F68,rawEnd,$G68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8" s="2">
        <f>LET(id,$A68,code,UPPER(TRIM($D68)),rawStart,$F68,rawEnd,$G68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8" s="2">
        <f>LET(id,$A68,code,UPPER(TRIM($D68)),rawStart,$F68,rawEnd,$G68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8" s="2">
        <f>LET(id,$A68,code,UPPER(TRIM($D68)),rawStart,$F68,rawEnd,$G68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8" s="2">
        <f>LET(id,$A68,code,UPPER(TRIM($D68)),rawStart,$F68,rawEnd,$G68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8" s="2">
        <f>LET(id,$A68,code,UPPER(TRIM($D68)),rawStart,$F68,rawEnd,$G68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8" s="2">
        <f>LET(id,$A68,code,UPPER(TRIM($D68)),rawStart,$F68,rawEnd,$G68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8" s="2">
        <f>LET(id,$A68,code,UPPER(TRIM($D68)),rawStart,$F68,rawEnd,$G68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8" s="2">
        <f>LET(id,$A68,code,UPPER(TRIM($D68)),rawStart,$F68,rawEnd,$G68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8" s="2">
        <f>LET(id,$A68,code,UPPER(TRIM($D68)),rawStart,$F68,rawEnd,$G68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8" s="2">
        <f>LET(id,$A68,code,UPPER(TRIM($D68)),rawStart,$F68,rawEnd,$G68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8" s="2">
        <f>LET(id,$A68,code,UPPER(TRIM($D68)),rawStart,$F68,rawEnd,$G68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8" s="2">
        <f>LET(id,$A68,code,UPPER(TRIM($D68)),rawStart,$F68,rawEnd,$G68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8" s="2">
        <f>LET(id,$A68,code,UPPER(TRIM($D68)),rawStart,$F68,rawEnd,$G68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8" s="2">
        <f>LET(id,$A68,code,UPPER(TRIM($D68)),rawStart,$F68,rawEnd,$G68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8" s="2">
        <f>LET(id,$A68,code,UPPER(TRIM($D68)),rawStart,$F68,rawEnd,$G68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8" s="2">
        <f>LET(id,$A68,code,UPPER(TRIM($D68)),rawStart,$F68,rawEnd,$G68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8" s="2">
        <f>LET(id,$A68,code,UPPER(TRIM($D68)),rawStart,$F68,rawEnd,$G68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8" s="2">
        <f>LET(id,$A68,code,UPPER(TRIM($D68)),rawStart,$F68,rawEnd,$G68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8" s="2">
        <f>LET(id,$A68,code,UPPER(TRIM($D68)),rawStart,$F68,rawEnd,$G68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8" s="2">
        <f>LET(id,$A68,code,UPPER(TRIM($D68)),rawStart,$F68,rawEnd,$G68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8" s="2">
        <f>LET(id,$A68,code,UPPER(TRIM($D68)),rawStart,$F68,rawEnd,$G68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68" s="2">
        <f>Calc_Engine!BD68</f>
        <v/>
      </c>
    </row>
    <row r="69">
      <c r="A69" s="2">
        <f>Calc_Engine!A69</f>
        <v/>
      </c>
      <c r="B69" s="2">
        <f>Calc_Engine!B69</f>
        <v/>
      </c>
      <c r="C69" s="2">
        <f>Calc_Engine!C69</f>
        <v/>
      </c>
      <c r="D69" s="2">
        <f>Calc_Engine!D69</f>
        <v/>
      </c>
      <c r="E69" s="4">
        <f>Calc_Engine!E69</f>
        <v/>
      </c>
      <c r="F69" s="5">
        <f>Calc_Engine!F69</f>
        <v/>
      </c>
      <c r="G69" s="5">
        <f>Calc_Engine!G69</f>
        <v/>
      </c>
      <c r="H69" s="2">
        <f>LET(id,$A69,code,UPPER(TRIM($D69)),rawStart,$F69,rawEnd,$G69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9" s="2">
        <f>LET(id,$A69,code,UPPER(TRIM($D69)),rawStart,$F69,rawEnd,$G69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9" s="2">
        <f>LET(id,$A69,code,UPPER(TRIM($D69)),rawStart,$F69,rawEnd,$G69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9" s="2">
        <f>LET(id,$A69,code,UPPER(TRIM($D69)),rawStart,$F69,rawEnd,$G69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9" s="2">
        <f>LET(id,$A69,code,UPPER(TRIM($D69)),rawStart,$F69,rawEnd,$G69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9" s="2">
        <f>LET(id,$A69,code,UPPER(TRIM($D69)),rawStart,$F69,rawEnd,$G69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9" s="2">
        <f>LET(id,$A69,code,UPPER(TRIM($D69)),rawStart,$F69,rawEnd,$G69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9" s="2">
        <f>LET(id,$A69,code,UPPER(TRIM($D69)),rawStart,$F69,rawEnd,$G69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9" s="2">
        <f>LET(id,$A69,code,UPPER(TRIM($D69)),rawStart,$F69,rawEnd,$G69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9" s="2">
        <f>LET(id,$A69,code,UPPER(TRIM($D69)),rawStart,$F69,rawEnd,$G69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9" s="2">
        <f>LET(id,$A69,code,UPPER(TRIM($D69)),rawStart,$F69,rawEnd,$G69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9" s="2">
        <f>LET(id,$A69,code,UPPER(TRIM($D69)),rawStart,$F69,rawEnd,$G69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9" s="2">
        <f>LET(id,$A69,code,UPPER(TRIM($D69)),rawStart,$F69,rawEnd,$G69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9" s="2">
        <f>LET(id,$A69,code,UPPER(TRIM($D69)),rawStart,$F69,rawEnd,$G69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9" s="2">
        <f>LET(id,$A69,code,UPPER(TRIM($D69)),rawStart,$F69,rawEnd,$G69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9" s="2">
        <f>LET(id,$A69,code,UPPER(TRIM($D69)),rawStart,$F69,rawEnd,$G69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9" s="2">
        <f>LET(id,$A69,code,UPPER(TRIM($D69)),rawStart,$F69,rawEnd,$G69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9" s="2">
        <f>LET(id,$A69,code,UPPER(TRIM($D69)),rawStart,$F69,rawEnd,$G69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9" s="2">
        <f>LET(id,$A69,code,UPPER(TRIM($D69)),rawStart,$F69,rawEnd,$G69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9" s="2">
        <f>LET(id,$A69,code,UPPER(TRIM($D69)),rawStart,$F69,rawEnd,$G69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9" s="2">
        <f>LET(id,$A69,code,UPPER(TRIM($D69)),rawStart,$F69,rawEnd,$G69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9" s="2">
        <f>LET(id,$A69,code,UPPER(TRIM($D69)),rawStart,$F69,rawEnd,$G69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9" s="2">
        <f>LET(id,$A69,code,UPPER(TRIM($D69)),rawStart,$F69,rawEnd,$G69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9" s="2">
        <f>LET(id,$A69,code,UPPER(TRIM($D69)),rawStart,$F69,rawEnd,$G69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9" s="2">
        <f>LET(id,$A69,code,UPPER(TRIM($D69)),rawStart,$F69,rawEnd,$G69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9" s="2">
        <f>LET(id,$A69,code,UPPER(TRIM($D69)),rawStart,$F69,rawEnd,$G69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9" s="2">
        <f>LET(id,$A69,code,UPPER(TRIM($D69)),rawStart,$F69,rawEnd,$G69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9" s="2">
        <f>LET(id,$A69,code,UPPER(TRIM($D69)),rawStart,$F69,rawEnd,$G69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9" s="2">
        <f>LET(id,$A69,code,UPPER(TRIM($D69)),rawStart,$F69,rawEnd,$G69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9" s="2">
        <f>LET(id,$A69,code,UPPER(TRIM($D69)),rawStart,$F69,rawEnd,$G69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9" s="2">
        <f>LET(id,$A69,code,UPPER(TRIM($D69)),rawStart,$F69,rawEnd,$G69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9" s="2">
        <f>LET(id,$A69,code,UPPER(TRIM($D69)),rawStart,$F69,rawEnd,$G69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9" s="2">
        <f>LET(id,$A69,code,UPPER(TRIM($D69)),rawStart,$F69,rawEnd,$G69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9" s="2">
        <f>LET(id,$A69,code,UPPER(TRIM($D69)),rawStart,$F69,rawEnd,$G69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9" s="2">
        <f>LET(id,$A69,code,UPPER(TRIM($D69)),rawStart,$F69,rawEnd,$G69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9" s="2">
        <f>LET(id,$A69,code,UPPER(TRIM($D69)),rawStart,$F69,rawEnd,$G69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9" s="2">
        <f>LET(id,$A69,code,UPPER(TRIM($D69)),rawStart,$F69,rawEnd,$G69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9" s="2">
        <f>LET(id,$A69,code,UPPER(TRIM($D69)),rawStart,$F69,rawEnd,$G69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9" s="2">
        <f>LET(id,$A69,code,UPPER(TRIM($D69)),rawStart,$F69,rawEnd,$G69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9" s="2">
        <f>LET(id,$A69,code,UPPER(TRIM($D69)),rawStart,$F69,rawEnd,$G69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9" s="2">
        <f>LET(id,$A69,code,UPPER(TRIM($D69)),rawStart,$F69,rawEnd,$G69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9" s="2">
        <f>LET(id,$A69,code,UPPER(TRIM($D69)),rawStart,$F69,rawEnd,$G69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9" s="2">
        <f>LET(id,$A69,code,UPPER(TRIM($D69)),rawStart,$F69,rawEnd,$G69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9" s="2">
        <f>LET(id,$A69,code,UPPER(TRIM($D69)),rawStart,$F69,rawEnd,$G69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9" s="2">
        <f>LET(id,$A69,code,UPPER(TRIM($D69)),rawStart,$F69,rawEnd,$G69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9" s="2">
        <f>LET(id,$A69,code,UPPER(TRIM($D69)),rawStart,$F69,rawEnd,$G69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9" s="2">
        <f>LET(id,$A69,code,UPPER(TRIM($D69)),rawStart,$F69,rawEnd,$G69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9" s="2">
        <f>LET(id,$A69,code,UPPER(TRIM($D69)),rawStart,$F69,rawEnd,$G69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69" s="2">
        <f>Calc_Engine!BD69</f>
        <v/>
      </c>
    </row>
    <row r="70">
      <c r="A70" s="2">
        <f>Calc_Engine!A70</f>
        <v/>
      </c>
      <c r="B70" s="2">
        <f>Calc_Engine!B70</f>
        <v/>
      </c>
      <c r="C70" s="2">
        <f>Calc_Engine!C70</f>
        <v/>
      </c>
      <c r="D70" s="2">
        <f>Calc_Engine!D70</f>
        <v/>
      </c>
      <c r="E70" s="4">
        <f>Calc_Engine!E70</f>
        <v/>
      </c>
      <c r="F70" s="5">
        <f>Calc_Engine!F70</f>
        <v/>
      </c>
      <c r="G70" s="5">
        <f>Calc_Engine!G70</f>
        <v/>
      </c>
      <c r="H70" s="2">
        <f>LET(id,$A70,code,UPPER(TRIM($D70)),rawStart,$F70,rawEnd,$G70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0" s="2">
        <f>LET(id,$A70,code,UPPER(TRIM($D70)),rawStart,$F70,rawEnd,$G70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0" s="2">
        <f>LET(id,$A70,code,UPPER(TRIM($D70)),rawStart,$F70,rawEnd,$G70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0" s="2">
        <f>LET(id,$A70,code,UPPER(TRIM($D70)),rawStart,$F70,rawEnd,$G70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0" s="2">
        <f>LET(id,$A70,code,UPPER(TRIM($D70)),rawStart,$F70,rawEnd,$G70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0" s="2">
        <f>LET(id,$A70,code,UPPER(TRIM($D70)),rawStart,$F70,rawEnd,$G70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0" s="2">
        <f>LET(id,$A70,code,UPPER(TRIM($D70)),rawStart,$F70,rawEnd,$G70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0" s="2">
        <f>LET(id,$A70,code,UPPER(TRIM($D70)),rawStart,$F70,rawEnd,$G70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0" s="2">
        <f>LET(id,$A70,code,UPPER(TRIM($D70)),rawStart,$F70,rawEnd,$G70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0" s="2">
        <f>LET(id,$A70,code,UPPER(TRIM($D70)),rawStart,$F70,rawEnd,$G70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0" s="2">
        <f>LET(id,$A70,code,UPPER(TRIM($D70)),rawStart,$F70,rawEnd,$G70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0" s="2">
        <f>LET(id,$A70,code,UPPER(TRIM($D70)),rawStart,$F70,rawEnd,$G70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0" s="2">
        <f>LET(id,$A70,code,UPPER(TRIM($D70)),rawStart,$F70,rawEnd,$G70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0" s="2">
        <f>LET(id,$A70,code,UPPER(TRIM($D70)),rawStart,$F70,rawEnd,$G70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0" s="2">
        <f>LET(id,$A70,code,UPPER(TRIM($D70)),rawStart,$F70,rawEnd,$G70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0" s="2">
        <f>LET(id,$A70,code,UPPER(TRIM($D70)),rawStart,$F70,rawEnd,$G70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0" s="2">
        <f>LET(id,$A70,code,UPPER(TRIM($D70)),rawStart,$F70,rawEnd,$G70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0" s="2">
        <f>LET(id,$A70,code,UPPER(TRIM($D70)),rawStart,$F70,rawEnd,$G70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0" s="2">
        <f>LET(id,$A70,code,UPPER(TRIM($D70)),rawStart,$F70,rawEnd,$G70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0" s="2">
        <f>LET(id,$A70,code,UPPER(TRIM($D70)),rawStart,$F70,rawEnd,$G70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0" s="2">
        <f>LET(id,$A70,code,UPPER(TRIM($D70)),rawStart,$F70,rawEnd,$G70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0" s="2">
        <f>LET(id,$A70,code,UPPER(TRIM($D70)),rawStart,$F70,rawEnd,$G70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0" s="2">
        <f>LET(id,$A70,code,UPPER(TRIM($D70)),rawStart,$F70,rawEnd,$G70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0" s="2">
        <f>LET(id,$A70,code,UPPER(TRIM($D70)),rawStart,$F70,rawEnd,$G70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0" s="2">
        <f>LET(id,$A70,code,UPPER(TRIM($D70)),rawStart,$F70,rawEnd,$G70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0" s="2">
        <f>LET(id,$A70,code,UPPER(TRIM($D70)),rawStart,$F70,rawEnd,$G70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0" s="2">
        <f>LET(id,$A70,code,UPPER(TRIM($D70)),rawStart,$F70,rawEnd,$G70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0" s="2">
        <f>LET(id,$A70,code,UPPER(TRIM($D70)),rawStart,$F70,rawEnd,$G70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0" s="2">
        <f>LET(id,$A70,code,UPPER(TRIM($D70)),rawStart,$F70,rawEnd,$G70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0" s="2">
        <f>LET(id,$A70,code,UPPER(TRIM($D70)),rawStart,$F70,rawEnd,$G70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0" s="2">
        <f>LET(id,$A70,code,UPPER(TRIM($D70)),rawStart,$F70,rawEnd,$G70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0" s="2">
        <f>LET(id,$A70,code,UPPER(TRIM($D70)),rawStart,$F70,rawEnd,$G70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0" s="2">
        <f>LET(id,$A70,code,UPPER(TRIM($D70)),rawStart,$F70,rawEnd,$G70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0" s="2">
        <f>LET(id,$A70,code,UPPER(TRIM($D70)),rawStart,$F70,rawEnd,$G70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0" s="2">
        <f>LET(id,$A70,code,UPPER(TRIM($D70)),rawStart,$F70,rawEnd,$G70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0" s="2">
        <f>LET(id,$A70,code,UPPER(TRIM($D70)),rawStart,$F70,rawEnd,$G70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0" s="2">
        <f>LET(id,$A70,code,UPPER(TRIM($D70)),rawStart,$F70,rawEnd,$G70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0" s="2">
        <f>LET(id,$A70,code,UPPER(TRIM($D70)),rawStart,$F70,rawEnd,$G70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0" s="2">
        <f>LET(id,$A70,code,UPPER(TRIM($D70)),rawStart,$F70,rawEnd,$G70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0" s="2">
        <f>LET(id,$A70,code,UPPER(TRIM($D70)),rawStart,$F70,rawEnd,$G70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0" s="2">
        <f>LET(id,$A70,code,UPPER(TRIM($D70)),rawStart,$F70,rawEnd,$G70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0" s="2">
        <f>LET(id,$A70,code,UPPER(TRIM($D70)),rawStart,$F70,rawEnd,$G70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0" s="2">
        <f>LET(id,$A70,code,UPPER(TRIM($D70)),rawStart,$F70,rawEnd,$G70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0" s="2">
        <f>LET(id,$A70,code,UPPER(TRIM($D70)),rawStart,$F70,rawEnd,$G70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0" s="2">
        <f>LET(id,$A70,code,UPPER(TRIM($D70)),rawStart,$F70,rawEnd,$G70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0" s="2">
        <f>LET(id,$A70,code,UPPER(TRIM($D70)),rawStart,$F70,rawEnd,$G70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0" s="2">
        <f>LET(id,$A70,code,UPPER(TRIM($D70)),rawStart,$F70,rawEnd,$G70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0" s="2">
        <f>LET(id,$A70,code,UPPER(TRIM($D70)),rawStart,$F70,rawEnd,$G70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70" s="2">
        <f>Calc_Engine!BD70</f>
        <v/>
      </c>
    </row>
    <row r="71">
      <c r="A71" s="2">
        <f>Calc_Engine!A71</f>
        <v/>
      </c>
      <c r="B71" s="2">
        <f>Calc_Engine!B71</f>
        <v/>
      </c>
      <c r="C71" s="2">
        <f>Calc_Engine!C71</f>
        <v/>
      </c>
      <c r="D71" s="2">
        <f>Calc_Engine!D71</f>
        <v/>
      </c>
      <c r="E71" s="4">
        <f>Calc_Engine!E71</f>
        <v/>
      </c>
      <c r="F71" s="5">
        <f>Calc_Engine!F71</f>
        <v/>
      </c>
      <c r="G71" s="5">
        <f>Calc_Engine!G71</f>
        <v/>
      </c>
      <c r="H71" s="2">
        <f>LET(id,$A71,code,UPPER(TRIM($D71)),rawStart,$F71,rawEnd,$G71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1" s="2">
        <f>LET(id,$A71,code,UPPER(TRIM($D71)),rawStart,$F71,rawEnd,$G71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1" s="2">
        <f>LET(id,$A71,code,UPPER(TRIM($D71)),rawStart,$F71,rawEnd,$G71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1" s="2">
        <f>LET(id,$A71,code,UPPER(TRIM($D71)),rawStart,$F71,rawEnd,$G71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1" s="2">
        <f>LET(id,$A71,code,UPPER(TRIM($D71)),rawStart,$F71,rawEnd,$G71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1" s="2">
        <f>LET(id,$A71,code,UPPER(TRIM($D71)),rawStart,$F71,rawEnd,$G71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1" s="2">
        <f>LET(id,$A71,code,UPPER(TRIM($D71)),rawStart,$F71,rawEnd,$G71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1" s="2">
        <f>LET(id,$A71,code,UPPER(TRIM($D71)),rawStart,$F71,rawEnd,$G71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1" s="2">
        <f>LET(id,$A71,code,UPPER(TRIM($D71)),rawStart,$F71,rawEnd,$G71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1" s="2">
        <f>LET(id,$A71,code,UPPER(TRIM($D71)),rawStart,$F71,rawEnd,$G71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1" s="2">
        <f>LET(id,$A71,code,UPPER(TRIM($D71)),rawStart,$F71,rawEnd,$G71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1" s="2">
        <f>LET(id,$A71,code,UPPER(TRIM($D71)),rawStart,$F71,rawEnd,$G71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1" s="2">
        <f>LET(id,$A71,code,UPPER(TRIM($D71)),rawStart,$F71,rawEnd,$G71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1" s="2">
        <f>LET(id,$A71,code,UPPER(TRIM($D71)),rawStart,$F71,rawEnd,$G71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1" s="2">
        <f>LET(id,$A71,code,UPPER(TRIM($D71)),rawStart,$F71,rawEnd,$G71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1" s="2">
        <f>LET(id,$A71,code,UPPER(TRIM($D71)),rawStart,$F71,rawEnd,$G71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1" s="2">
        <f>LET(id,$A71,code,UPPER(TRIM($D71)),rawStart,$F71,rawEnd,$G71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1" s="2">
        <f>LET(id,$A71,code,UPPER(TRIM($D71)),rawStart,$F71,rawEnd,$G71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1" s="2">
        <f>LET(id,$A71,code,UPPER(TRIM($D71)),rawStart,$F71,rawEnd,$G71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1" s="2">
        <f>LET(id,$A71,code,UPPER(TRIM($D71)),rawStart,$F71,rawEnd,$G71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1" s="2">
        <f>LET(id,$A71,code,UPPER(TRIM($D71)),rawStart,$F71,rawEnd,$G71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1" s="2">
        <f>LET(id,$A71,code,UPPER(TRIM($D71)),rawStart,$F71,rawEnd,$G71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1" s="2">
        <f>LET(id,$A71,code,UPPER(TRIM($D71)),rawStart,$F71,rawEnd,$G71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1" s="2">
        <f>LET(id,$A71,code,UPPER(TRIM($D71)),rawStart,$F71,rawEnd,$G71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1" s="2">
        <f>LET(id,$A71,code,UPPER(TRIM($D71)),rawStart,$F71,rawEnd,$G71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1" s="2">
        <f>LET(id,$A71,code,UPPER(TRIM($D71)),rawStart,$F71,rawEnd,$G71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1" s="2">
        <f>LET(id,$A71,code,UPPER(TRIM($D71)),rawStart,$F71,rawEnd,$G71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1" s="2">
        <f>LET(id,$A71,code,UPPER(TRIM($D71)),rawStart,$F71,rawEnd,$G71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1" s="2">
        <f>LET(id,$A71,code,UPPER(TRIM($D71)),rawStart,$F71,rawEnd,$G71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1" s="2">
        <f>LET(id,$A71,code,UPPER(TRIM($D71)),rawStart,$F71,rawEnd,$G71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1" s="2">
        <f>LET(id,$A71,code,UPPER(TRIM($D71)),rawStart,$F71,rawEnd,$G71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1" s="2">
        <f>LET(id,$A71,code,UPPER(TRIM($D71)),rawStart,$F71,rawEnd,$G71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1" s="2">
        <f>LET(id,$A71,code,UPPER(TRIM($D71)),rawStart,$F71,rawEnd,$G71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1" s="2">
        <f>LET(id,$A71,code,UPPER(TRIM($D71)),rawStart,$F71,rawEnd,$G71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1" s="2">
        <f>LET(id,$A71,code,UPPER(TRIM($D71)),rawStart,$F71,rawEnd,$G71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1" s="2">
        <f>LET(id,$A71,code,UPPER(TRIM($D71)),rawStart,$F71,rawEnd,$G71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1" s="2">
        <f>LET(id,$A71,code,UPPER(TRIM($D71)),rawStart,$F71,rawEnd,$G71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1" s="2">
        <f>LET(id,$A71,code,UPPER(TRIM($D71)),rawStart,$F71,rawEnd,$G71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1" s="2">
        <f>LET(id,$A71,code,UPPER(TRIM($D71)),rawStart,$F71,rawEnd,$G71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1" s="2">
        <f>LET(id,$A71,code,UPPER(TRIM($D71)),rawStart,$F71,rawEnd,$G71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1" s="2">
        <f>LET(id,$A71,code,UPPER(TRIM($D71)),rawStart,$F71,rawEnd,$G71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1" s="2">
        <f>LET(id,$A71,code,UPPER(TRIM($D71)),rawStart,$F71,rawEnd,$G71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1" s="2">
        <f>LET(id,$A71,code,UPPER(TRIM($D71)),rawStart,$F71,rawEnd,$G71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1" s="2">
        <f>LET(id,$A71,code,UPPER(TRIM($D71)),rawStart,$F71,rawEnd,$G71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1" s="2">
        <f>LET(id,$A71,code,UPPER(TRIM($D71)),rawStart,$F71,rawEnd,$G71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1" s="2">
        <f>LET(id,$A71,code,UPPER(TRIM($D71)),rawStart,$F71,rawEnd,$G71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1" s="2">
        <f>LET(id,$A71,code,UPPER(TRIM($D71)),rawStart,$F71,rawEnd,$G71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1" s="2">
        <f>LET(id,$A71,code,UPPER(TRIM($D71)),rawStart,$F71,rawEnd,$G71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71" s="2">
        <f>Calc_Engine!BD71</f>
        <v/>
      </c>
    </row>
    <row r="72">
      <c r="A72" s="2">
        <f>Calc_Engine!A72</f>
        <v/>
      </c>
      <c r="B72" s="2">
        <f>Calc_Engine!B72</f>
        <v/>
      </c>
      <c r="C72" s="2">
        <f>Calc_Engine!C72</f>
        <v/>
      </c>
      <c r="D72" s="2">
        <f>Calc_Engine!D72</f>
        <v/>
      </c>
      <c r="E72" s="4">
        <f>Calc_Engine!E72</f>
        <v/>
      </c>
      <c r="F72" s="5">
        <f>Calc_Engine!F72</f>
        <v/>
      </c>
      <c r="G72" s="5">
        <f>Calc_Engine!G72</f>
        <v/>
      </c>
      <c r="H72" s="2">
        <f>LET(id,$A72,code,UPPER(TRIM($D72)),rawStart,$F72,rawEnd,$G72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2" s="2">
        <f>LET(id,$A72,code,UPPER(TRIM($D72)),rawStart,$F72,rawEnd,$G72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2" s="2">
        <f>LET(id,$A72,code,UPPER(TRIM($D72)),rawStart,$F72,rawEnd,$G72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2" s="2">
        <f>LET(id,$A72,code,UPPER(TRIM($D72)),rawStart,$F72,rawEnd,$G72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2" s="2">
        <f>LET(id,$A72,code,UPPER(TRIM($D72)),rawStart,$F72,rawEnd,$G72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2" s="2">
        <f>LET(id,$A72,code,UPPER(TRIM($D72)),rawStart,$F72,rawEnd,$G72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2" s="2">
        <f>LET(id,$A72,code,UPPER(TRIM($D72)),rawStart,$F72,rawEnd,$G72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2" s="2">
        <f>LET(id,$A72,code,UPPER(TRIM($D72)),rawStart,$F72,rawEnd,$G72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2" s="2">
        <f>LET(id,$A72,code,UPPER(TRIM($D72)),rawStart,$F72,rawEnd,$G72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2" s="2">
        <f>LET(id,$A72,code,UPPER(TRIM($D72)),rawStart,$F72,rawEnd,$G72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2" s="2">
        <f>LET(id,$A72,code,UPPER(TRIM($D72)),rawStart,$F72,rawEnd,$G72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2" s="2">
        <f>LET(id,$A72,code,UPPER(TRIM($D72)),rawStart,$F72,rawEnd,$G72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2" s="2">
        <f>LET(id,$A72,code,UPPER(TRIM($D72)),rawStart,$F72,rawEnd,$G72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2" s="2">
        <f>LET(id,$A72,code,UPPER(TRIM($D72)),rawStart,$F72,rawEnd,$G72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2" s="2">
        <f>LET(id,$A72,code,UPPER(TRIM($D72)),rawStart,$F72,rawEnd,$G72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2" s="2">
        <f>LET(id,$A72,code,UPPER(TRIM($D72)),rawStart,$F72,rawEnd,$G72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2" s="2">
        <f>LET(id,$A72,code,UPPER(TRIM($D72)),rawStart,$F72,rawEnd,$G72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2" s="2">
        <f>LET(id,$A72,code,UPPER(TRIM($D72)),rawStart,$F72,rawEnd,$G72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2" s="2">
        <f>LET(id,$A72,code,UPPER(TRIM($D72)),rawStart,$F72,rawEnd,$G72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2" s="2">
        <f>LET(id,$A72,code,UPPER(TRIM($D72)),rawStart,$F72,rawEnd,$G72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2" s="2">
        <f>LET(id,$A72,code,UPPER(TRIM($D72)),rawStart,$F72,rawEnd,$G72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2" s="2">
        <f>LET(id,$A72,code,UPPER(TRIM($D72)),rawStart,$F72,rawEnd,$G72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2" s="2">
        <f>LET(id,$A72,code,UPPER(TRIM($D72)),rawStart,$F72,rawEnd,$G72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2" s="2">
        <f>LET(id,$A72,code,UPPER(TRIM($D72)),rawStart,$F72,rawEnd,$G72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2" s="2">
        <f>LET(id,$A72,code,UPPER(TRIM($D72)),rawStart,$F72,rawEnd,$G72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2" s="2">
        <f>LET(id,$A72,code,UPPER(TRIM($D72)),rawStart,$F72,rawEnd,$G72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2" s="2">
        <f>LET(id,$A72,code,UPPER(TRIM($D72)),rawStart,$F72,rawEnd,$G72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2" s="2">
        <f>LET(id,$A72,code,UPPER(TRIM($D72)),rawStart,$F72,rawEnd,$G72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2" s="2">
        <f>LET(id,$A72,code,UPPER(TRIM($D72)),rawStart,$F72,rawEnd,$G72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2" s="2">
        <f>LET(id,$A72,code,UPPER(TRIM($D72)),rawStart,$F72,rawEnd,$G72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2" s="2">
        <f>LET(id,$A72,code,UPPER(TRIM($D72)),rawStart,$F72,rawEnd,$G72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2" s="2">
        <f>LET(id,$A72,code,UPPER(TRIM($D72)),rawStart,$F72,rawEnd,$G72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2" s="2">
        <f>LET(id,$A72,code,UPPER(TRIM($D72)),rawStart,$F72,rawEnd,$G72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2" s="2">
        <f>LET(id,$A72,code,UPPER(TRIM($D72)),rawStart,$F72,rawEnd,$G72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2" s="2">
        <f>LET(id,$A72,code,UPPER(TRIM($D72)),rawStart,$F72,rawEnd,$G72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2" s="2">
        <f>LET(id,$A72,code,UPPER(TRIM($D72)),rawStart,$F72,rawEnd,$G72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2" s="2">
        <f>LET(id,$A72,code,UPPER(TRIM($D72)),rawStart,$F72,rawEnd,$G72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2" s="2">
        <f>LET(id,$A72,code,UPPER(TRIM($D72)),rawStart,$F72,rawEnd,$G72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2" s="2">
        <f>LET(id,$A72,code,UPPER(TRIM($D72)),rawStart,$F72,rawEnd,$G72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2" s="2">
        <f>LET(id,$A72,code,UPPER(TRIM($D72)),rawStart,$F72,rawEnd,$G72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2" s="2">
        <f>LET(id,$A72,code,UPPER(TRIM($D72)),rawStart,$F72,rawEnd,$G72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2" s="2">
        <f>LET(id,$A72,code,UPPER(TRIM($D72)),rawStart,$F72,rawEnd,$G72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2" s="2">
        <f>LET(id,$A72,code,UPPER(TRIM($D72)),rawStart,$F72,rawEnd,$G72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2" s="2">
        <f>LET(id,$A72,code,UPPER(TRIM($D72)),rawStart,$F72,rawEnd,$G72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2" s="2">
        <f>LET(id,$A72,code,UPPER(TRIM($D72)),rawStart,$F72,rawEnd,$G72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2" s="2">
        <f>LET(id,$A72,code,UPPER(TRIM($D72)),rawStart,$F72,rawEnd,$G72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2" s="2">
        <f>LET(id,$A72,code,UPPER(TRIM($D72)),rawStart,$F72,rawEnd,$G72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2" s="2">
        <f>LET(id,$A72,code,UPPER(TRIM($D72)),rawStart,$F72,rawEnd,$G72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72" s="2">
        <f>Calc_Engine!BD72</f>
        <v/>
      </c>
    </row>
    <row r="73">
      <c r="A73" s="2">
        <f>Calc_Engine!A73</f>
        <v/>
      </c>
      <c r="B73" s="2">
        <f>Calc_Engine!B73</f>
        <v/>
      </c>
      <c r="C73" s="2">
        <f>Calc_Engine!C73</f>
        <v/>
      </c>
      <c r="D73" s="2">
        <f>Calc_Engine!D73</f>
        <v/>
      </c>
      <c r="E73" s="4">
        <f>Calc_Engine!E73</f>
        <v/>
      </c>
      <c r="F73" s="5">
        <f>Calc_Engine!F73</f>
        <v/>
      </c>
      <c r="G73" s="5">
        <f>Calc_Engine!G73</f>
        <v/>
      </c>
      <c r="H73" s="2">
        <f>LET(id,$A73,code,UPPER(TRIM($D73)),rawStart,$F73,rawEnd,$G73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3" s="2">
        <f>LET(id,$A73,code,UPPER(TRIM($D73)),rawStart,$F73,rawEnd,$G73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3" s="2">
        <f>LET(id,$A73,code,UPPER(TRIM($D73)),rawStart,$F73,rawEnd,$G73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3" s="2">
        <f>LET(id,$A73,code,UPPER(TRIM($D73)),rawStart,$F73,rawEnd,$G73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3" s="2">
        <f>LET(id,$A73,code,UPPER(TRIM($D73)),rawStart,$F73,rawEnd,$G73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3" s="2">
        <f>LET(id,$A73,code,UPPER(TRIM($D73)),rawStart,$F73,rawEnd,$G73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3" s="2">
        <f>LET(id,$A73,code,UPPER(TRIM($D73)),rawStart,$F73,rawEnd,$G73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3" s="2">
        <f>LET(id,$A73,code,UPPER(TRIM($D73)),rawStart,$F73,rawEnd,$G73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3" s="2">
        <f>LET(id,$A73,code,UPPER(TRIM($D73)),rawStart,$F73,rawEnd,$G73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3" s="2">
        <f>LET(id,$A73,code,UPPER(TRIM($D73)),rawStart,$F73,rawEnd,$G73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3" s="2">
        <f>LET(id,$A73,code,UPPER(TRIM($D73)),rawStart,$F73,rawEnd,$G73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3" s="2">
        <f>LET(id,$A73,code,UPPER(TRIM($D73)),rawStart,$F73,rawEnd,$G73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3" s="2">
        <f>LET(id,$A73,code,UPPER(TRIM($D73)),rawStart,$F73,rawEnd,$G73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3" s="2">
        <f>LET(id,$A73,code,UPPER(TRIM($D73)),rawStart,$F73,rawEnd,$G73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3" s="2">
        <f>LET(id,$A73,code,UPPER(TRIM($D73)),rawStart,$F73,rawEnd,$G73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3" s="2">
        <f>LET(id,$A73,code,UPPER(TRIM($D73)),rawStart,$F73,rawEnd,$G73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3" s="2">
        <f>LET(id,$A73,code,UPPER(TRIM($D73)),rawStart,$F73,rawEnd,$G73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3" s="2">
        <f>LET(id,$A73,code,UPPER(TRIM($D73)),rawStart,$F73,rawEnd,$G73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3" s="2">
        <f>LET(id,$A73,code,UPPER(TRIM($D73)),rawStart,$F73,rawEnd,$G73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3" s="2">
        <f>LET(id,$A73,code,UPPER(TRIM($D73)),rawStart,$F73,rawEnd,$G73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3" s="2">
        <f>LET(id,$A73,code,UPPER(TRIM($D73)),rawStart,$F73,rawEnd,$G73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3" s="2">
        <f>LET(id,$A73,code,UPPER(TRIM($D73)),rawStart,$F73,rawEnd,$G73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3" s="2">
        <f>LET(id,$A73,code,UPPER(TRIM($D73)),rawStart,$F73,rawEnd,$G73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3" s="2">
        <f>LET(id,$A73,code,UPPER(TRIM($D73)),rawStart,$F73,rawEnd,$G73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3" s="2">
        <f>LET(id,$A73,code,UPPER(TRIM($D73)),rawStart,$F73,rawEnd,$G73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3" s="2">
        <f>LET(id,$A73,code,UPPER(TRIM($D73)),rawStart,$F73,rawEnd,$G73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3" s="2">
        <f>LET(id,$A73,code,UPPER(TRIM($D73)),rawStart,$F73,rawEnd,$G73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3" s="2">
        <f>LET(id,$A73,code,UPPER(TRIM($D73)),rawStart,$F73,rawEnd,$G73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3" s="2">
        <f>LET(id,$A73,code,UPPER(TRIM($D73)),rawStart,$F73,rawEnd,$G73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3" s="2">
        <f>LET(id,$A73,code,UPPER(TRIM($D73)),rawStart,$F73,rawEnd,$G73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3" s="2">
        <f>LET(id,$A73,code,UPPER(TRIM($D73)),rawStart,$F73,rawEnd,$G73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3" s="2">
        <f>LET(id,$A73,code,UPPER(TRIM($D73)),rawStart,$F73,rawEnd,$G73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3" s="2">
        <f>LET(id,$A73,code,UPPER(TRIM($D73)),rawStart,$F73,rawEnd,$G73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3" s="2">
        <f>LET(id,$A73,code,UPPER(TRIM($D73)),rawStart,$F73,rawEnd,$G73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3" s="2">
        <f>LET(id,$A73,code,UPPER(TRIM($D73)),rawStart,$F73,rawEnd,$G73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3" s="2">
        <f>LET(id,$A73,code,UPPER(TRIM($D73)),rawStart,$F73,rawEnd,$G73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3" s="2">
        <f>LET(id,$A73,code,UPPER(TRIM($D73)),rawStart,$F73,rawEnd,$G73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3" s="2">
        <f>LET(id,$A73,code,UPPER(TRIM($D73)),rawStart,$F73,rawEnd,$G73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3" s="2">
        <f>LET(id,$A73,code,UPPER(TRIM($D73)),rawStart,$F73,rawEnd,$G73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3" s="2">
        <f>LET(id,$A73,code,UPPER(TRIM($D73)),rawStart,$F73,rawEnd,$G73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3" s="2">
        <f>LET(id,$A73,code,UPPER(TRIM($D73)),rawStart,$F73,rawEnd,$G73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3" s="2">
        <f>LET(id,$A73,code,UPPER(TRIM($D73)),rawStart,$F73,rawEnd,$G73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3" s="2">
        <f>LET(id,$A73,code,UPPER(TRIM($D73)),rawStart,$F73,rawEnd,$G73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3" s="2">
        <f>LET(id,$A73,code,UPPER(TRIM($D73)),rawStart,$F73,rawEnd,$G73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3" s="2">
        <f>LET(id,$A73,code,UPPER(TRIM($D73)),rawStart,$F73,rawEnd,$G73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3" s="2">
        <f>LET(id,$A73,code,UPPER(TRIM($D73)),rawStart,$F73,rawEnd,$G73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3" s="2">
        <f>LET(id,$A73,code,UPPER(TRIM($D73)),rawStart,$F73,rawEnd,$G73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3" s="2">
        <f>LET(id,$A73,code,UPPER(TRIM($D73)),rawStart,$F73,rawEnd,$G73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73" s="2">
        <f>Calc_Engine!BD73</f>
        <v/>
      </c>
    </row>
    <row r="74">
      <c r="A74" s="2">
        <f>Calc_Engine!A74</f>
        <v/>
      </c>
      <c r="B74" s="2">
        <f>Calc_Engine!B74</f>
        <v/>
      </c>
      <c r="C74" s="2">
        <f>Calc_Engine!C74</f>
        <v/>
      </c>
      <c r="D74" s="2">
        <f>Calc_Engine!D74</f>
        <v/>
      </c>
      <c r="E74" s="4">
        <f>Calc_Engine!E74</f>
        <v/>
      </c>
      <c r="F74" s="5">
        <f>Calc_Engine!F74</f>
        <v/>
      </c>
      <c r="G74" s="5">
        <f>Calc_Engine!G74</f>
        <v/>
      </c>
      <c r="H74" s="2">
        <f>LET(id,$A74,code,UPPER(TRIM($D74)),rawStart,$F74,rawEnd,$G74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4" s="2">
        <f>LET(id,$A74,code,UPPER(TRIM($D74)),rawStart,$F74,rawEnd,$G74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4" s="2">
        <f>LET(id,$A74,code,UPPER(TRIM($D74)),rawStart,$F74,rawEnd,$G74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4" s="2">
        <f>LET(id,$A74,code,UPPER(TRIM($D74)),rawStart,$F74,rawEnd,$G74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4" s="2">
        <f>LET(id,$A74,code,UPPER(TRIM($D74)),rawStart,$F74,rawEnd,$G74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4" s="2">
        <f>LET(id,$A74,code,UPPER(TRIM($D74)),rawStart,$F74,rawEnd,$G74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4" s="2">
        <f>LET(id,$A74,code,UPPER(TRIM($D74)),rawStart,$F74,rawEnd,$G74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4" s="2">
        <f>LET(id,$A74,code,UPPER(TRIM($D74)),rawStart,$F74,rawEnd,$G74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4" s="2">
        <f>LET(id,$A74,code,UPPER(TRIM($D74)),rawStart,$F74,rawEnd,$G74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4" s="2">
        <f>LET(id,$A74,code,UPPER(TRIM($D74)),rawStart,$F74,rawEnd,$G74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4" s="2">
        <f>LET(id,$A74,code,UPPER(TRIM($D74)),rawStart,$F74,rawEnd,$G74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4" s="2">
        <f>LET(id,$A74,code,UPPER(TRIM($D74)),rawStart,$F74,rawEnd,$G74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4" s="2">
        <f>LET(id,$A74,code,UPPER(TRIM($D74)),rawStart,$F74,rawEnd,$G74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4" s="2">
        <f>LET(id,$A74,code,UPPER(TRIM($D74)),rawStart,$F74,rawEnd,$G74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4" s="2">
        <f>LET(id,$A74,code,UPPER(TRIM($D74)),rawStart,$F74,rawEnd,$G74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4" s="2">
        <f>LET(id,$A74,code,UPPER(TRIM($D74)),rawStart,$F74,rawEnd,$G74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4" s="2">
        <f>LET(id,$A74,code,UPPER(TRIM($D74)),rawStart,$F74,rawEnd,$G74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4" s="2">
        <f>LET(id,$A74,code,UPPER(TRIM($D74)),rawStart,$F74,rawEnd,$G74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4" s="2">
        <f>LET(id,$A74,code,UPPER(TRIM($D74)),rawStart,$F74,rawEnd,$G74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4" s="2">
        <f>LET(id,$A74,code,UPPER(TRIM($D74)),rawStart,$F74,rawEnd,$G74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4" s="2">
        <f>LET(id,$A74,code,UPPER(TRIM($D74)),rawStart,$F74,rawEnd,$G74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4" s="2">
        <f>LET(id,$A74,code,UPPER(TRIM($D74)),rawStart,$F74,rawEnd,$G74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4" s="2">
        <f>LET(id,$A74,code,UPPER(TRIM($D74)),rawStart,$F74,rawEnd,$G74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4" s="2">
        <f>LET(id,$A74,code,UPPER(TRIM($D74)),rawStart,$F74,rawEnd,$G74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4" s="2">
        <f>LET(id,$A74,code,UPPER(TRIM($D74)),rawStart,$F74,rawEnd,$G74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4" s="2">
        <f>LET(id,$A74,code,UPPER(TRIM($D74)),rawStart,$F74,rawEnd,$G74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4" s="2">
        <f>LET(id,$A74,code,UPPER(TRIM($D74)),rawStart,$F74,rawEnd,$G74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4" s="2">
        <f>LET(id,$A74,code,UPPER(TRIM($D74)),rawStart,$F74,rawEnd,$G74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4" s="2">
        <f>LET(id,$A74,code,UPPER(TRIM($D74)),rawStart,$F74,rawEnd,$G74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4" s="2">
        <f>LET(id,$A74,code,UPPER(TRIM($D74)),rawStart,$F74,rawEnd,$G74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4" s="2">
        <f>LET(id,$A74,code,UPPER(TRIM($D74)),rawStart,$F74,rawEnd,$G74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4" s="2">
        <f>LET(id,$A74,code,UPPER(TRIM($D74)),rawStart,$F74,rawEnd,$G74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4" s="2">
        <f>LET(id,$A74,code,UPPER(TRIM($D74)),rawStart,$F74,rawEnd,$G74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4" s="2">
        <f>LET(id,$A74,code,UPPER(TRIM($D74)),rawStart,$F74,rawEnd,$G74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4" s="2">
        <f>LET(id,$A74,code,UPPER(TRIM($D74)),rawStart,$F74,rawEnd,$G74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4" s="2">
        <f>LET(id,$A74,code,UPPER(TRIM($D74)),rawStart,$F74,rawEnd,$G74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4" s="2">
        <f>LET(id,$A74,code,UPPER(TRIM($D74)),rawStart,$F74,rawEnd,$G74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4" s="2">
        <f>LET(id,$A74,code,UPPER(TRIM($D74)),rawStart,$F74,rawEnd,$G74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4" s="2">
        <f>LET(id,$A74,code,UPPER(TRIM($D74)),rawStart,$F74,rawEnd,$G74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4" s="2">
        <f>LET(id,$A74,code,UPPER(TRIM($D74)),rawStart,$F74,rawEnd,$G74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4" s="2">
        <f>LET(id,$A74,code,UPPER(TRIM($D74)),rawStart,$F74,rawEnd,$G74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4" s="2">
        <f>LET(id,$A74,code,UPPER(TRIM($D74)),rawStart,$F74,rawEnd,$G74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4" s="2">
        <f>LET(id,$A74,code,UPPER(TRIM($D74)),rawStart,$F74,rawEnd,$G74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4" s="2">
        <f>LET(id,$A74,code,UPPER(TRIM($D74)),rawStart,$F74,rawEnd,$G74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4" s="2">
        <f>LET(id,$A74,code,UPPER(TRIM($D74)),rawStart,$F74,rawEnd,$G74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4" s="2">
        <f>LET(id,$A74,code,UPPER(TRIM($D74)),rawStart,$F74,rawEnd,$G74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4" s="2">
        <f>LET(id,$A74,code,UPPER(TRIM($D74)),rawStart,$F74,rawEnd,$G74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4" s="2">
        <f>LET(id,$A74,code,UPPER(TRIM($D74)),rawStart,$F74,rawEnd,$G74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74" s="2">
        <f>Calc_Engine!BD74</f>
        <v/>
      </c>
    </row>
    <row r="75">
      <c r="A75" s="2">
        <f>Calc_Engine!A75</f>
        <v/>
      </c>
      <c r="B75" s="2">
        <f>Calc_Engine!B75</f>
        <v/>
      </c>
      <c r="C75" s="2">
        <f>Calc_Engine!C75</f>
        <v/>
      </c>
      <c r="D75" s="2">
        <f>Calc_Engine!D75</f>
        <v/>
      </c>
      <c r="E75" s="4">
        <f>Calc_Engine!E75</f>
        <v/>
      </c>
      <c r="F75" s="5">
        <f>Calc_Engine!F75</f>
        <v/>
      </c>
      <c r="G75" s="5">
        <f>Calc_Engine!G75</f>
        <v/>
      </c>
      <c r="H75" s="2">
        <f>LET(id,$A75,code,UPPER(TRIM($D75)),rawStart,$F75,rawEnd,$G75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5" s="2">
        <f>LET(id,$A75,code,UPPER(TRIM($D75)),rawStart,$F75,rawEnd,$G75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5" s="2">
        <f>LET(id,$A75,code,UPPER(TRIM($D75)),rawStart,$F75,rawEnd,$G75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5" s="2">
        <f>LET(id,$A75,code,UPPER(TRIM($D75)),rawStart,$F75,rawEnd,$G75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5" s="2">
        <f>LET(id,$A75,code,UPPER(TRIM($D75)),rawStart,$F75,rawEnd,$G75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5" s="2">
        <f>LET(id,$A75,code,UPPER(TRIM($D75)),rawStart,$F75,rawEnd,$G75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5" s="2">
        <f>LET(id,$A75,code,UPPER(TRIM($D75)),rawStart,$F75,rawEnd,$G75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5" s="2">
        <f>LET(id,$A75,code,UPPER(TRIM($D75)),rawStart,$F75,rawEnd,$G75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5" s="2">
        <f>LET(id,$A75,code,UPPER(TRIM($D75)),rawStart,$F75,rawEnd,$G75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5" s="2">
        <f>LET(id,$A75,code,UPPER(TRIM($D75)),rawStart,$F75,rawEnd,$G75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5" s="2">
        <f>LET(id,$A75,code,UPPER(TRIM($D75)),rawStart,$F75,rawEnd,$G75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5" s="2">
        <f>LET(id,$A75,code,UPPER(TRIM($D75)),rawStart,$F75,rawEnd,$G75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5" s="2">
        <f>LET(id,$A75,code,UPPER(TRIM($D75)),rawStart,$F75,rawEnd,$G75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5" s="2">
        <f>LET(id,$A75,code,UPPER(TRIM($D75)),rawStart,$F75,rawEnd,$G75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5" s="2">
        <f>LET(id,$A75,code,UPPER(TRIM($D75)),rawStart,$F75,rawEnd,$G75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5" s="2">
        <f>LET(id,$A75,code,UPPER(TRIM($D75)),rawStart,$F75,rawEnd,$G75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5" s="2">
        <f>LET(id,$A75,code,UPPER(TRIM($D75)),rawStart,$F75,rawEnd,$G75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5" s="2">
        <f>LET(id,$A75,code,UPPER(TRIM($D75)),rawStart,$F75,rawEnd,$G75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5" s="2">
        <f>LET(id,$A75,code,UPPER(TRIM($D75)),rawStart,$F75,rawEnd,$G75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5" s="2">
        <f>LET(id,$A75,code,UPPER(TRIM($D75)),rawStart,$F75,rawEnd,$G75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5" s="2">
        <f>LET(id,$A75,code,UPPER(TRIM($D75)),rawStart,$F75,rawEnd,$G75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5" s="2">
        <f>LET(id,$A75,code,UPPER(TRIM($D75)),rawStart,$F75,rawEnd,$G75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5" s="2">
        <f>LET(id,$A75,code,UPPER(TRIM($D75)),rawStart,$F75,rawEnd,$G75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5" s="2">
        <f>LET(id,$A75,code,UPPER(TRIM($D75)),rawStart,$F75,rawEnd,$G75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5" s="2">
        <f>LET(id,$A75,code,UPPER(TRIM($D75)),rawStart,$F75,rawEnd,$G75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5" s="2">
        <f>LET(id,$A75,code,UPPER(TRIM($D75)),rawStart,$F75,rawEnd,$G75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5" s="2">
        <f>LET(id,$A75,code,UPPER(TRIM($D75)),rawStart,$F75,rawEnd,$G75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5" s="2">
        <f>LET(id,$A75,code,UPPER(TRIM($D75)),rawStart,$F75,rawEnd,$G75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5" s="2">
        <f>LET(id,$A75,code,UPPER(TRIM($D75)),rawStart,$F75,rawEnd,$G75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5" s="2">
        <f>LET(id,$A75,code,UPPER(TRIM($D75)),rawStart,$F75,rawEnd,$G75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5" s="2">
        <f>LET(id,$A75,code,UPPER(TRIM($D75)),rawStart,$F75,rawEnd,$G75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5" s="2">
        <f>LET(id,$A75,code,UPPER(TRIM($D75)),rawStart,$F75,rawEnd,$G75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5" s="2">
        <f>LET(id,$A75,code,UPPER(TRIM($D75)),rawStart,$F75,rawEnd,$G75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5" s="2">
        <f>LET(id,$A75,code,UPPER(TRIM($D75)),rawStart,$F75,rawEnd,$G75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5" s="2">
        <f>LET(id,$A75,code,UPPER(TRIM($D75)),rawStart,$F75,rawEnd,$G75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5" s="2">
        <f>LET(id,$A75,code,UPPER(TRIM($D75)),rawStart,$F75,rawEnd,$G75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5" s="2">
        <f>LET(id,$A75,code,UPPER(TRIM($D75)),rawStart,$F75,rawEnd,$G75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5" s="2">
        <f>LET(id,$A75,code,UPPER(TRIM($D75)),rawStart,$F75,rawEnd,$G75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5" s="2">
        <f>LET(id,$A75,code,UPPER(TRIM($D75)),rawStart,$F75,rawEnd,$G75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5" s="2">
        <f>LET(id,$A75,code,UPPER(TRIM($D75)),rawStart,$F75,rawEnd,$G75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5" s="2">
        <f>LET(id,$A75,code,UPPER(TRIM($D75)),rawStart,$F75,rawEnd,$G75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5" s="2">
        <f>LET(id,$A75,code,UPPER(TRIM($D75)),rawStart,$F75,rawEnd,$G75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5" s="2">
        <f>LET(id,$A75,code,UPPER(TRIM($D75)),rawStart,$F75,rawEnd,$G75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5" s="2">
        <f>LET(id,$A75,code,UPPER(TRIM($D75)),rawStart,$F75,rawEnd,$G75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5" s="2">
        <f>LET(id,$A75,code,UPPER(TRIM($D75)),rawStart,$F75,rawEnd,$G75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5" s="2">
        <f>LET(id,$A75,code,UPPER(TRIM($D75)),rawStart,$F75,rawEnd,$G75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5" s="2">
        <f>LET(id,$A75,code,UPPER(TRIM($D75)),rawStart,$F75,rawEnd,$G75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5" s="2">
        <f>LET(id,$A75,code,UPPER(TRIM($D75)),rawStart,$F75,rawEnd,$G75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75" s="2">
        <f>Calc_Engine!BD75</f>
        <v/>
      </c>
    </row>
    <row r="76">
      <c r="A76" s="2">
        <f>Calc_Engine!A76</f>
        <v/>
      </c>
      <c r="B76" s="2">
        <f>Calc_Engine!B76</f>
        <v/>
      </c>
      <c r="C76" s="2">
        <f>Calc_Engine!C76</f>
        <v/>
      </c>
      <c r="D76" s="2">
        <f>Calc_Engine!D76</f>
        <v/>
      </c>
      <c r="E76" s="4">
        <f>Calc_Engine!E76</f>
        <v/>
      </c>
      <c r="F76" s="5">
        <f>Calc_Engine!F76</f>
        <v/>
      </c>
      <c r="G76" s="5">
        <f>Calc_Engine!G76</f>
        <v/>
      </c>
      <c r="H76" s="2">
        <f>LET(id,$A76,code,UPPER(TRIM($D76)),rawStart,$F76,rawEnd,$G76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6" s="2">
        <f>LET(id,$A76,code,UPPER(TRIM($D76)),rawStart,$F76,rawEnd,$G76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6" s="2">
        <f>LET(id,$A76,code,UPPER(TRIM($D76)),rawStart,$F76,rawEnd,$G76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6" s="2">
        <f>LET(id,$A76,code,UPPER(TRIM($D76)),rawStart,$F76,rawEnd,$G76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6" s="2">
        <f>LET(id,$A76,code,UPPER(TRIM($D76)),rawStart,$F76,rawEnd,$G76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6" s="2">
        <f>LET(id,$A76,code,UPPER(TRIM($D76)),rawStart,$F76,rawEnd,$G76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6" s="2">
        <f>LET(id,$A76,code,UPPER(TRIM($D76)),rawStart,$F76,rawEnd,$G76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6" s="2">
        <f>LET(id,$A76,code,UPPER(TRIM($D76)),rawStart,$F76,rawEnd,$G76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6" s="2">
        <f>LET(id,$A76,code,UPPER(TRIM($D76)),rawStart,$F76,rawEnd,$G76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6" s="2">
        <f>LET(id,$A76,code,UPPER(TRIM($D76)),rawStart,$F76,rawEnd,$G76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6" s="2">
        <f>LET(id,$A76,code,UPPER(TRIM($D76)),rawStart,$F76,rawEnd,$G76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6" s="2">
        <f>LET(id,$A76,code,UPPER(TRIM($D76)),rawStart,$F76,rawEnd,$G76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6" s="2">
        <f>LET(id,$A76,code,UPPER(TRIM($D76)),rawStart,$F76,rawEnd,$G76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6" s="2">
        <f>LET(id,$A76,code,UPPER(TRIM($D76)),rawStart,$F76,rawEnd,$G76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6" s="2">
        <f>LET(id,$A76,code,UPPER(TRIM($D76)),rawStart,$F76,rawEnd,$G76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6" s="2">
        <f>LET(id,$A76,code,UPPER(TRIM($D76)),rawStart,$F76,rawEnd,$G76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6" s="2">
        <f>LET(id,$A76,code,UPPER(TRIM($D76)),rawStart,$F76,rawEnd,$G76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6" s="2">
        <f>LET(id,$A76,code,UPPER(TRIM($D76)),rawStart,$F76,rawEnd,$G76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6" s="2">
        <f>LET(id,$A76,code,UPPER(TRIM($D76)),rawStart,$F76,rawEnd,$G76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6" s="2">
        <f>LET(id,$A76,code,UPPER(TRIM($D76)),rawStart,$F76,rawEnd,$G76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6" s="2">
        <f>LET(id,$A76,code,UPPER(TRIM($D76)),rawStart,$F76,rawEnd,$G76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6" s="2">
        <f>LET(id,$A76,code,UPPER(TRIM($D76)),rawStart,$F76,rawEnd,$G76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6" s="2">
        <f>LET(id,$A76,code,UPPER(TRIM($D76)),rawStart,$F76,rawEnd,$G76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6" s="2">
        <f>LET(id,$A76,code,UPPER(TRIM($D76)),rawStart,$F76,rawEnd,$G76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6" s="2">
        <f>LET(id,$A76,code,UPPER(TRIM($D76)),rawStart,$F76,rawEnd,$G76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6" s="2">
        <f>LET(id,$A76,code,UPPER(TRIM($D76)),rawStart,$F76,rawEnd,$G76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6" s="2">
        <f>LET(id,$A76,code,UPPER(TRIM($D76)),rawStart,$F76,rawEnd,$G76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6" s="2">
        <f>LET(id,$A76,code,UPPER(TRIM($D76)),rawStart,$F76,rawEnd,$G76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6" s="2">
        <f>LET(id,$A76,code,UPPER(TRIM($D76)),rawStart,$F76,rawEnd,$G76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6" s="2">
        <f>LET(id,$A76,code,UPPER(TRIM($D76)),rawStart,$F76,rawEnd,$G76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6" s="2">
        <f>LET(id,$A76,code,UPPER(TRIM($D76)),rawStart,$F76,rawEnd,$G76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6" s="2">
        <f>LET(id,$A76,code,UPPER(TRIM($D76)),rawStart,$F76,rawEnd,$G76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6" s="2">
        <f>LET(id,$A76,code,UPPER(TRIM($D76)),rawStart,$F76,rawEnd,$G76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6" s="2">
        <f>LET(id,$A76,code,UPPER(TRIM($D76)),rawStart,$F76,rawEnd,$G76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6" s="2">
        <f>LET(id,$A76,code,UPPER(TRIM($D76)),rawStart,$F76,rawEnd,$G76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6" s="2">
        <f>LET(id,$A76,code,UPPER(TRIM($D76)),rawStart,$F76,rawEnd,$G76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6" s="2">
        <f>LET(id,$A76,code,UPPER(TRIM($D76)),rawStart,$F76,rawEnd,$G76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6" s="2">
        <f>LET(id,$A76,code,UPPER(TRIM($D76)),rawStart,$F76,rawEnd,$G76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6" s="2">
        <f>LET(id,$A76,code,UPPER(TRIM($D76)),rawStart,$F76,rawEnd,$G76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6" s="2">
        <f>LET(id,$A76,code,UPPER(TRIM($D76)),rawStart,$F76,rawEnd,$G76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6" s="2">
        <f>LET(id,$A76,code,UPPER(TRIM($D76)),rawStart,$F76,rawEnd,$G76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6" s="2">
        <f>LET(id,$A76,code,UPPER(TRIM($D76)),rawStart,$F76,rawEnd,$G76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6" s="2">
        <f>LET(id,$A76,code,UPPER(TRIM($D76)),rawStart,$F76,rawEnd,$G76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6" s="2">
        <f>LET(id,$A76,code,UPPER(TRIM($D76)),rawStart,$F76,rawEnd,$G76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6" s="2">
        <f>LET(id,$A76,code,UPPER(TRIM($D76)),rawStart,$F76,rawEnd,$G76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6" s="2">
        <f>LET(id,$A76,code,UPPER(TRIM($D76)),rawStart,$F76,rawEnd,$G76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6" s="2">
        <f>LET(id,$A76,code,UPPER(TRIM($D76)),rawStart,$F76,rawEnd,$G76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6" s="2">
        <f>LET(id,$A76,code,UPPER(TRIM($D76)),rawStart,$F76,rawEnd,$G76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76" s="2">
        <f>Calc_Engine!BD76</f>
        <v/>
      </c>
    </row>
    <row r="77">
      <c r="A77" s="2">
        <f>Calc_Engine!A77</f>
        <v/>
      </c>
      <c r="B77" s="2">
        <f>Calc_Engine!B77</f>
        <v/>
      </c>
      <c r="C77" s="2">
        <f>Calc_Engine!C77</f>
        <v/>
      </c>
      <c r="D77" s="2">
        <f>Calc_Engine!D77</f>
        <v/>
      </c>
      <c r="E77" s="4">
        <f>Calc_Engine!E77</f>
        <v/>
      </c>
      <c r="F77" s="5">
        <f>Calc_Engine!F77</f>
        <v/>
      </c>
      <c r="G77" s="5">
        <f>Calc_Engine!G77</f>
        <v/>
      </c>
      <c r="H77" s="2">
        <f>LET(id,$A77,code,UPPER(TRIM($D77)),rawStart,$F77,rawEnd,$G77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7" s="2">
        <f>LET(id,$A77,code,UPPER(TRIM($D77)),rawStart,$F77,rawEnd,$G77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7" s="2">
        <f>LET(id,$A77,code,UPPER(TRIM($D77)),rawStart,$F77,rawEnd,$G77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7" s="2">
        <f>LET(id,$A77,code,UPPER(TRIM($D77)),rawStart,$F77,rawEnd,$G77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7" s="2">
        <f>LET(id,$A77,code,UPPER(TRIM($D77)),rawStart,$F77,rawEnd,$G77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7" s="2">
        <f>LET(id,$A77,code,UPPER(TRIM($D77)),rawStart,$F77,rawEnd,$G77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7" s="2">
        <f>LET(id,$A77,code,UPPER(TRIM($D77)),rawStart,$F77,rawEnd,$G77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7" s="2">
        <f>LET(id,$A77,code,UPPER(TRIM($D77)),rawStart,$F77,rawEnd,$G77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7" s="2">
        <f>LET(id,$A77,code,UPPER(TRIM($D77)),rawStart,$F77,rawEnd,$G77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7" s="2">
        <f>LET(id,$A77,code,UPPER(TRIM($D77)),rawStart,$F77,rawEnd,$G77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7" s="2">
        <f>LET(id,$A77,code,UPPER(TRIM($D77)),rawStart,$F77,rawEnd,$G77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7" s="2">
        <f>LET(id,$A77,code,UPPER(TRIM($D77)),rawStart,$F77,rawEnd,$G77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7" s="2">
        <f>LET(id,$A77,code,UPPER(TRIM($D77)),rawStart,$F77,rawEnd,$G77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7" s="2">
        <f>LET(id,$A77,code,UPPER(TRIM($D77)),rawStart,$F77,rawEnd,$G77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7" s="2">
        <f>LET(id,$A77,code,UPPER(TRIM($D77)),rawStart,$F77,rawEnd,$G77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7" s="2">
        <f>LET(id,$A77,code,UPPER(TRIM($D77)),rawStart,$F77,rawEnd,$G77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7" s="2">
        <f>LET(id,$A77,code,UPPER(TRIM($D77)),rawStart,$F77,rawEnd,$G77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7" s="2">
        <f>LET(id,$A77,code,UPPER(TRIM($D77)),rawStart,$F77,rawEnd,$G77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7" s="2">
        <f>LET(id,$A77,code,UPPER(TRIM($D77)),rawStart,$F77,rawEnd,$G77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7" s="2">
        <f>LET(id,$A77,code,UPPER(TRIM($D77)),rawStart,$F77,rawEnd,$G77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7" s="2">
        <f>LET(id,$A77,code,UPPER(TRIM($D77)),rawStart,$F77,rawEnd,$G77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7" s="2">
        <f>LET(id,$A77,code,UPPER(TRIM($D77)),rawStart,$F77,rawEnd,$G77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7" s="2">
        <f>LET(id,$A77,code,UPPER(TRIM($D77)),rawStart,$F77,rawEnd,$G77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7" s="2">
        <f>LET(id,$A77,code,UPPER(TRIM($D77)),rawStart,$F77,rawEnd,$G77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7" s="2">
        <f>LET(id,$A77,code,UPPER(TRIM($D77)),rawStart,$F77,rawEnd,$G77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7" s="2">
        <f>LET(id,$A77,code,UPPER(TRIM($D77)),rawStart,$F77,rawEnd,$G77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7" s="2">
        <f>LET(id,$A77,code,UPPER(TRIM($D77)),rawStart,$F77,rawEnd,$G77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7" s="2">
        <f>LET(id,$A77,code,UPPER(TRIM($D77)),rawStart,$F77,rawEnd,$G77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7" s="2">
        <f>LET(id,$A77,code,UPPER(TRIM($D77)),rawStart,$F77,rawEnd,$G77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7" s="2">
        <f>LET(id,$A77,code,UPPER(TRIM($D77)),rawStart,$F77,rawEnd,$G77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7" s="2">
        <f>LET(id,$A77,code,UPPER(TRIM($D77)),rawStart,$F77,rawEnd,$G77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7" s="2">
        <f>LET(id,$A77,code,UPPER(TRIM($D77)),rawStart,$F77,rawEnd,$G77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7" s="2">
        <f>LET(id,$A77,code,UPPER(TRIM($D77)),rawStart,$F77,rawEnd,$G77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7" s="2">
        <f>LET(id,$A77,code,UPPER(TRIM($D77)),rawStart,$F77,rawEnd,$G77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7" s="2">
        <f>LET(id,$A77,code,UPPER(TRIM($D77)),rawStart,$F77,rawEnd,$G77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7" s="2">
        <f>LET(id,$A77,code,UPPER(TRIM($D77)),rawStart,$F77,rawEnd,$G77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7" s="2">
        <f>LET(id,$A77,code,UPPER(TRIM($D77)),rawStart,$F77,rawEnd,$G77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7" s="2">
        <f>LET(id,$A77,code,UPPER(TRIM($D77)),rawStart,$F77,rawEnd,$G77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7" s="2">
        <f>LET(id,$A77,code,UPPER(TRIM($D77)),rawStart,$F77,rawEnd,$G77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7" s="2">
        <f>LET(id,$A77,code,UPPER(TRIM($D77)),rawStart,$F77,rawEnd,$G77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7" s="2">
        <f>LET(id,$A77,code,UPPER(TRIM($D77)),rawStart,$F77,rawEnd,$G77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7" s="2">
        <f>LET(id,$A77,code,UPPER(TRIM($D77)),rawStart,$F77,rawEnd,$G77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7" s="2">
        <f>LET(id,$A77,code,UPPER(TRIM($D77)),rawStart,$F77,rawEnd,$G77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7" s="2">
        <f>LET(id,$A77,code,UPPER(TRIM($D77)),rawStart,$F77,rawEnd,$G77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7" s="2">
        <f>LET(id,$A77,code,UPPER(TRIM($D77)),rawStart,$F77,rawEnd,$G77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7" s="2">
        <f>LET(id,$A77,code,UPPER(TRIM($D77)),rawStart,$F77,rawEnd,$G77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7" s="2">
        <f>LET(id,$A77,code,UPPER(TRIM($D77)),rawStart,$F77,rawEnd,$G77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7" s="2">
        <f>LET(id,$A77,code,UPPER(TRIM($D77)),rawStart,$F77,rawEnd,$G77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77" s="2">
        <f>Calc_Engine!BD77</f>
        <v/>
      </c>
    </row>
    <row r="78">
      <c r="A78" s="2">
        <f>Calc_Engine!A78</f>
        <v/>
      </c>
      <c r="B78" s="2">
        <f>Calc_Engine!B78</f>
        <v/>
      </c>
      <c r="C78" s="2">
        <f>Calc_Engine!C78</f>
        <v/>
      </c>
      <c r="D78" s="2">
        <f>Calc_Engine!D78</f>
        <v/>
      </c>
      <c r="E78" s="4">
        <f>Calc_Engine!E78</f>
        <v/>
      </c>
      <c r="F78" s="5">
        <f>Calc_Engine!F78</f>
        <v/>
      </c>
      <c r="G78" s="5">
        <f>Calc_Engine!G78</f>
        <v/>
      </c>
      <c r="H78" s="2">
        <f>LET(id,$A78,code,UPPER(TRIM($D78)),rawStart,$F78,rawEnd,$G78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8" s="2">
        <f>LET(id,$A78,code,UPPER(TRIM($D78)),rawStart,$F78,rawEnd,$G78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8" s="2">
        <f>LET(id,$A78,code,UPPER(TRIM($D78)),rawStart,$F78,rawEnd,$G78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8" s="2">
        <f>LET(id,$A78,code,UPPER(TRIM($D78)),rawStart,$F78,rawEnd,$G78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8" s="2">
        <f>LET(id,$A78,code,UPPER(TRIM($D78)),rawStart,$F78,rawEnd,$G78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8" s="2">
        <f>LET(id,$A78,code,UPPER(TRIM($D78)),rawStart,$F78,rawEnd,$G78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8" s="2">
        <f>LET(id,$A78,code,UPPER(TRIM($D78)),rawStart,$F78,rawEnd,$G78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8" s="2">
        <f>LET(id,$A78,code,UPPER(TRIM($D78)),rawStart,$F78,rawEnd,$G78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8" s="2">
        <f>LET(id,$A78,code,UPPER(TRIM($D78)),rawStart,$F78,rawEnd,$G78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8" s="2">
        <f>LET(id,$A78,code,UPPER(TRIM($D78)),rawStart,$F78,rawEnd,$G78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8" s="2">
        <f>LET(id,$A78,code,UPPER(TRIM($D78)),rawStart,$F78,rawEnd,$G78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8" s="2">
        <f>LET(id,$A78,code,UPPER(TRIM($D78)),rawStart,$F78,rawEnd,$G78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8" s="2">
        <f>LET(id,$A78,code,UPPER(TRIM($D78)),rawStart,$F78,rawEnd,$G78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8" s="2">
        <f>LET(id,$A78,code,UPPER(TRIM($D78)),rawStart,$F78,rawEnd,$G78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8" s="2">
        <f>LET(id,$A78,code,UPPER(TRIM($D78)),rawStart,$F78,rawEnd,$G78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8" s="2">
        <f>LET(id,$A78,code,UPPER(TRIM($D78)),rawStart,$F78,rawEnd,$G78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8" s="2">
        <f>LET(id,$A78,code,UPPER(TRIM($D78)),rawStart,$F78,rawEnd,$G78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8" s="2">
        <f>LET(id,$A78,code,UPPER(TRIM($D78)),rawStart,$F78,rawEnd,$G78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8" s="2">
        <f>LET(id,$A78,code,UPPER(TRIM($D78)),rawStart,$F78,rawEnd,$G78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8" s="2">
        <f>LET(id,$A78,code,UPPER(TRIM($D78)),rawStart,$F78,rawEnd,$G78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8" s="2">
        <f>LET(id,$A78,code,UPPER(TRIM($D78)),rawStart,$F78,rawEnd,$G78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8" s="2">
        <f>LET(id,$A78,code,UPPER(TRIM($D78)),rawStart,$F78,rawEnd,$G78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8" s="2">
        <f>LET(id,$A78,code,UPPER(TRIM($D78)),rawStart,$F78,rawEnd,$G78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8" s="2">
        <f>LET(id,$A78,code,UPPER(TRIM($D78)),rawStart,$F78,rawEnd,$G78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8" s="2">
        <f>LET(id,$A78,code,UPPER(TRIM($D78)),rawStart,$F78,rawEnd,$G78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8" s="2">
        <f>LET(id,$A78,code,UPPER(TRIM($D78)),rawStart,$F78,rawEnd,$G78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8" s="2">
        <f>LET(id,$A78,code,UPPER(TRIM($D78)),rawStart,$F78,rawEnd,$G78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8" s="2">
        <f>LET(id,$A78,code,UPPER(TRIM($D78)),rawStart,$F78,rawEnd,$G78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8" s="2">
        <f>LET(id,$A78,code,UPPER(TRIM($D78)),rawStart,$F78,rawEnd,$G78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8" s="2">
        <f>LET(id,$A78,code,UPPER(TRIM($D78)),rawStart,$F78,rawEnd,$G78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8" s="2">
        <f>LET(id,$A78,code,UPPER(TRIM($D78)),rawStart,$F78,rawEnd,$G78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8" s="2">
        <f>LET(id,$A78,code,UPPER(TRIM($D78)),rawStart,$F78,rawEnd,$G78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8" s="2">
        <f>LET(id,$A78,code,UPPER(TRIM($D78)),rawStart,$F78,rawEnd,$G78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8" s="2">
        <f>LET(id,$A78,code,UPPER(TRIM($D78)),rawStart,$F78,rawEnd,$G78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8" s="2">
        <f>LET(id,$A78,code,UPPER(TRIM($D78)),rawStart,$F78,rawEnd,$G78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8" s="2">
        <f>LET(id,$A78,code,UPPER(TRIM($D78)),rawStart,$F78,rawEnd,$G78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8" s="2">
        <f>LET(id,$A78,code,UPPER(TRIM($D78)),rawStart,$F78,rawEnd,$G78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8" s="2">
        <f>LET(id,$A78,code,UPPER(TRIM($D78)),rawStart,$F78,rawEnd,$G78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8" s="2">
        <f>LET(id,$A78,code,UPPER(TRIM($D78)),rawStart,$F78,rawEnd,$G78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8" s="2">
        <f>LET(id,$A78,code,UPPER(TRIM($D78)),rawStart,$F78,rawEnd,$G78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8" s="2">
        <f>LET(id,$A78,code,UPPER(TRIM($D78)),rawStart,$F78,rawEnd,$G78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8" s="2">
        <f>LET(id,$A78,code,UPPER(TRIM($D78)),rawStart,$F78,rawEnd,$G78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8" s="2">
        <f>LET(id,$A78,code,UPPER(TRIM($D78)),rawStart,$F78,rawEnd,$G78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8" s="2">
        <f>LET(id,$A78,code,UPPER(TRIM($D78)),rawStart,$F78,rawEnd,$G78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8" s="2">
        <f>LET(id,$A78,code,UPPER(TRIM($D78)),rawStart,$F78,rawEnd,$G78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8" s="2">
        <f>LET(id,$A78,code,UPPER(TRIM($D78)),rawStart,$F78,rawEnd,$G78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8" s="2">
        <f>LET(id,$A78,code,UPPER(TRIM($D78)),rawStart,$F78,rawEnd,$G78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8" s="2">
        <f>LET(id,$A78,code,UPPER(TRIM($D78)),rawStart,$F78,rawEnd,$G78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78" s="2">
        <f>Calc_Engine!BD78</f>
        <v/>
      </c>
    </row>
    <row r="79">
      <c r="A79" s="2">
        <f>Calc_Engine!A79</f>
        <v/>
      </c>
      <c r="B79" s="2">
        <f>Calc_Engine!B79</f>
        <v/>
      </c>
      <c r="C79" s="2">
        <f>Calc_Engine!C79</f>
        <v/>
      </c>
      <c r="D79" s="2">
        <f>Calc_Engine!D79</f>
        <v/>
      </c>
      <c r="E79" s="4">
        <f>Calc_Engine!E79</f>
        <v/>
      </c>
      <c r="F79" s="5">
        <f>Calc_Engine!F79</f>
        <v/>
      </c>
      <c r="G79" s="5">
        <f>Calc_Engine!G79</f>
        <v/>
      </c>
      <c r="H79" s="2">
        <f>LET(id,$A79,code,UPPER(TRIM($D79)),rawStart,$F79,rawEnd,$G79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9" s="2">
        <f>LET(id,$A79,code,UPPER(TRIM($D79)),rawStart,$F79,rawEnd,$G79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9" s="2">
        <f>LET(id,$A79,code,UPPER(TRIM($D79)),rawStart,$F79,rawEnd,$G79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9" s="2">
        <f>LET(id,$A79,code,UPPER(TRIM($D79)),rawStart,$F79,rawEnd,$G79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9" s="2">
        <f>LET(id,$A79,code,UPPER(TRIM($D79)),rawStart,$F79,rawEnd,$G79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9" s="2">
        <f>LET(id,$A79,code,UPPER(TRIM($D79)),rawStart,$F79,rawEnd,$G79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9" s="2">
        <f>LET(id,$A79,code,UPPER(TRIM($D79)),rawStart,$F79,rawEnd,$G79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9" s="2">
        <f>LET(id,$A79,code,UPPER(TRIM($D79)),rawStart,$F79,rawEnd,$G79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9" s="2">
        <f>LET(id,$A79,code,UPPER(TRIM($D79)),rawStart,$F79,rawEnd,$G79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9" s="2">
        <f>LET(id,$A79,code,UPPER(TRIM($D79)),rawStart,$F79,rawEnd,$G79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9" s="2">
        <f>LET(id,$A79,code,UPPER(TRIM($D79)),rawStart,$F79,rawEnd,$G79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9" s="2">
        <f>LET(id,$A79,code,UPPER(TRIM($D79)),rawStart,$F79,rawEnd,$G79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9" s="2">
        <f>LET(id,$A79,code,UPPER(TRIM($D79)),rawStart,$F79,rawEnd,$G79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9" s="2">
        <f>LET(id,$A79,code,UPPER(TRIM($D79)),rawStart,$F79,rawEnd,$G79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9" s="2">
        <f>LET(id,$A79,code,UPPER(TRIM($D79)),rawStart,$F79,rawEnd,$G79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9" s="2">
        <f>LET(id,$A79,code,UPPER(TRIM($D79)),rawStart,$F79,rawEnd,$G79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9" s="2">
        <f>LET(id,$A79,code,UPPER(TRIM($D79)),rawStart,$F79,rawEnd,$G79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9" s="2">
        <f>LET(id,$A79,code,UPPER(TRIM($D79)),rawStart,$F79,rawEnd,$G79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9" s="2">
        <f>LET(id,$A79,code,UPPER(TRIM($D79)),rawStart,$F79,rawEnd,$G79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9" s="2">
        <f>LET(id,$A79,code,UPPER(TRIM($D79)),rawStart,$F79,rawEnd,$G79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9" s="2">
        <f>LET(id,$A79,code,UPPER(TRIM($D79)),rawStart,$F79,rawEnd,$G79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9" s="2">
        <f>LET(id,$A79,code,UPPER(TRIM($D79)),rawStart,$F79,rawEnd,$G79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9" s="2">
        <f>LET(id,$A79,code,UPPER(TRIM($D79)),rawStart,$F79,rawEnd,$G79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9" s="2">
        <f>LET(id,$A79,code,UPPER(TRIM($D79)),rawStart,$F79,rawEnd,$G79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9" s="2">
        <f>LET(id,$A79,code,UPPER(TRIM($D79)),rawStart,$F79,rawEnd,$G79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9" s="2">
        <f>LET(id,$A79,code,UPPER(TRIM($D79)),rawStart,$F79,rawEnd,$G79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9" s="2">
        <f>LET(id,$A79,code,UPPER(TRIM($D79)),rawStart,$F79,rawEnd,$G79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9" s="2">
        <f>LET(id,$A79,code,UPPER(TRIM($D79)),rawStart,$F79,rawEnd,$G79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9" s="2">
        <f>LET(id,$A79,code,UPPER(TRIM($D79)),rawStart,$F79,rawEnd,$G79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9" s="2">
        <f>LET(id,$A79,code,UPPER(TRIM($D79)),rawStart,$F79,rawEnd,$G79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9" s="2">
        <f>LET(id,$A79,code,UPPER(TRIM($D79)),rawStart,$F79,rawEnd,$G79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9" s="2">
        <f>LET(id,$A79,code,UPPER(TRIM($D79)),rawStart,$F79,rawEnd,$G79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9" s="2">
        <f>LET(id,$A79,code,UPPER(TRIM($D79)),rawStart,$F79,rawEnd,$G79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9" s="2">
        <f>LET(id,$A79,code,UPPER(TRIM($D79)),rawStart,$F79,rawEnd,$G79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9" s="2">
        <f>LET(id,$A79,code,UPPER(TRIM($D79)),rawStart,$F79,rawEnd,$G79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9" s="2">
        <f>LET(id,$A79,code,UPPER(TRIM($D79)),rawStart,$F79,rawEnd,$G79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9" s="2">
        <f>LET(id,$A79,code,UPPER(TRIM($D79)),rawStart,$F79,rawEnd,$G79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9" s="2">
        <f>LET(id,$A79,code,UPPER(TRIM($D79)),rawStart,$F79,rawEnd,$G79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9" s="2">
        <f>LET(id,$A79,code,UPPER(TRIM($D79)),rawStart,$F79,rawEnd,$G79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9" s="2">
        <f>LET(id,$A79,code,UPPER(TRIM($D79)),rawStart,$F79,rawEnd,$G79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9" s="2">
        <f>LET(id,$A79,code,UPPER(TRIM($D79)),rawStart,$F79,rawEnd,$G79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9" s="2">
        <f>LET(id,$A79,code,UPPER(TRIM($D79)),rawStart,$F79,rawEnd,$G79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9" s="2">
        <f>LET(id,$A79,code,UPPER(TRIM($D79)),rawStart,$F79,rawEnd,$G79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9" s="2">
        <f>LET(id,$A79,code,UPPER(TRIM($D79)),rawStart,$F79,rawEnd,$G79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9" s="2">
        <f>LET(id,$A79,code,UPPER(TRIM($D79)),rawStart,$F79,rawEnd,$G79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9" s="2">
        <f>LET(id,$A79,code,UPPER(TRIM($D79)),rawStart,$F79,rawEnd,$G79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9" s="2">
        <f>LET(id,$A79,code,UPPER(TRIM($D79)),rawStart,$F79,rawEnd,$G79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9" s="2">
        <f>LET(id,$A79,code,UPPER(TRIM($D79)),rawStart,$F79,rawEnd,$G79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79" s="2">
        <f>Calc_Engine!BD79</f>
        <v/>
      </c>
    </row>
    <row r="80">
      <c r="A80" s="2">
        <f>Calc_Engine!A80</f>
        <v/>
      </c>
      <c r="B80" s="2">
        <f>Calc_Engine!B80</f>
        <v/>
      </c>
      <c r="C80" s="2">
        <f>Calc_Engine!C80</f>
        <v/>
      </c>
      <c r="D80" s="2">
        <f>Calc_Engine!D80</f>
        <v/>
      </c>
      <c r="E80" s="4">
        <f>Calc_Engine!E80</f>
        <v/>
      </c>
      <c r="F80" s="5">
        <f>Calc_Engine!F80</f>
        <v/>
      </c>
      <c r="G80" s="5">
        <f>Calc_Engine!G80</f>
        <v/>
      </c>
      <c r="H80" s="2">
        <f>LET(id,$A80,code,UPPER(TRIM($D80)),rawStart,$F80,rawEnd,$G80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0" s="2">
        <f>LET(id,$A80,code,UPPER(TRIM($D80)),rawStart,$F80,rawEnd,$G80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0" s="2">
        <f>LET(id,$A80,code,UPPER(TRIM($D80)),rawStart,$F80,rawEnd,$G80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0" s="2">
        <f>LET(id,$A80,code,UPPER(TRIM($D80)),rawStart,$F80,rawEnd,$G80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0" s="2">
        <f>LET(id,$A80,code,UPPER(TRIM($D80)),rawStart,$F80,rawEnd,$G80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0" s="2">
        <f>LET(id,$A80,code,UPPER(TRIM($D80)),rawStart,$F80,rawEnd,$G80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0" s="2">
        <f>LET(id,$A80,code,UPPER(TRIM($D80)),rawStart,$F80,rawEnd,$G80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0" s="2">
        <f>LET(id,$A80,code,UPPER(TRIM($D80)),rawStart,$F80,rawEnd,$G80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0" s="2">
        <f>LET(id,$A80,code,UPPER(TRIM($D80)),rawStart,$F80,rawEnd,$G80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0" s="2">
        <f>LET(id,$A80,code,UPPER(TRIM($D80)),rawStart,$F80,rawEnd,$G80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0" s="2">
        <f>LET(id,$A80,code,UPPER(TRIM($D80)),rawStart,$F80,rawEnd,$G80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0" s="2">
        <f>LET(id,$A80,code,UPPER(TRIM($D80)),rawStart,$F80,rawEnd,$G80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0" s="2">
        <f>LET(id,$A80,code,UPPER(TRIM($D80)),rawStart,$F80,rawEnd,$G80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0" s="2">
        <f>LET(id,$A80,code,UPPER(TRIM($D80)),rawStart,$F80,rawEnd,$G80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0" s="2">
        <f>LET(id,$A80,code,UPPER(TRIM($D80)),rawStart,$F80,rawEnd,$G80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0" s="2">
        <f>LET(id,$A80,code,UPPER(TRIM($D80)),rawStart,$F80,rawEnd,$G80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0" s="2">
        <f>LET(id,$A80,code,UPPER(TRIM($D80)),rawStart,$F80,rawEnd,$G80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0" s="2">
        <f>LET(id,$A80,code,UPPER(TRIM($D80)),rawStart,$F80,rawEnd,$G80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0" s="2">
        <f>LET(id,$A80,code,UPPER(TRIM($D80)),rawStart,$F80,rawEnd,$G80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0" s="2">
        <f>LET(id,$A80,code,UPPER(TRIM($D80)),rawStart,$F80,rawEnd,$G80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0" s="2">
        <f>LET(id,$A80,code,UPPER(TRIM($D80)),rawStart,$F80,rawEnd,$G80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0" s="2">
        <f>LET(id,$A80,code,UPPER(TRIM($D80)),rawStart,$F80,rawEnd,$G80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0" s="2">
        <f>LET(id,$A80,code,UPPER(TRIM($D80)),rawStart,$F80,rawEnd,$G80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0" s="2">
        <f>LET(id,$A80,code,UPPER(TRIM($D80)),rawStart,$F80,rawEnd,$G80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0" s="2">
        <f>LET(id,$A80,code,UPPER(TRIM($D80)),rawStart,$F80,rawEnd,$G80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0" s="2">
        <f>LET(id,$A80,code,UPPER(TRIM($D80)),rawStart,$F80,rawEnd,$G80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0" s="2">
        <f>LET(id,$A80,code,UPPER(TRIM($D80)),rawStart,$F80,rawEnd,$G80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0" s="2">
        <f>LET(id,$A80,code,UPPER(TRIM($D80)),rawStart,$F80,rawEnd,$G80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0" s="2">
        <f>LET(id,$A80,code,UPPER(TRIM($D80)),rawStart,$F80,rawEnd,$G80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0" s="2">
        <f>LET(id,$A80,code,UPPER(TRIM($D80)),rawStart,$F80,rawEnd,$G80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0" s="2">
        <f>LET(id,$A80,code,UPPER(TRIM($D80)),rawStart,$F80,rawEnd,$G80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0" s="2">
        <f>LET(id,$A80,code,UPPER(TRIM($D80)),rawStart,$F80,rawEnd,$G80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0" s="2">
        <f>LET(id,$A80,code,UPPER(TRIM($D80)),rawStart,$F80,rawEnd,$G80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0" s="2">
        <f>LET(id,$A80,code,UPPER(TRIM($D80)),rawStart,$F80,rawEnd,$G80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0" s="2">
        <f>LET(id,$A80,code,UPPER(TRIM($D80)),rawStart,$F80,rawEnd,$G80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0" s="2">
        <f>LET(id,$A80,code,UPPER(TRIM($D80)),rawStart,$F80,rawEnd,$G80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0" s="2">
        <f>LET(id,$A80,code,UPPER(TRIM($D80)),rawStart,$F80,rawEnd,$G80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0" s="2">
        <f>LET(id,$A80,code,UPPER(TRIM($D80)),rawStart,$F80,rawEnd,$G80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0" s="2">
        <f>LET(id,$A80,code,UPPER(TRIM($D80)),rawStart,$F80,rawEnd,$G80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0" s="2">
        <f>LET(id,$A80,code,UPPER(TRIM($D80)),rawStart,$F80,rawEnd,$G80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0" s="2">
        <f>LET(id,$A80,code,UPPER(TRIM($D80)),rawStart,$F80,rawEnd,$G80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0" s="2">
        <f>LET(id,$A80,code,UPPER(TRIM($D80)),rawStart,$F80,rawEnd,$G80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0" s="2">
        <f>LET(id,$A80,code,UPPER(TRIM($D80)),rawStart,$F80,rawEnd,$G80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0" s="2">
        <f>LET(id,$A80,code,UPPER(TRIM($D80)),rawStart,$F80,rawEnd,$G80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0" s="2">
        <f>LET(id,$A80,code,UPPER(TRIM($D80)),rawStart,$F80,rawEnd,$G80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0" s="2">
        <f>LET(id,$A80,code,UPPER(TRIM($D80)),rawStart,$F80,rawEnd,$G80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0" s="2">
        <f>LET(id,$A80,code,UPPER(TRIM($D80)),rawStart,$F80,rawEnd,$G80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0" s="2">
        <f>LET(id,$A80,code,UPPER(TRIM($D80)),rawStart,$F80,rawEnd,$G80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80" s="2">
        <f>Calc_Engine!BD80</f>
        <v/>
      </c>
    </row>
    <row r="81">
      <c r="A81" s="2">
        <f>Calc_Engine!A81</f>
        <v/>
      </c>
      <c r="B81" s="2">
        <f>Calc_Engine!B81</f>
        <v/>
      </c>
      <c r="C81" s="2">
        <f>Calc_Engine!C81</f>
        <v/>
      </c>
      <c r="D81" s="2">
        <f>Calc_Engine!D81</f>
        <v/>
      </c>
      <c r="E81" s="4">
        <f>Calc_Engine!E81</f>
        <v/>
      </c>
      <c r="F81" s="5">
        <f>Calc_Engine!F81</f>
        <v/>
      </c>
      <c r="G81" s="5">
        <f>Calc_Engine!G81</f>
        <v/>
      </c>
      <c r="H81" s="2">
        <f>LET(id,$A81,code,UPPER(TRIM($D81)),rawStart,$F81,rawEnd,$G81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1" s="2">
        <f>LET(id,$A81,code,UPPER(TRIM($D81)),rawStart,$F81,rawEnd,$G81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1" s="2">
        <f>LET(id,$A81,code,UPPER(TRIM($D81)),rawStart,$F81,rawEnd,$G81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1" s="2">
        <f>LET(id,$A81,code,UPPER(TRIM($D81)),rawStart,$F81,rawEnd,$G81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1" s="2">
        <f>LET(id,$A81,code,UPPER(TRIM($D81)),rawStart,$F81,rawEnd,$G81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1" s="2">
        <f>LET(id,$A81,code,UPPER(TRIM($D81)),rawStart,$F81,rawEnd,$G81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1" s="2">
        <f>LET(id,$A81,code,UPPER(TRIM($D81)),rawStart,$F81,rawEnd,$G81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1" s="2">
        <f>LET(id,$A81,code,UPPER(TRIM($D81)),rawStart,$F81,rawEnd,$G81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1" s="2">
        <f>LET(id,$A81,code,UPPER(TRIM($D81)),rawStart,$F81,rawEnd,$G81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1" s="2">
        <f>LET(id,$A81,code,UPPER(TRIM($D81)),rawStart,$F81,rawEnd,$G81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1" s="2">
        <f>LET(id,$A81,code,UPPER(TRIM($D81)),rawStart,$F81,rawEnd,$G81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1" s="2">
        <f>LET(id,$A81,code,UPPER(TRIM($D81)),rawStart,$F81,rawEnd,$G81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1" s="2">
        <f>LET(id,$A81,code,UPPER(TRIM($D81)),rawStart,$F81,rawEnd,$G81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1" s="2">
        <f>LET(id,$A81,code,UPPER(TRIM($D81)),rawStart,$F81,rawEnd,$G81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1" s="2">
        <f>LET(id,$A81,code,UPPER(TRIM($D81)),rawStart,$F81,rawEnd,$G81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1" s="2">
        <f>LET(id,$A81,code,UPPER(TRIM($D81)),rawStart,$F81,rawEnd,$G81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1" s="2">
        <f>LET(id,$A81,code,UPPER(TRIM($D81)),rawStart,$F81,rawEnd,$G81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1" s="2">
        <f>LET(id,$A81,code,UPPER(TRIM($D81)),rawStart,$F81,rawEnd,$G81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1" s="2">
        <f>LET(id,$A81,code,UPPER(TRIM($D81)),rawStart,$F81,rawEnd,$G81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1" s="2">
        <f>LET(id,$A81,code,UPPER(TRIM($D81)),rawStart,$F81,rawEnd,$G81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1" s="2">
        <f>LET(id,$A81,code,UPPER(TRIM($D81)),rawStart,$F81,rawEnd,$G81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1" s="2">
        <f>LET(id,$A81,code,UPPER(TRIM($D81)),rawStart,$F81,rawEnd,$G81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1" s="2">
        <f>LET(id,$A81,code,UPPER(TRIM($D81)),rawStart,$F81,rawEnd,$G81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1" s="2">
        <f>LET(id,$A81,code,UPPER(TRIM($D81)),rawStart,$F81,rawEnd,$G81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1" s="2">
        <f>LET(id,$A81,code,UPPER(TRIM($D81)),rawStart,$F81,rawEnd,$G81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1" s="2">
        <f>LET(id,$A81,code,UPPER(TRIM($D81)),rawStart,$F81,rawEnd,$G81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1" s="2">
        <f>LET(id,$A81,code,UPPER(TRIM($D81)),rawStart,$F81,rawEnd,$G81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1" s="2">
        <f>LET(id,$A81,code,UPPER(TRIM($D81)),rawStart,$F81,rawEnd,$G81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1" s="2">
        <f>LET(id,$A81,code,UPPER(TRIM($D81)),rawStart,$F81,rawEnd,$G81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1" s="2">
        <f>LET(id,$A81,code,UPPER(TRIM($D81)),rawStart,$F81,rawEnd,$G81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1" s="2">
        <f>LET(id,$A81,code,UPPER(TRIM($D81)),rawStart,$F81,rawEnd,$G81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1" s="2">
        <f>LET(id,$A81,code,UPPER(TRIM($D81)),rawStart,$F81,rawEnd,$G81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1" s="2">
        <f>LET(id,$A81,code,UPPER(TRIM($D81)),rawStart,$F81,rawEnd,$G81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1" s="2">
        <f>LET(id,$A81,code,UPPER(TRIM($D81)),rawStart,$F81,rawEnd,$G81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1" s="2">
        <f>LET(id,$A81,code,UPPER(TRIM($D81)),rawStart,$F81,rawEnd,$G81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1" s="2">
        <f>LET(id,$A81,code,UPPER(TRIM($D81)),rawStart,$F81,rawEnd,$G81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1" s="2">
        <f>LET(id,$A81,code,UPPER(TRIM($D81)),rawStart,$F81,rawEnd,$G81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1" s="2">
        <f>LET(id,$A81,code,UPPER(TRIM($D81)),rawStart,$F81,rawEnd,$G81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1" s="2">
        <f>LET(id,$A81,code,UPPER(TRIM($D81)),rawStart,$F81,rawEnd,$G81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1" s="2">
        <f>LET(id,$A81,code,UPPER(TRIM($D81)),rawStart,$F81,rawEnd,$G81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1" s="2">
        <f>LET(id,$A81,code,UPPER(TRIM($D81)),rawStart,$F81,rawEnd,$G81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1" s="2">
        <f>LET(id,$A81,code,UPPER(TRIM($D81)),rawStart,$F81,rawEnd,$G81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1" s="2">
        <f>LET(id,$A81,code,UPPER(TRIM($D81)),rawStart,$F81,rawEnd,$G81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1" s="2">
        <f>LET(id,$A81,code,UPPER(TRIM($D81)),rawStart,$F81,rawEnd,$G81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1" s="2">
        <f>LET(id,$A81,code,UPPER(TRIM($D81)),rawStart,$F81,rawEnd,$G81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1" s="2">
        <f>LET(id,$A81,code,UPPER(TRIM($D81)),rawStart,$F81,rawEnd,$G81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1" s="2">
        <f>LET(id,$A81,code,UPPER(TRIM($D81)),rawStart,$F81,rawEnd,$G81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1" s="2">
        <f>LET(id,$A81,code,UPPER(TRIM($D81)),rawStart,$F81,rawEnd,$G81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81" s="2">
        <f>Calc_Engine!BD81</f>
        <v/>
      </c>
    </row>
    <row r="82">
      <c r="A82" s="2">
        <f>Calc_Engine!A82</f>
        <v/>
      </c>
      <c r="B82" s="2">
        <f>Calc_Engine!B82</f>
        <v/>
      </c>
      <c r="C82" s="2">
        <f>Calc_Engine!C82</f>
        <v/>
      </c>
      <c r="D82" s="2">
        <f>Calc_Engine!D82</f>
        <v/>
      </c>
      <c r="E82" s="4">
        <f>Calc_Engine!E82</f>
        <v/>
      </c>
      <c r="F82" s="5">
        <f>Calc_Engine!F82</f>
        <v/>
      </c>
      <c r="G82" s="5">
        <f>Calc_Engine!G82</f>
        <v/>
      </c>
      <c r="H82" s="2">
        <f>LET(id,$A82,code,UPPER(TRIM($D82)),rawStart,$F82,rawEnd,$G82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2" s="2">
        <f>LET(id,$A82,code,UPPER(TRIM($D82)),rawStart,$F82,rawEnd,$G82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2" s="2">
        <f>LET(id,$A82,code,UPPER(TRIM($D82)),rawStart,$F82,rawEnd,$G82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2" s="2">
        <f>LET(id,$A82,code,UPPER(TRIM($D82)),rawStart,$F82,rawEnd,$G82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2" s="2">
        <f>LET(id,$A82,code,UPPER(TRIM($D82)),rawStart,$F82,rawEnd,$G82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2" s="2">
        <f>LET(id,$A82,code,UPPER(TRIM($D82)),rawStart,$F82,rawEnd,$G82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2" s="2">
        <f>LET(id,$A82,code,UPPER(TRIM($D82)),rawStart,$F82,rawEnd,$G82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2" s="2">
        <f>LET(id,$A82,code,UPPER(TRIM($D82)),rawStart,$F82,rawEnd,$G82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2" s="2">
        <f>LET(id,$A82,code,UPPER(TRIM($D82)),rawStart,$F82,rawEnd,$G82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2" s="2">
        <f>LET(id,$A82,code,UPPER(TRIM($D82)),rawStart,$F82,rawEnd,$G82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2" s="2">
        <f>LET(id,$A82,code,UPPER(TRIM($D82)),rawStart,$F82,rawEnd,$G82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2" s="2">
        <f>LET(id,$A82,code,UPPER(TRIM($D82)),rawStart,$F82,rawEnd,$G82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2" s="2">
        <f>LET(id,$A82,code,UPPER(TRIM($D82)),rawStart,$F82,rawEnd,$G82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2" s="2">
        <f>LET(id,$A82,code,UPPER(TRIM($D82)),rawStart,$F82,rawEnd,$G82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2" s="2">
        <f>LET(id,$A82,code,UPPER(TRIM($D82)),rawStart,$F82,rawEnd,$G82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2" s="2">
        <f>LET(id,$A82,code,UPPER(TRIM($D82)),rawStart,$F82,rawEnd,$G82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2" s="2">
        <f>LET(id,$A82,code,UPPER(TRIM($D82)),rawStart,$F82,rawEnd,$G82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2" s="2">
        <f>LET(id,$A82,code,UPPER(TRIM($D82)),rawStart,$F82,rawEnd,$G82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2" s="2">
        <f>LET(id,$A82,code,UPPER(TRIM($D82)),rawStart,$F82,rawEnd,$G82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2" s="2">
        <f>LET(id,$A82,code,UPPER(TRIM($D82)),rawStart,$F82,rawEnd,$G82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2" s="2">
        <f>LET(id,$A82,code,UPPER(TRIM($D82)),rawStart,$F82,rawEnd,$G82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2" s="2">
        <f>LET(id,$A82,code,UPPER(TRIM($D82)),rawStart,$F82,rawEnd,$G82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2" s="2">
        <f>LET(id,$A82,code,UPPER(TRIM($D82)),rawStart,$F82,rawEnd,$G82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2" s="2">
        <f>LET(id,$A82,code,UPPER(TRIM($D82)),rawStart,$F82,rawEnd,$G82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2" s="2">
        <f>LET(id,$A82,code,UPPER(TRIM($D82)),rawStart,$F82,rawEnd,$G82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2" s="2">
        <f>LET(id,$A82,code,UPPER(TRIM($D82)),rawStart,$F82,rawEnd,$G82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2" s="2">
        <f>LET(id,$A82,code,UPPER(TRIM($D82)),rawStart,$F82,rawEnd,$G82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2" s="2">
        <f>LET(id,$A82,code,UPPER(TRIM($D82)),rawStart,$F82,rawEnd,$G82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2" s="2">
        <f>LET(id,$A82,code,UPPER(TRIM($D82)),rawStart,$F82,rawEnd,$G82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2" s="2">
        <f>LET(id,$A82,code,UPPER(TRIM($D82)),rawStart,$F82,rawEnd,$G82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2" s="2">
        <f>LET(id,$A82,code,UPPER(TRIM($D82)),rawStart,$F82,rawEnd,$G82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2" s="2">
        <f>LET(id,$A82,code,UPPER(TRIM($D82)),rawStart,$F82,rawEnd,$G82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2" s="2">
        <f>LET(id,$A82,code,UPPER(TRIM($D82)),rawStart,$F82,rawEnd,$G82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2" s="2">
        <f>LET(id,$A82,code,UPPER(TRIM($D82)),rawStart,$F82,rawEnd,$G82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2" s="2">
        <f>LET(id,$A82,code,UPPER(TRIM($D82)),rawStart,$F82,rawEnd,$G82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2" s="2">
        <f>LET(id,$A82,code,UPPER(TRIM($D82)),rawStart,$F82,rawEnd,$G82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2" s="2">
        <f>LET(id,$A82,code,UPPER(TRIM($D82)),rawStart,$F82,rawEnd,$G82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2" s="2">
        <f>LET(id,$A82,code,UPPER(TRIM($D82)),rawStart,$F82,rawEnd,$G82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2" s="2">
        <f>LET(id,$A82,code,UPPER(TRIM($D82)),rawStart,$F82,rawEnd,$G82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2" s="2">
        <f>LET(id,$A82,code,UPPER(TRIM($D82)),rawStart,$F82,rawEnd,$G82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2" s="2">
        <f>LET(id,$A82,code,UPPER(TRIM($D82)),rawStart,$F82,rawEnd,$G82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2" s="2">
        <f>LET(id,$A82,code,UPPER(TRIM($D82)),rawStart,$F82,rawEnd,$G82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2" s="2">
        <f>LET(id,$A82,code,UPPER(TRIM($D82)),rawStart,$F82,rawEnd,$G82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2" s="2">
        <f>LET(id,$A82,code,UPPER(TRIM($D82)),rawStart,$F82,rawEnd,$G82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2" s="2">
        <f>LET(id,$A82,code,UPPER(TRIM($D82)),rawStart,$F82,rawEnd,$G82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2" s="2">
        <f>LET(id,$A82,code,UPPER(TRIM($D82)),rawStart,$F82,rawEnd,$G82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2" s="2">
        <f>LET(id,$A82,code,UPPER(TRIM($D82)),rawStart,$F82,rawEnd,$G82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2" s="2">
        <f>LET(id,$A82,code,UPPER(TRIM($D82)),rawStart,$F82,rawEnd,$G82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82" s="2">
        <f>Calc_Engine!BD82</f>
        <v/>
      </c>
    </row>
    <row r="83">
      <c r="A83" s="2">
        <f>Calc_Engine!A83</f>
        <v/>
      </c>
      <c r="B83" s="2">
        <f>Calc_Engine!B83</f>
        <v/>
      </c>
      <c r="C83" s="2">
        <f>Calc_Engine!C83</f>
        <v/>
      </c>
      <c r="D83" s="2">
        <f>Calc_Engine!D83</f>
        <v/>
      </c>
      <c r="E83" s="4">
        <f>Calc_Engine!E83</f>
        <v/>
      </c>
      <c r="F83" s="5">
        <f>Calc_Engine!F83</f>
        <v/>
      </c>
      <c r="G83" s="5">
        <f>Calc_Engine!G83</f>
        <v/>
      </c>
      <c r="H83" s="2">
        <f>LET(id,$A83,code,UPPER(TRIM($D83)),rawStart,$F83,rawEnd,$G83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3" s="2">
        <f>LET(id,$A83,code,UPPER(TRIM($D83)),rawStart,$F83,rawEnd,$G83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3" s="2">
        <f>LET(id,$A83,code,UPPER(TRIM($D83)),rawStart,$F83,rawEnd,$G83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3" s="2">
        <f>LET(id,$A83,code,UPPER(TRIM($D83)),rawStart,$F83,rawEnd,$G83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3" s="2">
        <f>LET(id,$A83,code,UPPER(TRIM($D83)),rawStart,$F83,rawEnd,$G83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3" s="2">
        <f>LET(id,$A83,code,UPPER(TRIM($D83)),rawStart,$F83,rawEnd,$G83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3" s="2">
        <f>LET(id,$A83,code,UPPER(TRIM($D83)),rawStart,$F83,rawEnd,$G83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3" s="2">
        <f>LET(id,$A83,code,UPPER(TRIM($D83)),rawStart,$F83,rawEnd,$G83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3" s="2">
        <f>LET(id,$A83,code,UPPER(TRIM($D83)),rawStart,$F83,rawEnd,$G83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3" s="2">
        <f>LET(id,$A83,code,UPPER(TRIM($D83)),rawStart,$F83,rawEnd,$G83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3" s="2">
        <f>LET(id,$A83,code,UPPER(TRIM($D83)),rawStart,$F83,rawEnd,$G83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3" s="2">
        <f>LET(id,$A83,code,UPPER(TRIM($D83)),rawStart,$F83,rawEnd,$G83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3" s="2">
        <f>LET(id,$A83,code,UPPER(TRIM($D83)),rawStart,$F83,rawEnd,$G83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3" s="2">
        <f>LET(id,$A83,code,UPPER(TRIM($D83)),rawStart,$F83,rawEnd,$G83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3" s="2">
        <f>LET(id,$A83,code,UPPER(TRIM($D83)),rawStart,$F83,rawEnd,$G83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3" s="2">
        <f>LET(id,$A83,code,UPPER(TRIM($D83)),rawStart,$F83,rawEnd,$G83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3" s="2">
        <f>LET(id,$A83,code,UPPER(TRIM($D83)),rawStart,$F83,rawEnd,$G83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3" s="2">
        <f>LET(id,$A83,code,UPPER(TRIM($D83)),rawStart,$F83,rawEnd,$G83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3" s="2">
        <f>LET(id,$A83,code,UPPER(TRIM($D83)),rawStart,$F83,rawEnd,$G83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3" s="2">
        <f>LET(id,$A83,code,UPPER(TRIM($D83)),rawStart,$F83,rawEnd,$G83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3" s="2">
        <f>LET(id,$A83,code,UPPER(TRIM($D83)),rawStart,$F83,rawEnd,$G83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3" s="2">
        <f>LET(id,$A83,code,UPPER(TRIM($D83)),rawStart,$F83,rawEnd,$G83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3" s="2">
        <f>LET(id,$A83,code,UPPER(TRIM($D83)),rawStart,$F83,rawEnd,$G83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3" s="2">
        <f>LET(id,$A83,code,UPPER(TRIM($D83)),rawStart,$F83,rawEnd,$G83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3" s="2">
        <f>LET(id,$A83,code,UPPER(TRIM($D83)),rawStart,$F83,rawEnd,$G83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3" s="2">
        <f>LET(id,$A83,code,UPPER(TRIM($D83)),rawStart,$F83,rawEnd,$G83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3" s="2">
        <f>LET(id,$A83,code,UPPER(TRIM($D83)),rawStart,$F83,rawEnd,$G83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3" s="2">
        <f>LET(id,$A83,code,UPPER(TRIM($D83)),rawStart,$F83,rawEnd,$G83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3" s="2">
        <f>LET(id,$A83,code,UPPER(TRIM($D83)),rawStart,$F83,rawEnd,$G83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3" s="2">
        <f>LET(id,$A83,code,UPPER(TRIM($D83)),rawStart,$F83,rawEnd,$G83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3" s="2">
        <f>LET(id,$A83,code,UPPER(TRIM($D83)),rawStart,$F83,rawEnd,$G83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3" s="2">
        <f>LET(id,$A83,code,UPPER(TRIM($D83)),rawStart,$F83,rawEnd,$G83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3" s="2">
        <f>LET(id,$A83,code,UPPER(TRIM($D83)),rawStart,$F83,rawEnd,$G83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3" s="2">
        <f>LET(id,$A83,code,UPPER(TRIM($D83)),rawStart,$F83,rawEnd,$G83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3" s="2">
        <f>LET(id,$A83,code,UPPER(TRIM($D83)),rawStart,$F83,rawEnd,$G83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3" s="2">
        <f>LET(id,$A83,code,UPPER(TRIM($D83)),rawStart,$F83,rawEnd,$G83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3" s="2">
        <f>LET(id,$A83,code,UPPER(TRIM($D83)),rawStart,$F83,rawEnd,$G83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3" s="2">
        <f>LET(id,$A83,code,UPPER(TRIM($D83)),rawStart,$F83,rawEnd,$G83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3" s="2">
        <f>LET(id,$A83,code,UPPER(TRIM($D83)),rawStart,$F83,rawEnd,$G83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3" s="2">
        <f>LET(id,$A83,code,UPPER(TRIM($D83)),rawStart,$F83,rawEnd,$G83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3" s="2">
        <f>LET(id,$A83,code,UPPER(TRIM($D83)),rawStart,$F83,rawEnd,$G83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3" s="2">
        <f>LET(id,$A83,code,UPPER(TRIM($D83)),rawStart,$F83,rawEnd,$G83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3" s="2">
        <f>LET(id,$A83,code,UPPER(TRIM($D83)),rawStart,$F83,rawEnd,$G83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3" s="2">
        <f>LET(id,$A83,code,UPPER(TRIM($D83)),rawStart,$F83,rawEnd,$G83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3" s="2">
        <f>LET(id,$A83,code,UPPER(TRIM($D83)),rawStart,$F83,rawEnd,$G83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3" s="2">
        <f>LET(id,$A83,code,UPPER(TRIM($D83)),rawStart,$F83,rawEnd,$G83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3" s="2">
        <f>LET(id,$A83,code,UPPER(TRIM($D83)),rawStart,$F83,rawEnd,$G83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3" s="2">
        <f>LET(id,$A83,code,UPPER(TRIM($D83)),rawStart,$F83,rawEnd,$G83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83" s="2">
        <f>Calc_Engine!BD83</f>
        <v/>
      </c>
    </row>
    <row r="84">
      <c r="A84" s="2">
        <f>Calc_Engine!A84</f>
        <v/>
      </c>
      <c r="B84" s="2">
        <f>Calc_Engine!B84</f>
        <v/>
      </c>
      <c r="C84" s="2">
        <f>Calc_Engine!C84</f>
        <v/>
      </c>
      <c r="D84" s="2">
        <f>Calc_Engine!D84</f>
        <v/>
      </c>
      <c r="E84" s="4">
        <f>Calc_Engine!E84</f>
        <v/>
      </c>
      <c r="F84" s="5">
        <f>Calc_Engine!F84</f>
        <v/>
      </c>
      <c r="G84" s="5">
        <f>Calc_Engine!G84</f>
        <v/>
      </c>
      <c r="H84" s="2">
        <f>LET(id,$A84,code,UPPER(TRIM($D84)),rawStart,$F84,rawEnd,$G84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4" s="2">
        <f>LET(id,$A84,code,UPPER(TRIM($D84)),rawStart,$F84,rawEnd,$G84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4" s="2">
        <f>LET(id,$A84,code,UPPER(TRIM($D84)),rawStart,$F84,rawEnd,$G84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4" s="2">
        <f>LET(id,$A84,code,UPPER(TRIM($D84)),rawStart,$F84,rawEnd,$G84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4" s="2">
        <f>LET(id,$A84,code,UPPER(TRIM($D84)),rawStart,$F84,rawEnd,$G84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4" s="2">
        <f>LET(id,$A84,code,UPPER(TRIM($D84)),rawStart,$F84,rawEnd,$G84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4" s="2">
        <f>LET(id,$A84,code,UPPER(TRIM($D84)),rawStart,$F84,rawEnd,$G84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4" s="2">
        <f>LET(id,$A84,code,UPPER(TRIM($D84)),rawStart,$F84,rawEnd,$G84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4" s="2">
        <f>LET(id,$A84,code,UPPER(TRIM($D84)),rawStart,$F84,rawEnd,$G84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4" s="2">
        <f>LET(id,$A84,code,UPPER(TRIM($D84)),rawStart,$F84,rawEnd,$G84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4" s="2">
        <f>LET(id,$A84,code,UPPER(TRIM($D84)),rawStart,$F84,rawEnd,$G84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4" s="2">
        <f>LET(id,$A84,code,UPPER(TRIM($D84)),rawStart,$F84,rawEnd,$G84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4" s="2">
        <f>LET(id,$A84,code,UPPER(TRIM($D84)),rawStart,$F84,rawEnd,$G84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4" s="2">
        <f>LET(id,$A84,code,UPPER(TRIM($D84)),rawStart,$F84,rawEnd,$G84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4" s="2">
        <f>LET(id,$A84,code,UPPER(TRIM($D84)),rawStart,$F84,rawEnd,$G84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4" s="2">
        <f>LET(id,$A84,code,UPPER(TRIM($D84)),rawStart,$F84,rawEnd,$G84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4" s="2">
        <f>LET(id,$A84,code,UPPER(TRIM($D84)),rawStart,$F84,rawEnd,$G84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4" s="2">
        <f>LET(id,$A84,code,UPPER(TRIM($D84)),rawStart,$F84,rawEnd,$G84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4" s="2">
        <f>LET(id,$A84,code,UPPER(TRIM($D84)),rawStart,$F84,rawEnd,$G84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4" s="2">
        <f>LET(id,$A84,code,UPPER(TRIM($D84)),rawStart,$F84,rawEnd,$G84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4" s="2">
        <f>LET(id,$A84,code,UPPER(TRIM($D84)),rawStart,$F84,rawEnd,$G84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4" s="2">
        <f>LET(id,$A84,code,UPPER(TRIM($D84)),rawStart,$F84,rawEnd,$G84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4" s="2">
        <f>LET(id,$A84,code,UPPER(TRIM($D84)),rawStart,$F84,rawEnd,$G84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4" s="2">
        <f>LET(id,$A84,code,UPPER(TRIM($D84)),rawStart,$F84,rawEnd,$G84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4" s="2">
        <f>LET(id,$A84,code,UPPER(TRIM($D84)),rawStart,$F84,rawEnd,$G84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4" s="2">
        <f>LET(id,$A84,code,UPPER(TRIM($D84)),rawStart,$F84,rawEnd,$G84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4" s="2">
        <f>LET(id,$A84,code,UPPER(TRIM($D84)),rawStart,$F84,rawEnd,$G84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4" s="2">
        <f>LET(id,$A84,code,UPPER(TRIM($D84)),rawStart,$F84,rawEnd,$G84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4" s="2">
        <f>LET(id,$A84,code,UPPER(TRIM($D84)),rawStart,$F84,rawEnd,$G84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4" s="2">
        <f>LET(id,$A84,code,UPPER(TRIM($D84)),rawStart,$F84,rawEnd,$G84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4" s="2">
        <f>LET(id,$A84,code,UPPER(TRIM($D84)),rawStart,$F84,rawEnd,$G84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4" s="2">
        <f>LET(id,$A84,code,UPPER(TRIM($D84)),rawStart,$F84,rawEnd,$G84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4" s="2">
        <f>LET(id,$A84,code,UPPER(TRIM($D84)),rawStart,$F84,rawEnd,$G84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4" s="2">
        <f>LET(id,$A84,code,UPPER(TRIM($D84)),rawStart,$F84,rawEnd,$G84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4" s="2">
        <f>LET(id,$A84,code,UPPER(TRIM($D84)),rawStart,$F84,rawEnd,$G84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4" s="2">
        <f>LET(id,$A84,code,UPPER(TRIM($D84)),rawStart,$F84,rawEnd,$G84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4" s="2">
        <f>LET(id,$A84,code,UPPER(TRIM($D84)),rawStart,$F84,rawEnd,$G84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4" s="2">
        <f>LET(id,$A84,code,UPPER(TRIM($D84)),rawStart,$F84,rawEnd,$G84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4" s="2">
        <f>LET(id,$A84,code,UPPER(TRIM($D84)),rawStart,$F84,rawEnd,$G84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4" s="2">
        <f>LET(id,$A84,code,UPPER(TRIM($D84)),rawStart,$F84,rawEnd,$G84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4" s="2">
        <f>LET(id,$A84,code,UPPER(TRIM($D84)),rawStart,$F84,rawEnd,$G84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4" s="2">
        <f>LET(id,$A84,code,UPPER(TRIM($D84)),rawStart,$F84,rawEnd,$G84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4" s="2">
        <f>LET(id,$A84,code,UPPER(TRIM($D84)),rawStart,$F84,rawEnd,$G84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4" s="2">
        <f>LET(id,$A84,code,UPPER(TRIM($D84)),rawStart,$F84,rawEnd,$G84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4" s="2">
        <f>LET(id,$A84,code,UPPER(TRIM($D84)),rawStart,$F84,rawEnd,$G84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4" s="2">
        <f>LET(id,$A84,code,UPPER(TRIM($D84)),rawStart,$F84,rawEnd,$G84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4" s="2">
        <f>LET(id,$A84,code,UPPER(TRIM($D84)),rawStart,$F84,rawEnd,$G84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4" s="2">
        <f>LET(id,$A84,code,UPPER(TRIM($D84)),rawStart,$F84,rawEnd,$G84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84" s="2">
        <f>Calc_Engine!BD84</f>
        <v/>
      </c>
    </row>
    <row r="85">
      <c r="A85" s="2">
        <f>Calc_Engine!A85</f>
        <v/>
      </c>
      <c r="B85" s="2">
        <f>Calc_Engine!B85</f>
        <v/>
      </c>
      <c r="C85" s="2">
        <f>Calc_Engine!C85</f>
        <v/>
      </c>
      <c r="D85" s="2">
        <f>Calc_Engine!D85</f>
        <v/>
      </c>
      <c r="E85" s="4">
        <f>Calc_Engine!E85</f>
        <v/>
      </c>
      <c r="F85" s="5">
        <f>Calc_Engine!F85</f>
        <v/>
      </c>
      <c r="G85" s="5">
        <f>Calc_Engine!G85</f>
        <v/>
      </c>
      <c r="H85" s="2">
        <f>LET(id,$A85,code,UPPER(TRIM($D85)),rawStart,$F85,rawEnd,$G85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5" s="2">
        <f>LET(id,$A85,code,UPPER(TRIM($D85)),rawStart,$F85,rawEnd,$G85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5" s="2">
        <f>LET(id,$A85,code,UPPER(TRIM($D85)),rawStart,$F85,rawEnd,$G85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5" s="2">
        <f>LET(id,$A85,code,UPPER(TRIM($D85)),rawStart,$F85,rawEnd,$G85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5" s="2">
        <f>LET(id,$A85,code,UPPER(TRIM($D85)),rawStart,$F85,rawEnd,$G85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5" s="2">
        <f>LET(id,$A85,code,UPPER(TRIM($D85)),rawStart,$F85,rawEnd,$G85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5" s="2">
        <f>LET(id,$A85,code,UPPER(TRIM($D85)),rawStart,$F85,rawEnd,$G85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5" s="2">
        <f>LET(id,$A85,code,UPPER(TRIM($D85)),rawStart,$F85,rawEnd,$G85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5" s="2">
        <f>LET(id,$A85,code,UPPER(TRIM($D85)),rawStart,$F85,rawEnd,$G85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5" s="2">
        <f>LET(id,$A85,code,UPPER(TRIM($D85)),rawStart,$F85,rawEnd,$G85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5" s="2">
        <f>LET(id,$A85,code,UPPER(TRIM($D85)),rawStart,$F85,rawEnd,$G85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5" s="2">
        <f>LET(id,$A85,code,UPPER(TRIM($D85)),rawStart,$F85,rawEnd,$G85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5" s="2">
        <f>LET(id,$A85,code,UPPER(TRIM($D85)),rawStart,$F85,rawEnd,$G85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5" s="2">
        <f>LET(id,$A85,code,UPPER(TRIM($D85)),rawStart,$F85,rawEnd,$G85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5" s="2">
        <f>LET(id,$A85,code,UPPER(TRIM($D85)),rawStart,$F85,rawEnd,$G85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5" s="2">
        <f>LET(id,$A85,code,UPPER(TRIM($D85)),rawStart,$F85,rawEnd,$G85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5" s="2">
        <f>LET(id,$A85,code,UPPER(TRIM($D85)),rawStart,$F85,rawEnd,$G85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5" s="2">
        <f>LET(id,$A85,code,UPPER(TRIM($D85)),rawStart,$F85,rawEnd,$G85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5" s="2">
        <f>LET(id,$A85,code,UPPER(TRIM($D85)),rawStart,$F85,rawEnd,$G85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5" s="2">
        <f>LET(id,$A85,code,UPPER(TRIM($D85)),rawStart,$F85,rawEnd,$G85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5" s="2">
        <f>LET(id,$A85,code,UPPER(TRIM($D85)),rawStart,$F85,rawEnd,$G85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5" s="2">
        <f>LET(id,$A85,code,UPPER(TRIM($D85)),rawStart,$F85,rawEnd,$G85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5" s="2">
        <f>LET(id,$A85,code,UPPER(TRIM($D85)),rawStart,$F85,rawEnd,$G85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5" s="2">
        <f>LET(id,$A85,code,UPPER(TRIM($D85)),rawStart,$F85,rawEnd,$G85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5" s="2">
        <f>LET(id,$A85,code,UPPER(TRIM($D85)),rawStart,$F85,rawEnd,$G85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5" s="2">
        <f>LET(id,$A85,code,UPPER(TRIM($D85)),rawStart,$F85,rawEnd,$G85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5" s="2">
        <f>LET(id,$A85,code,UPPER(TRIM($D85)),rawStart,$F85,rawEnd,$G85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5" s="2">
        <f>LET(id,$A85,code,UPPER(TRIM($D85)),rawStart,$F85,rawEnd,$G85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5" s="2">
        <f>LET(id,$A85,code,UPPER(TRIM($D85)),rawStart,$F85,rawEnd,$G85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5" s="2">
        <f>LET(id,$A85,code,UPPER(TRIM($D85)),rawStart,$F85,rawEnd,$G85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5" s="2">
        <f>LET(id,$A85,code,UPPER(TRIM($D85)),rawStart,$F85,rawEnd,$G85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5" s="2">
        <f>LET(id,$A85,code,UPPER(TRIM($D85)),rawStart,$F85,rawEnd,$G85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5" s="2">
        <f>LET(id,$A85,code,UPPER(TRIM($D85)),rawStart,$F85,rawEnd,$G85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5" s="2">
        <f>LET(id,$A85,code,UPPER(TRIM($D85)),rawStart,$F85,rawEnd,$G85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5" s="2">
        <f>LET(id,$A85,code,UPPER(TRIM($D85)),rawStart,$F85,rawEnd,$G85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5" s="2">
        <f>LET(id,$A85,code,UPPER(TRIM($D85)),rawStart,$F85,rawEnd,$G85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5" s="2">
        <f>LET(id,$A85,code,UPPER(TRIM($D85)),rawStart,$F85,rawEnd,$G85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5" s="2">
        <f>LET(id,$A85,code,UPPER(TRIM($D85)),rawStart,$F85,rawEnd,$G85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5" s="2">
        <f>LET(id,$A85,code,UPPER(TRIM($D85)),rawStart,$F85,rawEnd,$G85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5" s="2">
        <f>LET(id,$A85,code,UPPER(TRIM($D85)),rawStart,$F85,rawEnd,$G85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5" s="2">
        <f>LET(id,$A85,code,UPPER(TRIM($D85)),rawStart,$F85,rawEnd,$G85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5" s="2">
        <f>LET(id,$A85,code,UPPER(TRIM($D85)),rawStart,$F85,rawEnd,$G85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5" s="2">
        <f>LET(id,$A85,code,UPPER(TRIM($D85)),rawStart,$F85,rawEnd,$G85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5" s="2">
        <f>LET(id,$A85,code,UPPER(TRIM($D85)),rawStart,$F85,rawEnd,$G85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5" s="2">
        <f>LET(id,$A85,code,UPPER(TRIM($D85)),rawStart,$F85,rawEnd,$G85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5" s="2">
        <f>LET(id,$A85,code,UPPER(TRIM($D85)),rawStart,$F85,rawEnd,$G85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5" s="2">
        <f>LET(id,$A85,code,UPPER(TRIM($D85)),rawStart,$F85,rawEnd,$G85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5" s="2">
        <f>LET(id,$A85,code,UPPER(TRIM($D85)),rawStart,$F85,rawEnd,$G85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85" s="2">
        <f>Calc_Engine!BD85</f>
        <v/>
      </c>
    </row>
    <row r="86">
      <c r="A86" s="2">
        <f>Calc_Engine!A86</f>
        <v/>
      </c>
      <c r="B86" s="2">
        <f>Calc_Engine!B86</f>
        <v/>
      </c>
      <c r="C86" s="2">
        <f>Calc_Engine!C86</f>
        <v/>
      </c>
      <c r="D86" s="2">
        <f>Calc_Engine!D86</f>
        <v/>
      </c>
      <c r="E86" s="4">
        <f>Calc_Engine!E86</f>
        <v/>
      </c>
      <c r="F86" s="5">
        <f>Calc_Engine!F86</f>
        <v/>
      </c>
      <c r="G86" s="5">
        <f>Calc_Engine!G86</f>
        <v/>
      </c>
      <c r="H86" s="2">
        <f>LET(id,$A86,code,UPPER(TRIM($D86)),rawStart,$F86,rawEnd,$G86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6" s="2">
        <f>LET(id,$A86,code,UPPER(TRIM($D86)),rawStart,$F86,rawEnd,$G86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6" s="2">
        <f>LET(id,$A86,code,UPPER(TRIM($D86)),rawStart,$F86,rawEnd,$G86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6" s="2">
        <f>LET(id,$A86,code,UPPER(TRIM($D86)),rawStart,$F86,rawEnd,$G86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6" s="2">
        <f>LET(id,$A86,code,UPPER(TRIM($D86)),rawStart,$F86,rawEnd,$G86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6" s="2">
        <f>LET(id,$A86,code,UPPER(TRIM($D86)),rawStart,$F86,rawEnd,$G86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6" s="2">
        <f>LET(id,$A86,code,UPPER(TRIM($D86)),rawStart,$F86,rawEnd,$G86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6" s="2">
        <f>LET(id,$A86,code,UPPER(TRIM($D86)),rawStart,$F86,rawEnd,$G86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6" s="2">
        <f>LET(id,$A86,code,UPPER(TRIM($D86)),rawStart,$F86,rawEnd,$G86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6" s="2">
        <f>LET(id,$A86,code,UPPER(TRIM($D86)),rawStart,$F86,rawEnd,$G86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6" s="2">
        <f>LET(id,$A86,code,UPPER(TRIM($D86)),rawStart,$F86,rawEnd,$G86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6" s="2">
        <f>LET(id,$A86,code,UPPER(TRIM($D86)),rawStart,$F86,rawEnd,$G86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6" s="2">
        <f>LET(id,$A86,code,UPPER(TRIM($D86)),rawStart,$F86,rawEnd,$G86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6" s="2">
        <f>LET(id,$A86,code,UPPER(TRIM($D86)),rawStart,$F86,rawEnd,$G86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6" s="2">
        <f>LET(id,$A86,code,UPPER(TRIM($D86)),rawStart,$F86,rawEnd,$G86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6" s="2">
        <f>LET(id,$A86,code,UPPER(TRIM($D86)),rawStart,$F86,rawEnd,$G86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6" s="2">
        <f>LET(id,$A86,code,UPPER(TRIM($D86)),rawStart,$F86,rawEnd,$G86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6" s="2">
        <f>LET(id,$A86,code,UPPER(TRIM($D86)),rawStart,$F86,rawEnd,$G86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6" s="2">
        <f>LET(id,$A86,code,UPPER(TRIM($D86)),rawStart,$F86,rawEnd,$G86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6" s="2">
        <f>LET(id,$A86,code,UPPER(TRIM($D86)),rawStart,$F86,rawEnd,$G86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6" s="2">
        <f>LET(id,$A86,code,UPPER(TRIM($D86)),rawStart,$F86,rawEnd,$G86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6" s="2">
        <f>LET(id,$A86,code,UPPER(TRIM($D86)),rawStart,$F86,rawEnd,$G86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6" s="2">
        <f>LET(id,$A86,code,UPPER(TRIM($D86)),rawStart,$F86,rawEnd,$G86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6" s="2">
        <f>LET(id,$A86,code,UPPER(TRIM($D86)),rawStart,$F86,rawEnd,$G86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6" s="2">
        <f>LET(id,$A86,code,UPPER(TRIM($D86)),rawStart,$F86,rawEnd,$G86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6" s="2">
        <f>LET(id,$A86,code,UPPER(TRIM($D86)),rawStart,$F86,rawEnd,$G86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6" s="2">
        <f>LET(id,$A86,code,UPPER(TRIM($D86)),rawStart,$F86,rawEnd,$G86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6" s="2">
        <f>LET(id,$A86,code,UPPER(TRIM($D86)),rawStart,$F86,rawEnd,$G86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6" s="2">
        <f>LET(id,$A86,code,UPPER(TRIM($D86)),rawStart,$F86,rawEnd,$G86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6" s="2">
        <f>LET(id,$A86,code,UPPER(TRIM($D86)),rawStart,$F86,rawEnd,$G86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6" s="2">
        <f>LET(id,$A86,code,UPPER(TRIM($D86)),rawStart,$F86,rawEnd,$G86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6" s="2">
        <f>LET(id,$A86,code,UPPER(TRIM($D86)),rawStart,$F86,rawEnd,$G86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6" s="2">
        <f>LET(id,$A86,code,UPPER(TRIM($D86)),rawStart,$F86,rawEnd,$G86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6" s="2">
        <f>LET(id,$A86,code,UPPER(TRIM($D86)),rawStart,$F86,rawEnd,$G86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6" s="2">
        <f>LET(id,$A86,code,UPPER(TRIM($D86)),rawStart,$F86,rawEnd,$G86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6" s="2">
        <f>LET(id,$A86,code,UPPER(TRIM($D86)),rawStart,$F86,rawEnd,$G86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6" s="2">
        <f>LET(id,$A86,code,UPPER(TRIM($D86)),rawStart,$F86,rawEnd,$G86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6" s="2">
        <f>LET(id,$A86,code,UPPER(TRIM($D86)),rawStart,$F86,rawEnd,$G86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6" s="2">
        <f>LET(id,$A86,code,UPPER(TRIM($D86)),rawStart,$F86,rawEnd,$G86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6" s="2">
        <f>LET(id,$A86,code,UPPER(TRIM($D86)),rawStart,$F86,rawEnd,$G86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6" s="2">
        <f>LET(id,$A86,code,UPPER(TRIM($D86)),rawStart,$F86,rawEnd,$G86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6" s="2">
        <f>LET(id,$A86,code,UPPER(TRIM($D86)),rawStart,$F86,rawEnd,$G86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6" s="2">
        <f>LET(id,$A86,code,UPPER(TRIM($D86)),rawStart,$F86,rawEnd,$G86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6" s="2">
        <f>LET(id,$A86,code,UPPER(TRIM($D86)),rawStart,$F86,rawEnd,$G86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6" s="2">
        <f>LET(id,$A86,code,UPPER(TRIM($D86)),rawStart,$F86,rawEnd,$G86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6" s="2">
        <f>LET(id,$A86,code,UPPER(TRIM($D86)),rawStart,$F86,rawEnd,$G86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6" s="2">
        <f>LET(id,$A86,code,UPPER(TRIM($D86)),rawStart,$F86,rawEnd,$G86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6" s="2">
        <f>LET(id,$A86,code,UPPER(TRIM($D86)),rawStart,$F86,rawEnd,$G86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86" s="2">
        <f>Calc_Engine!BD86</f>
        <v/>
      </c>
    </row>
    <row r="87">
      <c r="A87" s="2">
        <f>Calc_Engine!A87</f>
        <v/>
      </c>
      <c r="B87" s="2">
        <f>Calc_Engine!B87</f>
        <v/>
      </c>
      <c r="C87" s="2">
        <f>Calc_Engine!C87</f>
        <v/>
      </c>
      <c r="D87" s="2">
        <f>Calc_Engine!D87</f>
        <v/>
      </c>
      <c r="E87" s="4">
        <f>Calc_Engine!E87</f>
        <v/>
      </c>
      <c r="F87" s="5">
        <f>Calc_Engine!F87</f>
        <v/>
      </c>
      <c r="G87" s="5">
        <f>Calc_Engine!G87</f>
        <v/>
      </c>
      <c r="H87" s="2">
        <f>LET(id,$A87,code,UPPER(TRIM($D87)),rawStart,$F87,rawEnd,$G87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7" s="2">
        <f>LET(id,$A87,code,UPPER(TRIM($D87)),rawStart,$F87,rawEnd,$G87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7" s="2">
        <f>LET(id,$A87,code,UPPER(TRIM($D87)),rawStart,$F87,rawEnd,$G87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7" s="2">
        <f>LET(id,$A87,code,UPPER(TRIM($D87)),rawStart,$F87,rawEnd,$G87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7" s="2">
        <f>LET(id,$A87,code,UPPER(TRIM($D87)),rawStart,$F87,rawEnd,$G87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7" s="2">
        <f>LET(id,$A87,code,UPPER(TRIM($D87)),rawStart,$F87,rawEnd,$G87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7" s="2">
        <f>LET(id,$A87,code,UPPER(TRIM($D87)),rawStart,$F87,rawEnd,$G87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7" s="2">
        <f>LET(id,$A87,code,UPPER(TRIM($D87)),rawStart,$F87,rawEnd,$G87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7" s="2">
        <f>LET(id,$A87,code,UPPER(TRIM($D87)),rawStart,$F87,rawEnd,$G87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7" s="2">
        <f>LET(id,$A87,code,UPPER(TRIM($D87)),rawStart,$F87,rawEnd,$G87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7" s="2">
        <f>LET(id,$A87,code,UPPER(TRIM($D87)),rawStart,$F87,rawEnd,$G87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7" s="2">
        <f>LET(id,$A87,code,UPPER(TRIM($D87)),rawStart,$F87,rawEnd,$G87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7" s="2">
        <f>LET(id,$A87,code,UPPER(TRIM($D87)),rawStart,$F87,rawEnd,$G87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7" s="2">
        <f>LET(id,$A87,code,UPPER(TRIM($D87)),rawStart,$F87,rawEnd,$G87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7" s="2">
        <f>LET(id,$A87,code,UPPER(TRIM($D87)),rawStart,$F87,rawEnd,$G87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7" s="2">
        <f>LET(id,$A87,code,UPPER(TRIM($D87)),rawStart,$F87,rawEnd,$G87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7" s="2">
        <f>LET(id,$A87,code,UPPER(TRIM($D87)),rawStart,$F87,rawEnd,$G87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7" s="2">
        <f>LET(id,$A87,code,UPPER(TRIM($D87)),rawStart,$F87,rawEnd,$G87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7" s="2">
        <f>LET(id,$A87,code,UPPER(TRIM($D87)),rawStart,$F87,rawEnd,$G87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7" s="2">
        <f>LET(id,$A87,code,UPPER(TRIM($D87)),rawStart,$F87,rawEnd,$G87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7" s="2">
        <f>LET(id,$A87,code,UPPER(TRIM($D87)),rawStart,$F87,rawEnd,$G87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7" s="2">
        <f>LET(id,$A87,code,UPPER(TRIM($D87)),rawStart,$F87,rawEnd,$G87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7" s="2">
        <f>LET(id,$A87,code,UPPER(TRIM($D87)),rawStart,$F87,rawEnd,$G87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7" s="2">
        <f>LET(id,$A87,code,UPPER(TRIM($D87)),rawStart,$F87,rawEnd,$G87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7" s="2">
        <f>LET(id,$A87,code,UPPER(TRIM($D87)),rawStart,$F87,rawEnd,$G87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7" s="2">
        <f>LET(id,$A87,code,UPPER(TRIM($D87)),rawStart,$F87,rawEnd,$G87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7" s="2">
        <f>LET(id,$A87,code,UPPER(TRIM($D87)),rawStart,$F87,rawEnd,$G87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7" s="2">
        <f>LET(id,$A87,code,UPPER(TRIM($D87)),rawStart,$F87,rawEnd,$G87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7" s="2">
        <f>LET(id,$A87,code,UPPER(TRIM($D87)),rawStart,$F87,rawEnd,$G87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7" s="2">
        <f>LET(id,$A87,code,UPPER(TRIM($D87)),rawStart,$F87,rawEnd,$G87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7" s="2">
        <f>LET(id,$A87,code,UPPER(TRIM($D87)),rawStart,$F87,rawEnd,$G87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7" s="2">
        <f>LET(id,$A87,code,UPPER(TRIM($D87)),rawStart,$F87,rawEnd,$G87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7" s="2">
        <f>LET(id,$A87,code,UPPER(TRIM($D87)),rawStart,$F87,rawEnd,$G87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7" s="2">
        <f>LET(id,$A87,code,UPPER(TRIM($D87)),rawStart,$F87,rawEnd,$G87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7" s="2">
        <f>LET(id,$A87,code,UPPER(TRIM($D87)),rawStart,$F87,rawEnd,$G87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7" s="2">
        <f>LET(id,$A87,code,UPPER(TRIM($D87)),rawStart,$F87,rawEnd,$G87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7" s="2">
        <f>LET(id,$A87,code,UPPER(TRIM($D87)),rawStart,$F87,rawEnd,$G87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7" s="2">
        <f>LET(id,$A87,code,UPPER(TRIM($D87)),rawStart,$F87,rawEnd,$G87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7" s="2">
        <f>LET(id,$A87,code,UPPER(TRIM($D87)),rawStart,$F87,rawEnd,$G87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7" s="2">
        <f>LET(id,$A87,code,UPPER(TRIM($D87)),rawStart,$F87,rawEnd,$G87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7" s="2">
        <f>LET(id,$A87,code,UPPER(TRIM($D87)),rawStart,$F87,rawEnd,$G87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7" s="2">
        <f>LET(id,$A87,code,UPPER(TRIM($D87)),rawStart,$F87,rawEnd,$G87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7" s="2">
        <f>LET(id,$A87,code,UPPER(TRIM($D87)),rawStart,$F87,rawEnd,$G87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7" s="2">
        <f>LET(id,$A87,code,UPPER(TRIM($D87)),rawStart,$F87,rawEnd,$G87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7" s="2">
        <f>LET(id,$A87,code,UPPER(TRIM($D87)),rawStart,$F87,rawEnd,$G87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7" s="2">
        <f>LET(id,$A87,code,UPPER(TRIM($D87)),rawStart,$F87,rawEnd,$G87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7" s="2">
        <f>LET(id,$A87,code,UPPER(TRIM($D87)),rawStart,$F87,rawEnd,$G87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7" s="2">
        <f>LET(id,$A87,code,UPPER(TRIM($D87)),rawStart,$F87,rawEnd,$G87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87" s="2">
        <f>Calc_Engine!BD87</f>
        <v/>
      </c>
    </row>
    <row r="88">
      <c r="A88" s="2">
        <f>Calc_Engine!A88</f>
        <v/>
      </c>
      <c r="B88" s="2">
        <f>Calc_Engine!B88</f>
        <v/>
      </c>
      <c r="C88" s="2">
        <f>Calc_Engine!C88</f>
        <v/>
      </c>
      <c r="D88" s="2">
        <f>Calc_Engine!D88</f>
        <v/>
      </c>
      <c r="E88" s="4">
        <f>Calc_Engine!E88</f>
        <v/>
      </c>
      <c r="F88" s="5">
        <f>Calc_Engine!F88</f>
        <v/>
      </c>
      <c r="G88" s="5">
        <f>Calc_Engine!G88</f>
        <v/>
      </c>
      <c r="H88" s="2">
        <f>LET(id,$A88,code,UPPER(TRIM($D88)),rawStart,$F88,rawEnd,$G88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8" s="2">
        <f>LET(id,$A88,code,UPPER(TRIM($D88)),rawStart,$F88,rawEnd,$G88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8" s="2">
        <f>LET(id,$A88,code,UPPER(TRIM($D88)),rawStart,$F88,rawEnd,$G88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8" s="2">
        <f>LET(id,$A88,code,UPPER(TRIM($D88)),rawStart,$F88,rawEnd,$G88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8" s="2">
        <f>LET(id,$A88,code,UPPER(TRIM($D88)),rawStart,$F88,rawEnd,$G88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8" s="2">
        <f>LET(id,$A88,code,UPPER(TRIM($D88)),rawStart,$F88,rawEnd,$G88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8" s="2">
        <f>LET(id,$A88,code,UPPER(TRIM($D88)),rawStart,$F88,rawEnd,$G88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8" s="2">
        <f>LET(id,$A88,code,UPPER(TRIM($D88)),rawStart,$F88,rawEnd,$G88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8" s="2">
        <f>LET(id,$A88,code,UPPER(TRIM($D88)),rawStart,$F88,rawEnd,$G88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8" s="2">
        <f>LET(id,$A88,code,UPPER(TRIM($D88)),rawStart,$F88,rawEnd,$G88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8" s="2">
        <f>LET(id,$A88,code,UPPER(TRIM($D88)),rawStart,$F88,rawEnd,$G88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8" s="2">
        <f>LET(id,$A88,code,UPPER(TRIM($D88)),rawStart,$F88,rawEnd,$G88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8" s="2">
        <f>LET(id,$A88,code,UPPER(TRIM($D88)),rawStart,$F88,rawEnd,$G88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8" s="2">
        <f>LET(id,$A88,code,UPPER(TRIM($D88)),rawStart,$F88,rawEnd,$G88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8" s="2">
        <f>LET(id,$A88,code,UPPER(TRIM($D88)),rawStart,$F88,rawEnd,$G88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8" s="2">
        <f>LET(id,$A88,code,UPPER(TRIM($D88)),rawStart,$F88,rawEnd,$G88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8" s="2">
        <f>LET(id,$A88,code,UPPER(TRIM($D88)),rawStart,$F88,rawEnd,$G88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8" s="2">
        <f>LET(id,$A88,code,UPPER(TRIM($D88)),rawStart,$F88,rawEnd,$G88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8" s="2">
        <f>LET(id,$A88,code,UPPER(TRIM($D88)),rawStart,$F88,rawEnd,$G88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8" s="2">
        <f>LET(id,$A88,code,UPPER(TRIM($D88)),rawStart,$F88,rawEnd,$G88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8" s="2">
        <f>LET(id,$A88,code,UPPER(TRIM($D88)),rawStart,$F88,rawEnd,$G88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8" s="2">
        <f>LET(id,$A88,code,UPPER(TRIM($D88)),rawStart,$F88,rawEnd,$G88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8" s="2">
        <f>LET(id,$A88,code,UPPER(TRIM($D88)),rawStart,$F88,rawEnd,$G88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8" s="2">
        <f>LET(id,$A88,code,UPPER(TRIM($D88)),rawStart,$F88,rawEnd,$G88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8" s="2">
        <f>LET(id,$A88,code,UPPER(TRIM($D88)),rawStart,$F88,rawEnd,$G88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8" s="2">
        <f>LET(id,$A88,code,UPPER(TRIM($D88)),rawStart,$F88,rawEnd,$G88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8" s="2">
        <f>LET(id,$A88,code,UPPER(TRIM($D88)),rawStart,$F88,rawEnd,$G88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8" s="2">
        <f>LET(id,$A88,code,UPPER(TRIM($D88)),rawStart,$F88,rawEnd,$G88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8" s="2">
        <f>LET(id,$A88,code,UPPER(TRIM($D88)),rawStart,$F88,rawEnd,$G88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8" s="2">
        <f>LET(id,$A88,code,UPPER(TRIM($D88)),rawStart,$F88,rawEnd,$G88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8" s="2">
        <f>LET(id,$A88,code,UPPER(TRIM($D88)),rawStart,$F88,rawEnd,$G88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8" s="2">
        <f>LET(id,$A88,code,UPPER(TRIM($D88)),rawStart,$F88,rawEnd,$G88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8" s="2">
        <f>LET(id,$A88,code,UPPER(TRIM($D88)),rawStart,$F88,rawEnd,$G88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8" s="2">
        <f>LET(id,$A88,code,UPPER(TRIM($D88)),rawStart,$F88,rawEnd,$G88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8" s="2">
        <f>LET(id,$A88,code,UPPER(TRIM($D88)),rawStart,$F88,rawEnd,$G88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8" s="2">
        <f>LET(id,$A88,code,UPPER(TRIM($D88)),rawStart,$F88,rawEnd,$G88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8" s="2">
        <f>LET(id,$A88,code,UPPER(TRIM($D88)),rawStart,$F88,rawEnd,$G88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8" s="2">
        <f>LET(id,$A88,code,UPPER(TRIM($D88)),rawStart,$F88,rawEnd,$G88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8" s="2">
        <f>LET(id,$A88,code,UPPER(TRIM($D88)),rawStart,$F88,rawEnd,$G88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8" s="2">
        <f>LET(id,$A88,code,UPPER(TRIM($D88)),rawStart,$F88,rawEnd,$G88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8" s="2">
        <f>LET(id,$A88,code,UPPER(TRIM($D88)),rawStart,$F88,rawEnd,$G88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8" s="2">
        <f>LET(id,$A88,code,UPPER(TRIM($D88)),rawStart,$F88,rawEnd,$G88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8" s="2">
        <f>LET(id,$A88,code,UPPER(TRIM($D88)),rawStart,$F88,rawEnd,$G88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8" s="2">
        <f>LET(id,$A88,code,UPPER(TRIM($D88)),rawStart,$F88,rawEnd,$G88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8" s="2">
        <f>LET(id,$A88,code,UPPER(TRIM($D88)),rawStart,$F88,rawEnd,$G88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8" s="2">
        <f>LET(id,$A88,code,UPPER(TRIM($D88)),rawStart,$F88,rawEnd,$G88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8" s="2">
        <f>LET(id,$A88,code,UPPER(TRIM($D88)),rawStart,$F88,rawEnd,$G88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8" s="2">
        <f>LET(id,$A88,code,UPPER(TRIM($D88)),rawStart,$F88,rawEnd,$G88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88" s="2">
        <f>Calc_Engine!BD88</f>
        <v/>
      </c>
    </row>
    <row r="89">
      <c r="A89" s="2">
        <f>Calc_Engine!A89</f>
        <v/>
      </c>
      <c r="B89" s="2">
        <f>Calc_Engine!B89</f>
        <v/>
      </c>
      <c r="C89" s="2">
        <f>Calc_Engine!C89</f>
        <v/>
      </c>
      <c r="D89" s="2">
        <f>Calc_Engine!D89</f>
        <v/>
      </c>
      <c r="E89" s="4">
        <f>Calc_Engine!E89</f>
        <v/>
      </c>
      <c r="F89" s="5">
        <f>Calc_Engine!F89</f>
        <v/>
      </c>
      <c r="G89" s="5">
        <f>Calc_Engine!G89</f>
        <v/>
      </c>
      <c r="H89" s="2">
        <f>LET(id,$A89,code,UPPER(TRIM($D89)),rawStart,$F89,rawEnd,$G89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9" s="2">
        <f>LET(id,$A89,code,UPPER(TRIM($D89)),rawStart,$F89,rawEnd,$G89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9" s="2">
        <f>LET(id,$A89,code,UPPER(TRIM($D89)),rawStart,$F89,rawEnd,$G89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9" s="2">
        <f>LET(id,$A89,code,UPPER(TRIM($D89)),rawStart,$F89,rawEnd,$G89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9" s="2">
        <f>LET(id,$A89,code,UPPER(TRIM($D89)),rawStart,$F89,rawEnd,$G89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9" s="2">
        <f>LET(id,$A89,code,UPPER(TRIM($D89)),rawStart,$F89,rawEnd,$G89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9" s="2">
        <f>LET(id,$A89,code,UPPER(TRIM($D89)),rawStart,$F89,rawEnd,$G89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9" s="2">
        <f>LET(id,$A89,code,UPPER(TRIM($D89)),rawStart,$F89,rawEnd,$G89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9" s="2">
        <f>LET(id,$A89,code,UPPER(TRIM($D89)),rawStart,$F89,rawEnd,$G89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9" s="2">
        <f>LET(id,$A89,code,UPPER(TRIM($D89)),rawStart,$F89,rawEnd,$G89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9" s="2">
        <f>LET(id,$A89,code,UPPER(TRIM($D89)),rawStart,$F89,rawEnd,$G89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9" s="2">
        <f>LET(id,$A89,code,UPPER(TRIM($D89)),rawStart,$F89,rawEnd,$G89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9" s="2">
        <f>LET(id,$A89,code,UPPER(TRIM($D89)),rawStart,$F89,rawEnd,$G89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9" s="2">
        <f>LET(id,$A89,code,UPPER(TRIM($D89)),rawStart,$F89,rawEnd,$G89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9" s="2">
        <f>LET(id,$A89,code,UPPER(TRIM($D89)),rawStart,$F89,rawEnd,$G89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9" s="2">
        <f>LET(id,$A89,code,UPPER(TRIM($D89)),rawStart,$F89,rawEnd,$G89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9" s="2">
        <f>LET(id,$A89,code,UPPER(TRIM($D89)),rawStart,$F89,rawEnd,$G89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9" s="2">
        <f>LET(id,$A89,code,UPPER(TRIM($D89)),rawStart,$F89,rawEnd,$G89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9" s="2">
        <f>LET(id,$A89,code,UPPER(TRIM($D89)),rawStart,$F89,rawEnd,$G89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9" s="2">
        <f>LET(id,$A89,code,UPPER(TRIM($D89)),rawStart,$F89,rawEnd,$G89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9" s="2">
        <f>LET(id,$A89,code,UPPER(TRIM($D89)),rawStart,$F89,rawEnd,$G89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9" s="2">
        <f>LET(id,$A89,code,UPPER(TRIM($D89)),rawStart,$F89,rawEnd,$G89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9" s="2">
        <f>LET(id,$A89,code,UPPER(TRIM($D89)),rawStart,$F89,rawEnd,$G89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9" s="2">
        <f>LET(id,$A89,code,UPPER(TRIM($D89)),rawStart,$F89,rawEnd,$G89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9" s="2">
        <f>LET(id,$A89,code,UPPER(TRIM($D89)),rawStart,$F89,rawEnd,$G89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9" s="2">
        <f>LET(id,$A89,code,UPPER(TRIM($D89)),rawStart,$F89,rawEnd,$G89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9" s="2">
        <f>LET(id,$A89,code,UPPER(TRIM($D89)),rawStart,$F89,rawEnd,$G89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9" s="2">
        <f>LET(id,$A89,code,UPPER(TRIM($D89)),rawStart,$F89,rawEnd,$G89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9" s="2">
        <f>LET(id,$A89,code,UPPER(TRIM($D89)),rawStart,$F89,rawEnd,$G89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9" s="2">
        <f>LET(id,$A89,code,UPPER(TRIM($D89)),rawStart,$F89,rawEnd,$G89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9" s="2">
        <f>LET(id,$A89,code,UPPER(TRIM($D89)),rawStart,$F89,rawEnd,$G89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9" s="2">
        <f>LET(id,$A89,code,UPPER(TRIM($D89)),rawStart,$F89,rawEnd,$G89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9" s="2">
        <f>LET(id,$A89,code,UPPER(TRIM($D89)),rawStart,$F89,rawEnd,$G89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9" s="2">
        <f>LET(id,$A89,code,UPPER(TRIM($D89)),rawStart,$F89,rawEnd,$G89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9" s="2">
        <f>LET(id,$A89,code,UPPER(TRIM($D89)),rawStart,$F89,rawEnd,$G89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9" s="2">
        <f>LET(id,$A89,code,UPPER(TRIM($D89)),rawStart,$F89,rawEnd,$G89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9" s="2">
        <f>LET(id,$A89,code,UPPER(TRIM($D89)),rawStart,$F89,rawEnd,$G89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9" s="2">
        <f>LET(id,$A89,code,UPPER(TRIM($D89)),rawStart,$F89,rawEnd,$G89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9" s="2">
        <f>LET(id,$A89,code,UPPER(TRIM($D89)),rawStart,$F89,rawEnd,$G89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9" s="2">
        <f>LET(id,$A89,code,UPPER(TRIM($D89)),rawStart,$F89,rawEnd,$G89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9" s="2">
        <f>LET(id,$A89,code,UPPER(TRIM($D89)),rawStart,$F89,rawEnd,$G89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9" s="2">
        <f>LET(id,$A89,code,UPPER(TRIM($D89)),rawStart,$F89,rawEnd,$G89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9" s="2">
        <f>LET(id,$A89,code,UPPER(TRIM($D89)),rawStart,$F89,rawEnd,$G89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9" s="2">
        <f>LET(id,$A89,code,UPPER(TRIM($D89)),rawStart,$F89,rawEnd,$G89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9" s="2">
        <f>LET(id,$A89,code,UPPER(TRIM($D89)),rawStart,$F89,rawEnd,$G89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9" s="2">
        <f>LET(id,$A89,code,UPPER(TRIM($D89)),rawStart,$F89,rawEnd,$G89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9" s="2">
        <f>LET(id,$A89,code,UPPER(TRIM($D89)),rawStart,$F89,rawEnd,$G89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9" s="2">
        <f>LET(id,$A89,code,UPPER(TRIM($D89)),rawStart,$F89,rawEnd,$G89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89" s="2">
        <f>Calc_Engine!BD89</f>
        <v/>
      </c>
    </row>
    <row r="90">
      <c r="A90" s="2">
        <f>Calc_Engine!A90</f>
        <v/>
      </c>
      <c r="B90" s="2">
        <f>Calc_Engine!B90</f>
        <v/>
      </c>
      <c r="C90" s="2">
        <f>Calc_Engine!C90</f>
        <v/>
      </c>
      <c r="D90" s="2">
        <f>Calc_Engine!D90</f>
        <v/>
      </c>
      <c r="E90" s="4">
        <f>Calc_Engine!E90</f>
        <v/>
      </c>
      <c r="F90" s="5">
        <f>Calc_Engine!F90</f>
        <v/>
      </c>
      <c r="G90" s="5">
        <f>Calc_Engine!G90</f>
        <v/>
      </c>
      <c r="H90" s="2">
        <f>LET(id,$A90,code,UPPER(TRIM($D90)),rawStart,$F90,rawEnd,$G90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0" s="2">
        <f>LET(id,$A90,code,UPPER(TRIM($D90)),rawStart,$F90,rawEnd,$G90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0" s="2">
        <f>LET(id,$A90,code,UPPER(TRIM($D90)),rawStart,$F90,rawEnd,$G90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0" s="2">
        <f>LET(id,$A90,code,UPPER(TRIM($D90)),rawStart,$F90,rawEnd,$G90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0" s="2">
        <f>LET(id,$A90,code,UPPER(TRIM($D90)),rawStart,$F90,rawEnd,$G90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0" s="2">
        <f>LET(id,$A90,code,UPPER(TRIM($D90)),rawStart,$F90,rawEnd,$G90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0" s="2">
        <f>LET(id,$A90,code,UPPER(TRIM($D90)),rawStart,$F90,rawEnd,$G90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0" s="2">
        <f>LET(id,$A90,code,UPPER(TRIM($D90)),rawStart,$F90,rawEnd,$G90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0" s="2">
        <f>LET(id,$A90,code,UPPER(TRIM($D90)),rawStart,$F90,rawEnd,$G90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0" s="2">
        <f>LET(id,$A90,code,UPPER(TRIM($D90)),rawStart,$F90,rawEnd,$G90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0" s="2">
        <f>LET(id,$A90,code,UPPER(TRIM($D90)),rawStart,$F90,rawEnd,$G90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0" s="2">
        <f>LET(id,$A90,code,UPPER(TRIM($D90)),rawStart,$F90,rawEnd,$G90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0" s="2">
        <f>LET(id,$A90,code,UPPER(TRIM($D90)),rawStart,$F90,rawEnd,$G90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0" s="2">
        <f>LET(id,$A90,code,UPPER(TRIM($D90)),rawStart,$F90,rawEnd,$G90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0" s="2">
        <f>LET(id,$A90,code,UPPER(TRIM($D90)),rawStart,$F90,rawEnd,$G90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0" s="2">
        <f>LET(id,$A90,code,UPPER(TRIM($D90)),rawStart,$F90,rawEnd,$G90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0" s="2">
        <f>LET(id,$A90,code,UPPER(TRIM($D90)),rawStart,$F90,rawEnd,$G90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0" s="2">
        <f>LET(id,$A90,code,UPPER(TRIM($D90)),rawStart,$F90,rawEnd,$G90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0" s="2">
        <f>LET(id,$A90,code,UPPER(TRIM($D90)),rawStart,$F90,rawEnd,$G90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0" s="2">
        <f>LET(id,$A90,code,UPPER(TRIM($D90)),rawStart,$F90,rawEnd,$G90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0" s="2">
        <f>LET(id,$A90,code,UPPER(TRIM($D90)),rawStart,$F90,rawEnd,$G90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0" s="2">
        <f>LET(id,$A90,code,UPPER(TRIM($D90)),rawStart,$F90,rawEnd,$G90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0" s="2">
        <f>LET(id,$A90,code,UPPER(TRIM($D90)),rawStart,$F90,rawEnd,$G90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0" s="2">
        <f>LET(id,$A90,code,UPPER(TRIM($D90)),rawStart,$F90,rawEnd,$G90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0" s="2">
        <f>LET(id,$A90,code,UPPER(TRIM($D90)),rawStart,$F90,rawEnd,$G90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0" s="2">
        <f>LET(id,$A90,code,UPPER(TRIM($D90)),rawStart,$F90,rawEnd,$G90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0" s="2">
        <f>LET(id,$A90,code,UPPER(TRIM($D90)),rawStart,$F90,rawEnd,$G90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0" s="2">
        <f>LET(id,$A90,code,UPPER(TRIM($D90)),rawStart,$F90,rawEnd,$G90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0" s="2">
        <f>LET(id,$A90,code,UPPER(TRIM($D90)),rawStart,$F90,rawEnd,$G90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0" s="2">
        <f>LET(id,$A90,code,UPPER(TRIM($D90)),rawStart,$F90,rawEnd,$G90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0" s="2">
        <f>LET(id,$A90,code,UPPER(TRIM($D90)),rawStart,$F90,rawEnd,$G90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0" s="2">
        <f>LET(id,$A90,code,UPPER(TRIM($D90)),rawStart,$F90,rawEnd,$G90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0" s="2">
        <f>LET(id,$A90,code,UPPER(TRIM($D90)),rawStart,$F90,rawEnd,$G90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0" s="2">
        <f>LET(id,$A90,code,UPPER(TRIM($D90)),rawStart,$F90,rawEnd,$G90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0" s="2">
        <f>LET(id,$A90,code,UPPER(TRIM($D90)),rawStart,$F90,rawEnd,$G90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0" s="2">
        <f>LET(id,$A90,code,UPPER(TRIM($D90)),rawStart,$F90,rawEnd,$G90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0" s="2">
        <f>LET(id,$A90,code,UPPER(TRIM($D90)),rawStart,$F90,rawEnd,$G90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0" s="2">
        <f>LET(id,$A90,code,UPPER(TRIM($D90)),rawStart,$F90,rawEnd,$G90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0" s="2">
        <f>LET(id,$A90,code,UPPER(TRIM($D90)),rawStart,$F90,rawEnd,$G90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0" s="2">
        <f>LET(id,$A90,code,UPPER(TRIM($D90)),rawStart,$F90,rawEnd,$G90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0" s="2">
        <f>LET(id,$A90,code,UPPER(TRIM($D90)),rawStart,$F90,rawEnd,$G90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0" s="2">
        <f>LET(id,$A90,code,UPPER(TRIM($D90)),rawStart,$F90,rawEnd,$G90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0" s="2">
        <f>LET(id,$A90,code,UPPER(TRIM($D90)),rawStart,$F90,rawEnd,$G90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0" s="2">
        <f>LET(id,$A90,code,UPPER(TRIM($D90)),rawStart,$F90,rawEnd,$G90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0" s="2">
        <f>LET(id,$A90,code,UPPER(TRIM($D90)),rawStart,$F90,rawEnd,$G90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0" s="2">
        <f>LET(id,$A90,code,UPPER(TRIM($D90)),rawStart,$F90,rawEnd,$G90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0" s="2">
        <f>LET(id,$A90,code,UPPER(TRIM($D90)),rawStart,$F90,rawEnd,$G90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0" s="2">
        <f>LET(id,$A90,code,UPPER(TRIM($D90)),rawStart,$F90,rawEnd,$G90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90" s="2">
        <f>Calc_Engine!BD90</f>
        <v/>
      </c>
    </row>
    <row r="91">
      <c r="A91" s="2">
        <f>Calc_Engine!A91</f>
        <v/>
      </c>
      <c r="B91" s="2">
        <f>Calc_Engine!B91</f>
        <v/>
      </c>
      <c r="C91" s="2">
        <f>Calc_Engine!C91</f>
        <v/>
      </c>
      <c r="D91" s="2">
        <f>Calc_Engine!D91</f>
        <v/>
      </c>
      <c r="E91" s="4">
        <f>Calc_Engine!E91</f>
        <v/>
      </c>
      <c r="F91" s="5">
        <f>Calc_Engine!F91</f>
        <v/>
      </c>
      <c r="G91" s="5">
        <f>Calc_Engine!G91</f>
        <v/>
      </c>
      <c r="H91" s="2">
        <f>LET(id,$A91,code,UPPER(TRIM($D91)),rawStart,$F91,rawEnd,$G91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1" s="2">
        <f>LET(id,$A91,code,UPPER(TRIM($D91)),rawStart,$F91,rawEnd,$G91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1" s="2">
        <f>LET(id,$A91,code,UPPER(TRIM($D91)),rawStart,$F91,rawEnd,$G91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1" s="2">
        <f>LET(id,$A91,code,UPPER(TRIM($D91)),rawStart,$F91,rawEnd,$G91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1" s="2">
        <f>LET(id,$A91,code,UPPER(TRIM($D91)),rawStart,$F91,rawEnd,$G91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1" s="2">
        <f>LET(id,$A91,code,UPPER(TRIM($D91)),rawStart,$F91,rawEnd,$G91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1" s="2">
        <f>LET(id,$A91,code,UPPER(TRIM($D91)),rawStart,$F91,rawEnd,$G91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1" s="2">
        <f>LET(id,$A91,code,UPPER(TRIM($D91)),rawStart,$F91,rawEnd,$G91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1" s="2">
        <f>LET(id,$A91,code,UPPER(TRIM($D91)),rawStart,$F91,rawEnd,$G91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1" s="2">
        <f>LET(id,$A91,code,UPPER(TRIM($D91)),rawStart,$F91,rawEnd,$G91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1" s="2">
        <f>LET(id,$A91,code,UPPER(TRIM($D91)),rawStart,$F91,rawEnd,$G91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1" s="2">
        <f>LET(id,$A91,code,UPPER(TRIM($D91)),rawStart,$F91,rawEnd,$G91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1" s="2">
        <f>LET(id,$A91,code,UPPER(TRIM($D91)),rawStart,$F91,rawEnd,$G91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1" s="2">
        <f>LET(id,$A91,code,UPPER(TRIM($D91)),rawStart,$F91,rawEnd,$G91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1" s="2">
        <f>LET(id,$A91,code,UPPER(TRIM($D91)),rawStart,$F91,rawEnd,$G91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1" s="2">
        <f>LET(id,$A91,code,UPPER(TRIM($D91)),rawStart,$F91,rawEnd,$G91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1" s="2">
        <f>LET(id,$A91,code,UPPER(TRIM($D91)),rawStart,$F91,rawEnd,$G91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1" s="2">
        <f>LET(id,$A91,code,UPPER(TRIM($D91)),rawStart,$F91,rawEnd,$G91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1" s="2">
        <f>LET(id,$A91,code,UPPER(TRIM($D91)),rawStart,$F91,rawEnd,$G91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1" s="2">
        <f>LET(id,$A91,code,UPPER(TRIM($D91)),rawStart,$F91,rawEnd,$G91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1" s="2">
        <f>LET(id,$A91,code,UPPER(TRIM($D91)),rawStart,$F91,rawEnd,$G91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1" s="2">
        <f>LET(id,$A91,code,UPPER(TRIM($D91)),rawStart,$F91,rawEnd,$G91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1" s="2">
        <f>LET(id,$A91,code,UPPER(TRIM($D91)),rawStart,$F91,rawEnd,$G91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1" s="2">
        <f>LET(id,$A91,code,UPPER(TRIM($D91)),rawStart,$F91,rawEnd,$G91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1" s="2">
        <f>LET(id,$A91,code,UPPER(TRIM($D91)),rawStart,$F91,rawEnd,$G91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1" s="2">
        <f>LET(id,$A91,code,UPPER(TRIM($D91)),rawStart,$F91,rawEnd,$G91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1" s="2">
        <f>LET(id,$A91,code,UPPER(TRIM($D91)),rawStart,$F91,rawEnd,$G91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1" s="2">
        <f>LET(id,$A91,code,UPPER(TRIM($D91)),rawStart,$F91,rawEnd,$G91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1" s="2">
        <f>LET(id,$A91,code,UPPER(TRIM($D91)),rawStart,$F91,rawEnd,$G91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1" s="2">
        <f>LET(id,$A91,code,UPPER(TRIM($D91)),rawStart,$F91,rawEnd,$G91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1" s="2">
        <f>LET(id,$A91,code,UPPER(TRIM($D91)),rawStart,$F91,rawEnd,$G91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1" s="2">
        <f>LET(id,$A91,code,UPPER(TRIM($D91)),rawStart,$F91,rawEnd,$G91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1" s="2">
        <f>LET(id,$A91,code,UPPER(TRIM($D91)),rawStart,$F91,rawEnd,$G91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1" s="2">
        <f>LET(id,$A91,code,UPPER(TRIM($D91)),rawStart,$F91,rawEnd,$G91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1" s="2">
        <f>LET(id,$A91,code,UPPER(TRIM($D91)),rawStart,$F91,rawEnd,$G91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1" s="2">
        <f>LET(id,$A91,code,UPPER(TRIM($D91)),rawStart,$F91,rawEnd,$G91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1" s="2">
        <f>LET(id,$A91,code,UPPER(TRIM($D91)),rawStart,$F91,rawEnd,$G91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1" s="2">
        <f>LET(id,$A91,code,UPPER(TRIM($D91)),rawStart,$F91,rawEnd,$G91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1" s="2">
        <f>LET(id,$A91,code,UPPER(TRIM($D91)),rawStart,$F91,rawEnd,$G91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1" s="2">
        <f>LET(id,$A91,code,UPPER(TRIM($D91)),rawStart,$F91,rawEnd,$G91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1" s="2">
        <f>LET(id,$A91,code,UPPER(TRIM($D91)),rawStart,$F91,rawEnd,$G91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1" s="2">
        <f>LET(id,$A91,code,UPPER(TRIM($D91)),rawStart,$F91,rawEnd,$G91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1" s="2">
        <f>LET(id,$A91,code,UPPER(TRIM($D91)),rawStart,$F91,rawEnd,$G91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1" s="2">
        <f>LET(id,$A91,code,UPPER(TRIM($D91)),rawStart,$F91,rawEnd,$G91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1" s="2">
        <f>LET(id,$A91,code,UPPER(TRIM($D91)),rawStart,$F91,rawEnd,$G91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1" s="2">
        <f>LET(id,$A91,code,UPPER(TRIM($D91)),rawStart,$F91,rawEnd,$G91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1" s="2">
        <f>LET(id,$A91,code,UPPER(TRIM($D91)),rawStart,$F91,rawEnd,$G91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1" s="2">
        <f>LET(id,$A91,code,UPPER(TRIM($D91)),rawStart,$F91,rawEnd,$G91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91" s="2">
        <f>Calc_Engine!BD91</f>
        <v/>
      </c>
    </row>
    <row r="92">
      <c r="A92" s="2">
        <f>Calc_Engine!A92</f>
        <v/>
      </c>
      <c r="B92" s="2">
        <f>Calc_Engine!B92</f>
        <v/>
      </c>
      <c r="C92" s="2">
        <f>Calc_Engine!C92</f>
        <v/>
      </c>
      <c r="D92" s="2">
        <f>Calc_Engine!D92</f>
        <v/>
      </c>
      <c r="E92" s="4">
        <f>Calc_Engine!E92</f>
        <v/>
      </c>
      <c r="F92" s="5">
        <f>Calc_Engine!F92</f>
        <v/>
      </c>
      <c r="G92" s="5">
        <f>Calc_Engine!G92</f>
        <v/>
      </c>
      <c r="H92" s="2">
        <f>LET(id,$A92,code,UPPER(TRIM($D92)),rawStart,$F92,rawEnd,$G92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2" s="2">
        <f>LET(id,$A92,code,UPPER(TRIM($D92)),rawStart,$F92,rawEnd,$G92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2" s="2">
        <f>LET(id,$A92,code,UPPER(TRIM($D92)),rawStart,$F92,rawEnd,$G92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2" s="2">
        <f>LET(id,$A92,code,UPPER(TRIM($D92)),rawStart,$F92,rawEnd,$G92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2" s="2">
        <f>LET(id,$A92,code,UPPER(TRIM($D92)),rawStart,$F92,rawEnd,$G92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2" s="2">
        <f>LET(id,$A92,code,UPPER(TRIM($D92)),rawStart,$F92,rawEnd,$G92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2" s="2">
        <f>LET(id,$A92,code,UPPER(TRIM($D92)),rawStart,$F92,rawEnd,$G92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2" s="2">
        <f>LET(id,$A92,code,UPPER(TRIM($D92)),rawStart,$F92,rawEnd,$G92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2" s="2">
        <f>LET(id,$A92,code,UPPER(TRIM($D92)),rawStart,$F92,rawEnd,$G92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2" s="2">
        <f>LET(id,$A92,code,UPPER(TRIM($D92)),rawStart,$F92,rawEnd,$G92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2" s="2">
        <f>LET(id,$A92,code,UPPER(TRIM($D92)),rawStart,$F92,rawEnd,$G92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2" s="2">
        <f>LET(id,$A92,code,UPPER(TRIM($D92)),rawStart,$F92,rawEnd,$G92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2" s="2">
        <f>LET(id,$A92,code,UPPER(TRIM($D92)),rawStart,$F92,rawEnd,$G92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2" s="2">
        <f>LET(id,$A92,code,UPPER(TRIM($D92)),rawStart,$F92,rawEnd,$G92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2" s="2">
        <f>LET(id,$A92,code,UPPER(TRIM($D92)),rawStart,$F92,rawEnd,$G92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2" s="2">
        <f>LET(id,$A92,code,UPPER(TRIM($D92)),rawStart,$F92,rawEnd,$G92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2" s="2">
        <f>LET(id,$A92,code,UPPER(TRIM($D92)),rawStart,$F92,rawEnd,$G92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2" s="2">
        <f>LET(id,$A92,code,UPPER(TRIM($D92)),rawStart,$F92,rawEnd,$G92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2" s="2">
        <f>LET(id,$A92,code,UPPER(TRIM($D92)),rawStart,$F92,rawEnd,$G92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2" s="2">
        <f>LET(id,$A92,code,UPPER(TRIM($D92)),rawStart,$F92,rawEnd,$G92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2" s="2">
        <f>LET(id,$A92,code,UPPER(TRIM($D92)),rawStart,$F92,rawEnd,$G92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2" s="2">
        <f>LET(id,$A92,code,UPPER(TRIM($D92)),rawStart,$F92,rawEnd,$G92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2" s="2">
        <f>LET(id,$A92,code,UPPER(TRIM($D92)),rawStart,$F92,rawEnd,$G92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2" s="2">
        <f>LET(id,$A92,code,UPPER(TRIM($D92)),rawStart,$F92,rawEnd,$G92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2" s="2">
        <f>LET(id,$A92,code,UPPER(TRIM($D92)),rawStart,$F92,rawEnd,$G92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2" s="2">
        <f>LET(id,$A92,code,UPPER(TRIM($D92)),rawStart,$F92,rawEnd,$G92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2" s="2">
        <f>LET(id,$A92,code,UPPER(TRIM($D92)),rawStart,$F92,rawEnd,$G92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2" s="2">
        <f>LET(id,$A92,code,UPPER(TRIM($D92)),rawStart,$F92,rawEnd,$G92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2" s="2">
        <f>LET(id,$A92,code,UPPER(TRIM($D92)),rawStart,$F92,rawEnd,$G92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2" s="2">
        <f>LET(id,$A92,code,UPPER(TRIM($D92)),rawStart,$F92,rawEnd,$G92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2" s="2">
        <f>LET(id,$A92,code,UPPER(TRIM($D92)),rawStart,$F92,rawEnd,$G92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2" s="2">
        <f>LET(id,$A92,code,UPPER(TRIM($D92)),rawStart,$F92,rawEnd,$G92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2" s="2">
        <f>LET(id,$A92,code,UPPER(TRIM($D92)),rawStart,$F92,rawEnd,$G92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2" s="2">
        <f>LET(id,$A92,code,UPPER(TRIM($D92)),rawStart,$F92,rawEnd,$G92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2" s="2">
        <f>LET(id,$A92,code,UPPER(TRIM($D92)),rawStart,$F92,rawEnd,$G92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2" s="2">
        <f>LET(id,$A92,code,UPPER(TRIM($D92)),rawStart,$F92,rawEnd,$G92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2" s="2">
        <f>LET(id,$A92,code,UPPER(TRIM($D92)),rawStart,$F92,rawEnd,$G92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2" s="2">
        <f>LET(id,$A92,code,UPPER(TRIM($D92)),rawStart,$F92,rawEnd,$G92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2" s="2">
        <f>LET(id,$A92,code,UPPER(TRIM($D92)),rawStart,$F92,rawEnd,$G92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2" s="2">
        <f>LET(id,$A92,code,UPPER(TRIM($D92)),rawStart,$F92,rawEnd,$G92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2" s="2">
        <f>LET(id,$A92,code,UPPER(TRIM($D92)),rawStart,$F92,rawEnd,$G92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2" s="2">
        <f>LET(id,$A92,code,UPPER(TRIM($D92)),rawStart,$F92,rawEnd,$G92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2" s="2">
        <f>LET(id,$A92,code,UPPER(TRIM($D92)),rawStart,$F92,rawEnd,$G92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2" s="2">
        <f>LET(id,$A92,code,UPPER(TRIM($D92)),rawStart,$F92,rawEnd,$G92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2" s="2">
        <f>LET(id,$A92,code,UPPER(TRIM($D92)),rawStart,$F92,rawEnd,$G92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2" s="2">
        <f>LET(id,$A92,code,UPPER(TRIM($D92)),rawStart,$F92,rawEnd,$G92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2" s="2">
        <f>LET(id,$A92,code,UPPER(TRIM($D92)),rawStart,$F92,rawEnd,$G92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2" s="2">
        <f>LET(id,$A92,code,UPPER(TRIM($D92)),rawStart,$F92,rawEnd,$G92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92" s="2">
        <f>Calc_Engine!BD92</f>
        <v/>
      </c>
    </row>
    <row r="93">
      <c r="A93" s="2">
        <f>Calc_Engine!A93</f>
        <v/>
      </c>
      <c r="B93" s="2">
        <f>Calc_Engine!B93</f>
        <v/>
      </c>
      <c r="C93" s="2">
        <f>Calc_Engine!C93</f>
        <v/>
      </c>
      <c r="D93" s="2">
        <f>Calc_Engine!D93</f>
        <v/>
      </c>
      <c r="E93" s="4">
        <f>Calc_Engine!E93</f>
        <v/>
      </c>
      <c r="F93" s="5">
        <f>Calc_Engine!F93</f>
        <v/>
      </c>
      <c r="G93" s="5">
        <f>Calc_Engine!G93</f>
        <v/>
      </c>
      <c r="H93" s="2">
        <f>LET(id,$A93,code,UPPER(TRIM($D93)),rawStart,$F93,rawEnd,$G93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3" s="2">
        <f>LET(id,$A93,code,UPPER(TRIM($D93)),rawStart,$F93,rawEnd,$G93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3" s="2">
        <f>LET(id,$A93,code,UPPER(TRIM($D93)),rawStart,$F93,rawEnd,$G93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3" s="2">
        <f>LET(id,$A93,code,UPPER(TRIM($D93)),rawStart,$F93,rawEnd,$G93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3" s="2">
        <f>LET(id,$A93,code,UPPER(TRIM($D93)),rawStart,$F93,rawEnd,$G93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3" s="2">
        <f>LET(id,$A93,code,UPPER(TRIM($D93)),rawStart,$F93,rawEnd,$G93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3" s="2">
        <f>LET(id,$A93,code,UPPER(TRIM($D93)),rawStart,$F93,rawEnd,$G93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3" s="2">
        <f>LET(id,$A93,code,UPPER(TRIM($D93)),rawStart,$F93,rawEnd,$G93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3" s="2">
        <f>LET(id,$A93,code,UPPER(TRIM($D93)),rawStart,$F93,rawEnd,$G93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3" s="2">
        <f>LET(id,$A93,code,UPPER(TRIM($D93)),rawStart,$F93,rawEnd,$G93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3" s="2">
        <f>LET(id,$A93,code,UPPER(TRIM($D93)),rawStart,$F93,rawEnd,$G93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3" s="2">
        <f>LET(id,$A93,code,UPPER(TRIM($D93)),rawStart,$F93,rawEnd,$G93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3" s="2">
        <f>LET(id,$A93,code,UPPER(TRIM($D93)),rawStart,$F93,rawEnd,$G93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3" s="2">
        <f>LET(id,$A93,code,UPPER(TRIM($D93)),rawStart,$F93,rawEnd,$G93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3" s="2">
        <f>LET(id,$A93,code,UPPER(TRIM($D93)),rawStart,$F93,rawEnd,$G93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3" s="2">
        <f>LET(id,$A93,code,UPPER(TRIM($D93)),rawStart,$F93,rawEnd,$G93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3" s="2">
        <f>LET(id,$A93,code,UPPER(TRIM($D93)),rawStart,$F93,rawEnd,$G93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3" s="2">
        <f>LET(id,$A93,code,UPPER(TRIM($D93)),rawStart,$F93,rawEnd,$G93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3" s="2">
        <f>LET(id,$A93,code,UPPER(TRIM($D93)),rawStart,$F93,rawEnd,$G93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3" s="2">
        <f>LET(id,$A93,code,UPPER(TRIM($D93)),rawStart,$F93,rawEnd,$G93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3" s="2">
        <f>LET(id,$A93,code,UPPER(TRIM($D93)),rawStart,$F93,rawEnd,$G93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3" s="2">
        <f>LET(id,$A93,code,UPPER(TRIM($D93)),rawStart,$F93,rawEnd,$G93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3" s="2">
        <f>LET(id,$A93,code,UPPER(TRIM($D93)),rawStart,$F93,rawEnd,$G93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3" s="2">
        <f>LET(id,$A93,code,UPPER(TRIM($D93)),rawStart,$F93,rawEnd,$G93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3" s="2">
        <f>LET(id,$A93,code,UPPER(TRIM($D93)),rawStart,$F93,rawEnd,$G93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3" s="2">
        <f>LET(id,$A93,code,UPPER(TRIM($D93)),rawStart,$F93,rawEnd,$G93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3" s="2">
        <f>LET(id,$A93,code,UPPER(TRIM($D93)),rawStart,$F93,rawEnd,$G93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3" s="2">
        <f>LET(id,$A93,code,UPPER(TRIM($D93)),rawStart,$F93,rawEnd,$G93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3" s="2">
        <f>LET(id,$A93,code,UPPER(TRIM($D93)),rawStart,$F93,rawEnd,$G93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3" s="2">
        <f>LET(id,$A93,code,UPPER(TRIM($D93)),rawStart,$F93,rawEnd,$G93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3" s="2">
        <f>LET(id,$A93,code,UPPER(TRIM($D93)),rawStart,$F93,rawEnd,$G93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3" s="2">
        <f>LET(id,$A93,code,UPPER(TRIM($D93)),rawStart,$F93,rawEnd,$G93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3" s="2">
        <f>LET(id,$A93,code,UPPER(TRIM($D93)),rawStart,$F93,rawEnd,$G93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3" s="2">
        <f>LET(id,$A93,code,UPPER(TRIM($D93)),rawStart,$F93,rawEnd,$G93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3" s="2">
        <f>LET(id,$A93,code,UPPER(TRIM($D93)),rawStart,$F93,rawEnd,$G93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3" s="2">
        <f>LET(id,$A93,code,UPPER(TRIM($D93)),rawStart,$F93,rawEnd,$G93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3" s="2">
        <f>LET(id,$A93,code,UPPER(TRIM($D93)),rawStart,$F93,rawEnd,$G93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3" s="2">
        <f>LET(id,$A93,code,UPPER(TRIM($D93)),rawStart,$F93,rawEnd,$G93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3" s="2">
        <f>LET(id,$A93,code,UPPER(TRIM($D93)),rawStart,$F93,rawEnd,$G93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3" s="2">
        <f>LET(id,$A93,code,UPPER(TRIM($D93)),rawStart,$F93,rawEnd,$G93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3" s="2">
        <f>LET(id,$A93,code,UPPER(TRIM($D93)),rawStart,$F93,rawEnd,$G93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3" s="2">
        <f>LET(id,$A93,code,UPPER(TRIM($D93)),rawStart,$F93,rawEnd,$G93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3" s="2">
        <f>LET(id,$A93,code,UPPER(TRIM($D93)),rawStart,$F93,rawEnd,$G93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3" s="2">
        <f>LET(id,$A93,code,UPPER(TRIM($D93)),rawStart,$F93,rawEnd,$G93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3" s="2">
        <f>LET(id,$A93,code,UPPER(TRIM($D93)),rawStart,$F93,rawEnd,$G93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3" s="2">
        <f>LET(id,$A93,code,UPPER(TRIM($D93)),rawStart,$F93,rawEnd,$G93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3" s="2">
        <f>LET(id,$A93,code,UPPER(TRIM($D93)),rawStart,$F93,rawEnd,$G93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3" s="2">
        <f>LET(id,$A93,code,UPPER(TRIM($D93)),rawStart,$F93,rawEnd,$G93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93" s="2">
        <f>Calc_Engine!BD93</f>
        <v/>
      </c>
    </row>
    <row r="94">
      <c r="A94" s="2">
        <f>Calc_Engine!A94</f>
        <v/>
      </c>
      <c r="B94" s="2">
        <f>Calc_Engine!B94</f>
        <v/>
      </c>
      <c r="C94" s="2">
        <f>Calc_Engine!C94</f>
        <v/>
      </c>
      <c r="D94" s="2">
        <f>Calc_Engine!D94</f>
        <v/>
      </c>
      <c r="E94" s="4">
        <f>Calc_Engine!E94</f>
        <v/>
      </c>
      <c r="F94" s="5">
        <f>Calc_Engine!F94</f>
        <v/>
      </c>
      <c r="G94" s="5">
        <f>Calc_Engine!G94</f>
        <v/>
      </c>
      <c r="H94" s="2">
        <f>LET(id,$A94,code,UPPER(TRIM($D94)),rawStart,$F94,rawEnd,$G94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4" s="2">
        <f>LET(id,$A94,code,UPPER(TRIM($D94)),rawStart,$F94,rawEnd,$G94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4" s="2">
        <f>LET(id,$A94,code,UPPER(TRIM($D94)),rawStart,$F94,rawEnd,$G94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4" s="2">
        <f>LET(id,$A94,code,UPPER(TRIM($D94)),rawStart,$F94,rawEnd,$G94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4" s="2">
        <f>LET(id,$A94,code,UPPER(TRIM($D94)),rawStart,$F94,rawEnd,$G94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4" s="2">
        <f>LET(id,$A94,code,UPPER(TRIM($D94)),rawStart,$F94,rawEnd,$G94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4" s="2">
        <f>LET(id,$A94,code,UPPER(TRIM($D94)),rawStart,$F94,rawEnd,$G94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4" s="2">
        <f>LET(id,$A94,code,UPPER(TRIM($D94)),rawStart,$F94,rawEnd,$G94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4" s="2">
        <f>LET(id,$A94,code,UPPER(TRIM($D94)),rawStart,$F94,rawEnd,$G94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4" s="2">
        <f>LET(id,$A94,code,UPPER(TRIM($D94)),rawStart,$F94,rawEnd,$G94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4" s="2">
        <f>LET(id,$A94,code,UPPER(TRIM($D94)),rawStart,$F94,rawEnd,$G94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4" s="2">
        <f>LET(id,$A94,code,UPPER(TRIM($D94)),rawStart,$F94,rawEnd,$G94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4" s="2">
        <f>LET(id,$A94,code,UPPER(TRIM($D94)),rawStart,$F94,rawEnd,$G94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4" s="2">
        <f>LET(id,$A94,code,UPPER(TRIM($D94)),rawStart,$F94,rawEnd,$G94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4" s="2">
        <f>LET(id,$A94,code,UPPER(TRIM($D94)),rawStart,$F94,rawEnd,$G94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4" s="2">
        <f>LET(id,$A94,code,UPPER(TRIM($D94)),rawStart,$F94,rawEnd,$G94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4" s="2">
        <f>LET(id,$A94,code,UPPER(TRIM($D94)),rawStart,$F94,rawEnd,$G94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4" s="2">
        <f>LET(id,$A94,code,UPPER(TRIM($D94)),rawStart,$F94,rawEnd,$G94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4" s="2">
        <f>LET(id,$A94,code,UPPER(TRIM($D94)),rawStart,$F94,rawEnd,$G94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4" s="2">
        <f>LET(id,$A94,code,UPPER(TRIM($D94)),rawStart,$F94,rawEnd,$G94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4" s="2">
        <f>LET(id,$A94,code,UPPER(TRIM($D94)),rawStart,$F94,rawEnd,$G94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4" s="2">
        <f>LET(id,$A94,code,UPPER(TRIM($D94)),rawStart,$F94,rawEnd,$G94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4" s="2">
        <f>LET(id,$A94,code,UPPER(TRIM($D94)),rawStart,$F94,rawEnd,$G94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4" s="2">
        <f>LET(id,$A94,code,UPPER(TRIM($D94)),rawStart,$F94,rawEnd,$G94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4" s="2">
        <f>LET(id,$A94,code,UPPER(TRIM($D94)),rawStart,$F94,rawEnd,$G94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4" s="2">
        <f>LET(id,$A94,code,UPPER(TRIM($D94)),rawStart,$F94,rawEnd,$G94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4" s="2">
        <f>LET(id,$A94,code,UPPER(TRIM($D94)),rawStart,$F94,rawEnd,$G94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4" s="2">
        <f>LET(id,$A94,code,UPPER(TRIM($D94)),rawStart,$F94,rawEnd,$G94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4" s="2">
        <f>LET(id,$A94,code,UPPER(TRIM($D94)),rawStart,$F94,rawEnd,$G94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4" s="2">
        <f>LET(id,$A94,code,UPPER(TRIM($D94)),rawStart,$F94,rawEnd,$G94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4" s="2">
        <f>LET(id,$A94,code,UPPER(TRIM($D94)),rawStart,$F94,rawEnd,$G94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4" s="2">
        <f>LET(id,$A94,code,UPPER(TRIM($D94)),rawStart,$F94,rawEnd,$G94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4" s="2">
        <f>LET(id,$A94,code,UPPER(TRIM($D94)),rawStart,$F94,rawEnd,$G94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4" s="2">
        <f>LET(id,$A94,code,UPPER(TRIM($D94)),rawStart,$F94,rawEnd,$G94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4" s="2">
        <f>LET(id,$A94,code,UPPER(TRIM($D94)),rawStart,$F94,rawEnd,$G94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4" s="2">
        <f>LET(id,$A94,code,UPPER(TRIM($D94)),rawStart,$F94,rawEnd,$G94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4" s="2">
        <f>LET(id,$A94,code,UPPER(TRIM($D94)),rawStart,$F94,rawEnd,$G94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4" s="2">
        <f>LET(id,$A94,code,UPPER(TRIM($D94)),rawStart,$F94,rawEnd,$G94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4" s="2">
        <f>LET(id,$A94,code,UPPER(TRIM($D94)),rawStart,$F94,rawEnd,$G94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4" s="2">
        <f>LET(id,$A94,code,UPPER(TRIM($D94)),rawStart,$F94,rawEnd,$G94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4" s="2">
        <f>LET(id,$A94,code,UPPER(TRIM($D94)),rawStart,$F94,rawEnd,$G94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4" s="2">
        <f>LET(id,$A94,code,UPPER(TRIM($D94)),rawStart,$F94,rawEnd,$G94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4" s="2">
        <f>LET(id,$A94,code,UPPER(TRIM($D94)),rawStart,$F94,rawEnd,$G94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4" s="2">
        <f>LET(id,$A94,code,UPPER(TRIM($D94)),rawStart,$F94,rawEnd,$G94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4" s="2">
        <f>LET(id,$A94,code,UPPER(TRIM($D94)),rawStart,$F94,rawEnd,$G94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4" s="2">
        <f>LET(id,$A94,code,UPPER(TRIM($D94)),rawStart,$F94,rawEnd,$G94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4" s="2">
        <f>LET(id,$A94,code,UPPER(TRIM($D94)),rawStart,$F94,rawEnd,$G94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4" s="2">
        <f>LET(id,$A94,code,UPPER(TRIM($D94)),rawStart,$F94,rawEnd,$G94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94" s="2">
        <f>Calc_Engine!BD94</f>
        <v/>
      </c>
    </row>
    <row r="95">
      <c r="A95" s="2">
        <f>Calc_Engine!A95</f>
        <v/>
      </c>
      <c r="B95" s="2">
        <f>Calc_Engine!B95</f>
        <v/>
      </c>
      <c r="C95" s="2">
        <f>Calc_Engine!C95</f>
        <v/>
      </c>
      <c r="D95" s="2">
        <f>Calc_Engine!D95</f>
        <v/>
      </c>
      <c r="E95" s="4">
        <f>Calc_Engine!E95</f>
        <v/>
      </c>
      <c r="F95" s="5">
        <f>Calc_Engine!F95</f>
        <v/>
      </c>
      <c r="G95" s="5">
        <f>Calc_Engine!G95</f>
        <v/>
      </c>
      <c r="H95" s="2">
        <f>LET(id,$A95,code,UPPER(TRIM($D95)),rawStart,$F95,rawEnd,$G95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5" s="2">
        <f>LET(id,$A95,code,UPPER(TRIM($D95)),rawStart,$F95,rawEnd,$G95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5" s="2">
        <f>LET(id,$A95,code,UPPER(TRIM($D95)),rawStart,$F95,rawEnd,$G95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5" s="2">
        <f>LET(id,$A95,code,UPPER(TRIM($D95)),rawStart,$F95,rawEnd,$G95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5" s="2">
        <f>LET(id,$A95,code,UPPER(TRIM($D95)),rawStart,$F95,rawEnd,$G95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5" s="2">
        <f>LET(id,$A95,code,UPPER(TRIM($D95)),rawStart,$F95,rawEnd,$G95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5" s="2">
        <f>LET(id,$A95,code,UPPER(TRIM($D95)),rawStart,$F95,rawEnd,$G95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5" s="2">
        <f>LET(id,$A95,code,UPPER(TRIM($D95)),rawStart,$F95,rawEnd,$G95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5" s="2">
        <f>LET(id,$A95,code,UPPER(TRIM($D95)),rawStart,$F95,rawEnd,$G95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5" s="2">
        <f>LET(id,$A95,code,UPPER(TRIM($D95)),rawStart,$F95,rawEnd,$G95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5" s="2">
        <f>LET(id,$A95,code,UPPER(TRIM($D95)),rawStart,$F95,rawEnd,$G95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5" s="2">
        <f>LET(id,$A95,code,UPPER(TRIM($D95)),rawStart,$F95,rawEnd,$G95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5" s="2">
        <f>LET(id,$A95,code,UPPER(TRIM($D95)),rawStart,$F95,rawEnd,$G95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5" s="2">
        <f>LET(id,$A95,code,UPPER(TRIM($D95)),rawStart,$F95,rawEnd,$G95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5" s="2">
        <f>LET(id,$A95,code,UPPER(TRIM($D95)),rawStart,$F95,rawEnd,$G95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5" s="2">
        <f>LET(id,$A95,code,UPPER(TRIM($D95)),rawStart,$F95,rawEnd,$G95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5" s="2">
        <f>LET(id,$A95,code,UPPER(TRIM($D95)),rawStart,$F95,rawEnd,$G95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5" s="2">
        <f>LET(id,$A95,code,UPPER(TRIM($D95)),rawStart,$F95,rawEnd,$G95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5" s="2">
        <f>LET(id,$A95,code,UPPER(TRIM($D95)),rawStart,$F95,rawEnd,$G95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5" s="2">
        <f>LET(id,$A95,code,UPPER(TRIM($D95)),rawStart,$F95,rawEnd,$G95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5" s="2">
        <f>LET(id,$A95,code,UPPER(TRIM($D95)),rawStart,$F95,rawEnd,$G95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5" s="2">
        <f>LET(id,$A95,code,UPPER(TRIM($D95)),rawStart,$F95,rawEnd,$G95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5" s="2">
        <f>LET(id,$A95,code,UPPER(TRIM($D95)),rawStart,$F95,rawEnd,$G95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5" s="2">
        <f>LET(id,$A95,code,UPPER(TRIM($D95)),rawStart,$F95,rawEnd,$G95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5" s="2">
        <f>LET(id,$A95,code,UPPER(TRIM($D95)),rawStart,$F95,rawEnd,$G95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5" s="2">
        <f>LET(id,$A95,code,UPPER(TRIM($D95)),rawStart,$F95,rawEnd,$G95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5" s="2">
        <f>LET(id,$A95,code,UPPER(TRIM($D95)),rawStart,$F95,rawEnd,$G95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5" s="2">
        <f>LET(id,$A95,code,UPPER(TRIM($D95)),rawStart,$F95,rawEnd,$G95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5" s="2">
        <f>LET(id,$A95,code,UPPER(TRIM($D95)),rawStart,$F95,rawEnd,$G95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5" s="2">
        <f>LET(id,$A95,code,UPPER(TRIM($D95)),rawStart,$F95,rawEnd,$G95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5" s="2">
        <f>LET(id,$A95,code,UPPER(TRIM($D95)),rawStart,$F95,rawEnd,$G95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5" s="2">
        <f>LET(id,$A95,code,UPPER(TRIM($D95)),rawStart,$F95,rawEnd,$G95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5" s="2">
        <f>LET(id,$A95,code,UPPER(TRIM($D95)),rawStart,$F95,rawEnd,$G95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5" s="2">
        <f>LET(id,$A95,code,UPPER(TRIM($D95)),rawStart,$F95,rawEnd,$G95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5" s="2">
        <f>LET(id,$A95,code,UPPER(TRIM($D95)),rawStart,$F95,rawEnd,$G95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5" s="2">
        <f>LET(id,$A95,code,UPPER(TRIM($D95)),rawStart,$F95,rawEnd,$G95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5" s="2">
        <f>LET(id,$A95,code,UPPER(TRIM($D95)),rawStart,$F95,rawEnd,$G95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5" s="2">
        <f>LET(id,$A95,code,UPPER(TRIM($D95)),rawStart,$F95,rawEnd,$G95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5" s="2">
        <f>LET(id,$A95,code,UPPER(TRIM($D95)),rawStart,$F95,rawEnd,$G95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5" s="2">
        <f>LET(id,$A95,code,UPPER(TRIM($D95)),rawStart,$F95,rawEnd,$G95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5" s="2">
        <f>LET(id,$A95,code,UPPER(TRIM($D95)),rawStart,$F95,rawEnd,$G95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5" s="2">
        <f>LET(id,$A95,code,UPPER(TRIM($D95)),rawStart,$F95,rawEnd,$G95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5" s="2">
        <f>LET(id,$A95,code,UPPER(TRIM($D95)),rawStart,$F95,rawEnd,$G95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5" s="2">
        <f>LET(id,$A95,code,UPPER(TRIM($D95)),rawStart,$F95,rawEnd,$G95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5" s="2">
        <f>LET(id,$A95,code,UPPER(TRIM($D95)),rawStart,$F95,rawEnd,$G95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5" s="2">
        <f>LET(id,$A95,code,UPPER(TRIM($D95)),rawStart,$F95,rawEnd,$G95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5" s="2">
        <f>LET(id,$A95,code,UPPER(TRIM($D95)),rawStart,$F95,rawEnd,$G95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5" s="2">
        <f>LET(id,$A95,code,UPPER(TRIM($D95)),rawStart,$F95,rawEnd,$G95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95" s="2">
        <f>Calc_Engine!BD95</f>
        <v/>
      </c>
    </row>
    <row r="96">
      <c r="A96" s="2">
        <f>Calc_Engine!A96</f>
        <v/>
      </c>
      <c r="B96" s="2">
        <f>Calc_Engine!B96</f>
        <v/>
      </c>
      <c r="C96" s="2">
        <f>Calc_Engine!C96</f>
        <v/>
      </c>
      <c r="D96" s="2">
        <f>Calc_Engine!D96</f>
        <v/>
      </c>
      <c r="E96" s="4">
        <f>Calc_Engine!E96</f>
        <v/>
      </c>
      <c r="F96" s="5">
        <f>Calc_Engine!F96</f>
        <v/>
      </c>
      <c r="G96" s="5">
        <f>Calc_Engine!G96</f>
        <v/>
      </c>
      <c r="H96" s="2">
        <f>LET(id,$A96,code,UPPER(TRIM($D96)),rawStart,$F96,rawEnd,$G96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6" s="2">
        <f>LET(id,$A96,code,UPPER(TRIM($D96)),rawStart,$F96,rawEnd,$G96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6" s="2">
        <f>LET(id,$A96,code,UPPER(TRIM($D96)),rawStart,$F96,rawEnd,$G96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6" s="2">
        <f>LET(id,$A96,code,UPPER(TRIM($D96)),rawStart,$F96,rawEnd,$G96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6" s="2">
        <f>LET(id,$A96,code,UPPER(TRIM($D96)),rawStart,$F96,rawEnd,$G96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6" s="2">
        <f>LET(id,$A96,code,UPPER(TRIM($D96)),rawStart,$F96,rawEnd,$G96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6" s="2">
        <f>LET(id,$A96,code,UPPER(TRIM($D96)),rawStart,$F96,rawEnd,$G96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6" s="2">
        <f>LET(id,$A96,code,UPPER(TRIM($D96)),rawStart,$F96,rawEnd,$G96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6" s="2">
        <f>LET(id,$A96,code,UPPER(TRIM($D96)),rawStart,$F96,rawEnd,$G96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6" s="2">
        <f>LET(id,$A96,code,UPPER(TRIM($D96)),rawStart,$F96,rawEnd,$G96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6" s="2">
        <f>LET(id,$A96,code,UPPER(TRIM($D96)),rawStart,$F96,rawEnd,$G96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6" s="2">
        <f>LET(id,$A96,code,UPPER(TRIM($D96)),rawStart,$F96,rawEnd,$G96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6" s="2">
        <f>LET(id,$A96,code,UPPER(TRIM($D96)),rawStart,$F96,rawEnd,$G96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6" s="2">
        <f>LET(id,$A96,code,UPPER(TRIM($D96)),rawStart,$F96,rawEnd,$G96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6" s="2">
        <f>LET(id,$A96,code,UPPER(TRIM($D96)),rawStart,$F96,rawEnd,$G96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6" s="2">
        <f>LET(id,$A96,code,UPPER(TRIM($D96)),rawStart,$F96,rawEnd,$G96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6" s="2">
        <f>LET(id,$A96,code,UPPER(TRIM($D96)),rawStart,$F96,rawEnd,$G96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6" s="2">
        <f>LET(id,$A96,code,UPPER(TRIM($D96)),rawStart,$F96,rawEnd,$G96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6" s="2">
        <f>LET(id,$A96,code,UPPER(TRIM($D96)),rawStart,$F96,rawEnd,$G96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6" s="2">
        <f>LET(id,$A96,code,UPPER(TRIM($D96)),rawStart,$F96,rawEnd,$G96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6" s="2">
        <f>LET(id,$A96,code,UPPER(TRIM($D96)),rawStart,$F96,rawEnd,$G96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6" s="2">
        <f>LET(id,$A96,code,UPPER(TRIM($D96)),rawStart,$F96,rawEnd,$G96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6" s="2">
        <f>LET(id,$A96,code,UPPER(TRIM($D96)),rawStart,$F96,rawEnd,$G96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6" s="2">
        <f>LET(id,$A96,code,UPPER(TRIM($D96)),rawStart,$F96,rawEnd,$G96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6" s="2">
        <f>LET(id,$A96,code,UPPER(TRIM($D96)),rawStart,$F96,rawEnd,$G96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6" s="2">
        <f>LET(id,$A96,code,UPPER(TRIM($D96)),rawStart,$F96,rawEnd,$G96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6" s="2">
        <f>LET(id,$A96,code,UPPER(TRIM($D96)),rawStart,$F96,rawEnd,$G96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6" s="2">
        <f>LET(id,$A96,code,UPPER(TRIM($D96)),rawStart,$F96,rawEnd,$G96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6" s="2">
        <f>LET(id,$A96,code,UPPER(TRIM($D96)),rawStart,$F96,rawEnd,$G96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6" s="2">
        <f>LET(id,$A96,code,UPPER(TRIM($D96)),rawStart,$F96,rawEnd,$G96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6" s="2">
        <f>LET(id,$A96,code,UPPER(TRIM($D96)),rawStart,$F96,rawEnd,$G96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6" s="2">
        <f>LET(id,$A96,code,UPPER(TRIM($D96)),rawStart,$F96,rawEnd,$G96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6" s="2">
        <f>LET(id,$A96,code,UPPER(TRIM($D96)),rawStart,$F96,rawEnd,$G96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6" s="2">
        <f>LET(id,$A96,code,UPPER(TRIM($D96)),rawStart,$F96,rawEnd,$G96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6" s="2">
        <f>LET(id,$A96,code,UPPER(TRIM($D96)),rawStart,$F96,rawEnd,$G96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6" s="2">
        <f>LET(id,$A96,code,UPPER(TRIM($D96)),rawStart,$F96,rawEnd,$G96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6" s="2">
        <f>LET(id,$A96,code,UPPER(TRIM($D96)),rawStart,$F96,rawEnd,$G96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6" s="2">
        <f>LET(id,$A96,code,UPPER(TRIM($D96)),rawStart,$F96,rawEnd,$G96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6" s="2">
        <f>LET(id,$A96,code,UPPER(TRIM($D96)),rawStart,$F96,rawEnd,$G96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6" s="2">
        <f>LET(id,$A96,code,UPPER(TRIM($D96)),rawStart,$F96,rawEnd,$G96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6" s="2">
        <f>LET(id,$A96,code,UPPER(TRIM($D96)),rawStart,$F96,rawEnd,$G96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6" s="2">
        <f>LET(id,$A96,code,UPPER(TRIM($D96)),rawStart,$F96,rawEnd,$G96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6" s="2">
        <f>LET(id,$A96,code,UPPER(TRIM($D96)),rawStart,$F96,rawEnd,$G96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6" s="2">
        <f>LET(id,$A96,code,UPPER(TRIM($D96)),rawStart,$F96,rawEnd,$G96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6" s="2">
        <f>LET(id,$A96,code,UPPER(TRIM($D96)),rawStart,$F96,rawEnd,$G96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6" s="2">
        <f>LET(id,$A96,code,UPPER(TRIM($D96)),rawStart,$F96,rawEnd,$G96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6" s="2">
        <f>LET(id,$A96,code,UPPER(TRIM($D96)),rawStart,$F96,rawEnd,$G96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6" s="2">
        <f>LET(id,$A96,code,UPPER(TRIM($D96)),rawStart,$F96,rawEnd,$G96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96" s="2">
        <f>Calc_Engine!BD96</f>
        <v/>
      </c>
    </row>
    <row r="97">
      <c r="A97" s="2">
        <f>Calc_Engine!A97</f>
        <v/>
      </c>
      <c r="B97" s="2">
        <f>Calc_Engine!B97</f>
        <v/>
      </c>
      <c r="C97" s="2">
        <f>Calc_Engine!C97</f>
        <v/>
      </c>
      <c r="D97" s="2">
        <f>Calc_Engine!D97</f>
        <v/>
      </c>
      <c r="E97" s="4">
        <f>Calc_Engine!E97</f>
        <v/>
      </c>
      <c r="F97" s="5">
        <f>Calc_Engine!F97</f>
        <v/>
      </c>
      <c r="G97" s="5">
        <f>Calc_Engine!G97</f>
        <v/>
      </c>
      <c r="H97" s="2">
        <f>LET(id,$A97,code,UPPER(TRIM($D97)),rawStart,$F97,rawEnd,$G97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7" s="2">
        <f>LET(id,$A97,code,UPPER(TRIM($D97)),rawStart,$F97,rawEnd,$G97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7" s="2">
        <f>LET(id,$A97,code,UPPER(TRIM($D97)),rawStart,$F97,rawEnd,$G97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7" s="2">
        <f>LET(id,$A97,code,UPPER(TRIM($D97)),rawStart,$F97,rawEnd,$G97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7" s="2">
        <f>LET(id,$A97,code,UPPER(TRIM($D97)),rawStart,$F97,rawEnd,$G97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7" s="2">
        <f>LET(id,$A97,code,UPPER(TRIM($D97)),rawStart,$F97,rawEnd,$G97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7" s="2">
        <f>LET(id,$A97,code,UPPER(TRIM($D97)),rawStart,$F97,rawEnd,$G97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7" s="2">
        <f>LET(id,$A97,code,UPPER(TRIM($D97)),rawStart,$F97,rawEnd,$G97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7" s="2">
        <f>LET(id,$A97,code,UPPER(TRIM($D97)),rawStart,$F97,rawEnd,$G97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7" s="2">
        <f>LET(id,$A97,code,UPPER(TRIM($D97)),rawStart,$F97,rawEnd,$G97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7" s="2">
        <f>LET(id,$A97,code,UPPER(TRIM($D97)),rawStart,$F97,rawEnd,$G97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7" s="2">
        <f>LET(id,$A97,code,UPPER(TRIM($D97)),rawStart,$F97,rawEnd,$G97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7" s="2">
        <f>LET(id,$A97,code,UPPER(TRIM($D97)),rawStart,$F97,rawEnd,$G97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7" s="2">
        <f>LET(id,$A97,code,UPPER(TRIM($D97)),rawStart,$F97,rawEnd,$G97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7" s="2">
        <f>LET(id,$A97,code,UPPER(TRIM($D97)),rawStart,$F97,rawEnd,$G97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7" s="2">
        <f>LET(id,$A97,code,UPPER(TRIM($D97)),rawStart,$F97,rawEnd,$G97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7" s="2">
        <f>LET(id,$A97,code,UPPER(TRIM($D97)),rawStart,$F97,rawEnd,$G97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7" s="2">
        <f>LET(id,$A97,code,UPPER(TRIM($D97)),rawStart,$F97,rawEnd,$G97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7" s="2">
        <f>LET(id,$A97,code,UPPER(TRIM($D97)),rawStart,$F97,rawEnd,$G97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7" s="2">
        <f>LET(id,$A97,code,UPPER(TRIM($D97)),rawStart,$F97,rawEnd,$G97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7" s="2">
        <f>LET(id,$A97,code,UPPER(TRIM($D97)),rawStart,$F97,rawEnd,$G97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7" s="2">
        <f>LET(id,$A97,code,UPPER(TRIM($D97)),rawStart,$F97,rawEnd,$G97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7" s="2">
        <f>LET(id,$A97,code,UPPER(TRIM($D97)),rawStart,$F97,rawEnd,$G97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7" s="2">
        <f>LET(id,$A97,code,UPPER(TRIM($D97)),rawStart,$F97,rawEnd,$G97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7" s="2">
        <f>LET(id,$A97,code,UPPER(TRIM($D97)),rawStart,$F97,rawEnd,$G97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7" s="2">
        <f>LET(id,$A97,code,UPPER(TRIM($D97)),rawStart,$F97,rawEnd,$G97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7" s="2">
        <f>LET(id,$A97,code,UPPER(TRIM($D97)),rawStart,$F97,rawEnd,$G97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7" s="2">
        <f>LET(id,$A97,code,UPPER(TRIM($D97)),rawStart,$F97,rawEnd,$G97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7" s="2">
        <f>LET(id,$A97,code,UPPER(TRIM($D97)),rawStart,$F97,rawEnd,$G97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7" s="2">
        <f>LET(id,$A97,code,UPPER(TRIM($D97)),rawStart,$F97,rawEnd,$G97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7" s="2">
        <f>LET(id,$A97,code,UPPER(TRIM($D97)),rawStart,$F97,rawEnd,$G97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7" s="2">
        <f>LET(id,$A97,code,UPPER(TRIM($D97)),rawStart,$F97,rawEnd,$G97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7" s="2">
        <f>LET(id,$A97,code,UPPER(TRIM($D97)),rawStart,$F97,rawEnd,$G97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7" s="2">
        <f>LET(id,$A97,code,UPPER(TRIM($D97)),rawStart,$F97,rawEnd,$G97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7" s="2">
        <f>LET(id,$A97,code,UPPER(TRIM($D97)),rawStart,$F97,rawEnd,$G97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7" s="2">
        <f>LET(id,$A97,code,UPPER(TRIM($D97)),rawStart,$F97,rawEnd,$G97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7" s="2">
        <f>LET(id,$A97,code,UPPER(TRIM($D97)),rawStart,$F97,rawEnd,$G97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7" s="2">
        <f>LET(id,$A97,code,UPPER(TRIM($D97)),rawStart,$F97,rawEnd,$G97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7" s="2">
        <f>LET(id,$A97,code,UPPER(TRIM($D97)),rawStart,$F97,rawEnd,$G97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7" s="2">
        <f>LET(id,$A97,code,UPPER(TRIM($D97)),rawStart,$F97,rawEnd,$G97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7" s="2">
        <f>LET(id,$A97,code,UPPER(TRIM($D97)),rawStart,$F97,rawEnd,$G97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7" s="2">
        <f>LET(id,$A97,code,UPPER(TRIM($D97)),rawStart,$F97,rawEnd,$G97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7" s="2">
        <f>LET(id,$A97,code,UPPER(TRIM($D97)),rawStart,$F97,rawEnd,$G97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7" s="2">
        <f>LET(id,$A97,code,UPPER(TRIM($D97)),rawStart,$F97,rawEnd,$G97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7" s="2">
        <f>LET(id,$A97,code,UPPER(TRIM($D97)),rawStart,$F97,rawEnd,$G97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7" s="2">
        <f>LET(id,$A97,code,UPPER(TRIM($D97)),rawStart,$F97,rawEnd,$G97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7" s="2">
        <f>LET(id,$A97,code,UPPER(TRIM($D97)),rawStart,$F97,rawEnd,$G97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7" s="2">
        <f>LET(id,$A97,code,UPPER(TRIM($D97)),rawStart,$F97,rawEnd,$G97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97" s="2">
        <f>Calc_Engine!BD97</f>
        <v/>
      </c>
    </row>
    <row r="98">
      <c r="A98" s="2">
        <f>Calc_Engine!A98</f>
        <v/>
      </c>
      <c r="B98" s="2">
        <f>Calc_Engine!B98</f>
        <v/>
      </c>
      <c r="C98" s="2">
        <f>Calc_Engine!C98</f>
        <v/>
      </c>
      <c r="D98" s="2">
        <f>Calc_Engine!D98</f>
        <v/>
      </c>
      <c r="E98" s="4">
        <f>Calc_Engine!E98</f>
        <v/>
      </c>
      <c r="F98" s="5">
        <f>Calc_Engine!F98</f>
        <v/>
      </c>
      <c r="G98" s="5">
        <f>Calc_Engine!G98</f>
        <v/>
      </c>
      <c r="H98" s="2">
        <f>LET(id,$A98,code,UPPER(TRIM($D98)),rawStart,$F98,rawEnd,$G98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8" s="2">
        <f>LET(id,$A98,code,UPPER(TRIM($D98)),rawStart,$F98,rawEnd,$G98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8" s="2">
        <f>LET(id,$A98,code,UPPER(TRIM($D98)),rawStart,$F98,rawEnd,$G98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8" s="2">
        <f>LET(id,$A98,code,UPPER(TRIM($D98)),rawStart,$F98,rawEnd,$G98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8" s="2">
        <f>LET(id,$A98,code,UPPER(TRIM($D98)),rawStart,$F98,rawEnd,$G98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8" s="2">
        <f>LET(id,$A98,code,UPPER(TRIM($D98)),rawStart,$F98,rawEnd,$G98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8" s="2">
        <f>LET(id,$A98,code,UPPER(TRIM($D98)),rawStart,$F98,rawEnd,$G98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8" s="2">
        <f>LET(id,$A98,code,UPPER(TRIM($D98)),rawStart,$F98,rawEnd,$G98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8" s="2">
        <f>LET(id,$A98,code,UPPER(TRIM($D98)),rawStart,$F98,rawEnd,$G98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8" s="2">
        <f>LET(id,$A98,code,UPPER(TRIM($D98)),rawStart,$F98,rawEnd,$G98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8" s="2">
        <f>LET(id,$A98,code,UPPER(TRIM($D98)),rawStart,$F98,rawEnd,$G98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8" s="2">
        <f>LET(id,$A98,code,UPPER(TRIM($D98)),rawStart,$F98,rawEnd,$G98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8" s="2">
        <f>LET(id,$A98,code,UPPER(TRIM($D98)),rawStart,$F98,rawEnd,$G98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8" s="2">
        <f>LET(id,$A98,code,UPPER(TRIM($D98)),rawStart,$F98,rawEnd,$G98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8" s="2">
        <f>LET(id,$A98,code,UPPER(TRIM($D98)),rawStart,$F98,rawEnd,$G98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8" s="2">
        <f>LET(id,$A98,code,UPPER(TRIM($D98)),rawStart,$F98,rawEnd,$G98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8" s="2">
        <f>LET(id,$A98,code,UPPER(TRIM($D98)),rawStart,$F98,rawEnd,$G98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8" s="2">
        <f>LET(id,$A98,code,UPPER(TRIM($D98)),rawStart,$F98,rawEnd,$G98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8" s="2">
        <f>LET(id,$A98,code,UPPER(TRIM($D98)),rawStart,$F98,rawEnd,$G98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8" s="2">
        <f>LET(id,$A98,code,UPPER(TRIM($D98)),rawStart,$F98,rawEnd,$G98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8" s="2">
        <f>LET(id,$A98,code,UPPER(TRIM($D98)),rawStart,$F98,rawEnd,$G98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8" s="2">
        <f>LET(id,$A98,code,UPPER(TRIM($D98)),rawStart,$F98,rawEnd,$G98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8" s="2">
        <f>LET(id,$A98,code,UPPER(TRIM($D98)),rawStart,$F98,rawEnd,$G98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8" s="2">
        <f>LET(id,$A98,code,UPPER(TRIM($D98)),rawStart,$F98,rawEnd,$G98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8" s="2">
        <f>LET(id,$A98,code,UPPER(TRIM($D98)),rawStart,$F98,rawEnd,$G98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8" s="2">
        <f>LET(id,$A98,code,UPPER(TRIM($D98)),rawStart,$F98,rawEnd,$G98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8" s="2">
        <f>LET(id,$A98,code,UPPER(TRIM($D98)),rawStart,$F98,rawEnd,$G98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8" s="2">
        <f>LET(id,$A98,code,UPPER(TRIM($D98)),rawStart,$F98,rawEnd,$G98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8" s="2">
        <f>LET(id,$A98,code,UPPER(TRIM($D98)),rawStart,$F98,rawEnd,$G98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8" s="2">
        <f>LET(id,$A98,code,UPPER(TRIM($D98)),rawStart,$F98,rawEnd,$G98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8" s="2">
        <f>LET(id,$A98,code,UPPER(TRIM($D98)),rawStart,$F98,rawEnd,$G98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8" s="2">
        <f>LET(id,$A98,code,UPPER(TRIM($D98)),rawStart,$F98,rawEnd,$G98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8" s="2">
        <f>LET(id,$A98,code,UPPER(TRIM($D98)),rawStart,$F98,rawEnd,$G98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8" s="2">
        <f>LET(id,$A98,code,UPPER(TRIM($D98)),rawStart,$F98,rawEnd,$G98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8" s="2">
        <f>LET(id,$A98,code,UPPER(TRIM($D98)),rawStart,$F98,rawEnd,$G98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8" s="2">
        <f>LET(id,$A98,code,UPPER(TRIM($D98)),rawStart,$F98,rawEnd,$G98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8" s="2">
        <f>LET(id,$A98,code,UPPER(TRIM($D98)),rawStart,$F98,rawEnd,$G98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8" s="2">
        <f>LET(id,$A98,code,UPPER(TRIM($D98)),rawStart,$F98,rawEnd,$G98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8" s="2">
        <f>LET(id,$A98,code,UPPER(TRIM($D98)),rawStart,$F98,rawEnd,$G98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8" s="2">
        <f>LET(id,$A98,code,UPPER(TRIM($D98)),rawStart,$F98,rawEnd,$G98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8" s="2">
        <f>LET(id,$A98,code,UPPER(TRIM($D98)),rawStart,$F98,rawEnd,$G98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8" s="2">
        <f>LET(id,$A98,code,UPPER(TRIM($D98)),rawStart,$F98,rawEnd,$G98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8" s="2">
        <f>LET(id,$A98,code,UPPER(TRIM($D98)),rawStart,$F98,rawEnd,$G98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8" s="2">
        <f>LET(id,$A98,code,UPPER(TRIM($D98)),rawStart,$F98,rawEnd,$G98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8" s="2">
        <f>LET(id,$A98,code,UPPER(TRIM($D98)),rawStart,$F98,rawEnd,$G98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8" s="2">
        <f>LET(id,$A98,code,UPPER(TRIM($D98)),rawStart,$F98,rawEnd,$G98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8" s="2">
        <f>LET(id,$A98,code,UPPER(TRIM($D98)),rawStart,$F98,rawEnd,$G98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8" s="2">
        <f>LET(id,$A98,code,UPPER(TRIM($D98)),rawStart,$F98,rawEnd,$G98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98" s="2">
        <f>Calc_Engine!BD98</f>
        <v/>
      </c>
    </row>
    <row r="99">
      <c r="A99" s="2">
        <f>Calc_Engine!A99</f>
        <v/>
      </c>
      <c r="B99" s="2">
        <f>Calc_Engine!B99</f>
        <v/>
      </c>
      <c r="C99" s="2">
        <f>Calc_Engine!C99</f>
        <v/>
      </c>
      <c r="D99" s="2">
        <f>Calc_Engine!D99</f>
        <v/>
      </c>
      <c r="E99" s="4">
        <f>Calc_Engine!E99</f>
        <v/>
      </c>
      <c r="F99" s="5">
        <f>Calc_Engine!F99</f>
        <v/>
      </c>
      <c r="G99" s="5">
        <f>Calc_Engine!G99</f>
        <v/>
      </c>
      <c r="H99" s="2">
        <f>LET(id,$A99,code,UPPER(TRIM($D99)),rawStart,$F99,rawEnd,$G99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9" s="2">
        <f>LET(id,$A99,code,UPPER(TRIM($D99)),rawStart,$F99,rawEnd,$G99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9" s="2">
        <f>LET(id,$A99,code,UPPER(TRIM($D99)),rawStart,$F99,rawEnd,$G99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9" s="2">
        <f>LET(id,$A99,code,UPPER(TRIM($D99)),rawStart,$F99,rawEnd,$G99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9" s="2">
        <f>LET(id,$A99,code,UPPER(TRIM($D99)),rawStart,$F99,rawEnd,$G99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9" s="2">
        <f>LET(id,$A99,code,UPPER(TRIM($D99)),rawStart,$F99,rawEnd,$G99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9" s="2">
        <f>LET(id,$A99,code,UPPER(TRIM($D99)),rawStart,$F99,rawEnd,$G99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9" s="2">
        <f>LET(id,$A99,code,UPPER(TRIM($D99)),rawStart,$F99,rawEnd,$G99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9" s="2">
        <f>LET(id,$A99,code,UPPER(TRIM($D99)),rawStart,$F99,rawEnd,$G99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9" s="2">
        <f>LET(id,$A99,code,UPPER(TRIM($D99)),rawStart,$F99,rawEnd,$G99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9" s="2">
        <f>LET(id,$A99,code,UPPER(TRIM($D99)),rawStart,$F99,rawEnd,$G99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9" s="2">
        <f>LET(id,$A99,code,UPPER(TRIM($D99)),rawStart,$F99,rawEnd,$G99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9" s="2">
        <f>LET(id,$A99,code,UPPER(TRIM($D99)),rawStart,$F99,rawEnd,$G99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9" s="2">
        <f>LET(id,$A99,code,UPPER(TRIM($D99)),rawStart,$F99,rawEnd,$G99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9" s="2">
        <f>LET(id,$A99,code,UPPER(TRIM($D99)),rawStart,$F99,rawEnd,$G99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9" s="2">
        <f>LET(id,$A99,code,UPPER(TRIM($D99)),rawStart,$F99,rawEnd,$G99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9" s="2">
        <f>LET(id,$A99,code,UPPER(TRIM($D99)),rawStart,$F99,rawEnd,$G99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9" s="2">
        <f>LET(id,$A99,code,UPPER(TRIM($D99)),rawStart,$F99,rawEnd,$G99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9" s="2">
        <f>LET(id,$A99,code,UPPER(TRIM($D99)),rawStart,$F99,rawEnd,$G99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9" s="2">
        <f>LET(id,$A99,code,UPPER(TRIM($D99)),rawStart,$F99,rawEnd,$G99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9" s="2">
        <f>LET(id,$A99,code,UPPER(TRIM($D99)),rawStart,$F99,rawEnd,$G99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9" s="2">
        <f>LET(id,$A99,code,UPPER(TRIM($D99)),rawStart,$F99,rawEnd,$G99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9" s="2">
        <f>LET(id,$A99,code,UPPER(TRIM($D99)),rawStart,$F99,rawEnd,$G99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9" s="2">
        <f>LET(id,$A99,code,UPPER(TRIM($D99)),rawStart,$F99,rawEnd,$G99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9" s="2">
        <f>LET(id,$A99,code,UPPER(TRIM($D99)),rawStart,$F99,rawEnd,$G99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9" s="2">
        <f>LET(id,$A99,code,UPPER(TRIM($D99)),rawStart,$F99,rawEnd,$G99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9" s="2">
        <f>LET(id,$A99,code,UPPER(TRIM($D99)),rawStart,$F99,rawEnd,$G99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9" s="2">
        <f>LET(id,$A99,code,UPPER(TRIM($D99)),rawStart,$F99,rawEnd,$G99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9" s="2">
        <f>LET(id,$A99,code,UPPER(TRIM($D99)),rawStart,$F99,rawEnd,$G99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9" s="2">
        <f>LET(id,$A99,code,UPPER(TRIM($D99)),rawStart,$F99,rawEnd,$G99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9" s="2">
        <f>LET(id,$A99,code,UPPER(TRIM($D99)),rawStart,$F99,rawEnd,$G99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9" s="2">
        <f>LET(id,$A99,code,UPPER(TRIM($D99)),rawStart,$F99,rawEnd,$G99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9" s="2">
        <f>LET(id,$A99,code,UPPER(TRIM($D99)),rawStart,$F99,rawEnd,$G99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9" s="2">
        <f>LET(id,$A99,code,UPPER(TRIM($D99)),rawStart,$F99,rawEnd,$G99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9" s="2">
        <f>LET(id,$A99,code,UPPER(TRIM($D99)),rawStart,$F99,rawEnd,$G99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9" s="2">
        <f>LET(id,$A99,code,UPPER(TRIM($D99)),rawStart,$F99,rawEnd,$G99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9" s="2">
        <f>LET(id,$A99,code,UPPER(TRIM($D99)),rawStart,$F99,rawEnd,$G99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9" s="2">
        <f>LET(id,$A99,code,UPPER(TRIM($D99)),rawStart,$F99,rawEnd,$G99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9" s="2">
        <f>LET(id,$A99,code,UPPER(TRIM($D99)),rawStart,$F99,rawEnd,$G99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9" s="2">
        <f>LET(id,$A99,code,UPPER(TRIM($D99)),rawStart,$F99,rawEnd,$G99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9" s="2">
        <f>LET(id,$A99,code,UPPER(TRIM($D99)),rawStart,$F99,rawEnd,$G99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9" s="2">
        <f>LET(id,$A99,code,UPPER(TRIM($D99)),rawStart,$F99,rawEnd,$G99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9" s="2">
        <f>LET(id,$A99,code,UPPER(TRIM($D99)),rawStart,$F99,rawEnd,$G99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9" s="2">
        <f>LET(id,$A99,code,UPPER(TRIM($D99)),rawStart,$F99,rawEnd,$G99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9" s="2">
        <f>LET(id,$A99,code,UPPER(TRIM($D99)),rawStart,$F99,rawEnd,$G99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9" s="2">
        <f>LET(id,$A99,code,UPPER(TRIM($D99)),rawStart,$F99,rawEnd,$G99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9" s="2">
        <f>LET(id,$A99,code,UPPER(TRIM($D99)),rawStart,$F99,rawEnd,$G99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9" s="2">
        <f>LET(id,$A99,code,UPPER(TRIM($D99)),rawStart,$F99,rawEnd,$G99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99" s="2">
        <f>Calc_Engine!BD99</f>
        <v/>
      </c>
    </row>
    <row r="100">
      <c r="A100" s="2">
        <f>Calc_Engine!A100</f>
        <v/>
      </c>
      <c r="B100" s="2">
        <f>Calc_Engine!B100</f>
        <v/>
      </c>
      <c r="C100" s="2">
        <f>Calc_Engine!C100</f>
        <v/>
      </c>
      <c r="D100" s="2">
        <f>Calc_Engine!D100</f>
        <v/>
      </c>
      <c r="E100" s="4">
        <f>Calc_Engine!E100</f>
        <v/>
      </c>
      <c r="F100" s="5">
        <f>Calc_Engine!F100</f>
        <v/>
      </c>
      <c r="G100" s="5">
        <f>Calc_Engine!G100</f>
        <v/>
      </c>
      <c r="H100" s="2">
        <f>LET(id,$A100,code,UPPER(TRIM($D100)),rawStart,$F100,rawEnd,$G100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0" s="2">
        <f>LET(id,$A100,code,UPPER(TRIM($D100)),rawStart,$F100,rawEnd,$G100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0" s="2">
        <f>LET(id,$A100,code,UPPER(TRIM($D100)),rawStart,$F100,rawEnd,$G100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0" s="2">
        <f>LET(id,$A100,code,UPPER(TRIM($D100)),rawStart,$F100,rawEnd,$G100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0" s="2">
        <f>LET(id,$A100,code,UPPER(TRIM($D100)),rawStart,$F100,rawEnd,$G100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0" s="2">
        <f>LET(id,$A100,code,UPPER(TRIM($D100)),rawStart,$F100,rawEnd,$G100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0" s="2">
        <f>LET(id,$A100,code,UPPER(TRIM($D100)),rawStart,$F100,rawEnd,$G100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0" s="2">
        <f>LET(id,$A100,code,UPPER(TRIM($D100)),rawStart,$F100,rawEnd,$G100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0" s="2">
        <f>LET(id,$A100,code,UPPER(TRIM($D100)),rawStart,$F100,rawEnd,$G100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0" s="2">
        <f>LET(id,$A100,code,UPPER(TRIM($D100)),rawStart,$F100,rawEnd,$G100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0" s="2">
        <f>LET(id,$A100,code,UPPER(TRIM($D100)),rawStart,$F100,rawEnd,$G100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0" s="2">
        <f>LET(id,$A100,code,UPPER(TRIM($D100)),rawStart,$F100,rawEnd,$G100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0" s="2">
        <f>LET(id,$A100,code,UPPER(TRIM($D100)),rawStart,$F100,rawEnd,$G100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0" s="2">
        <f>LET(id,$A100,code,UPPER(TRIM($D100)),rawStart,$F100,rawEnd,$G100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0" s="2">
        <f>LET(id,$A100,code,UPPER(TRIM($D100)),rawStart,$F100,rawEnd,$G100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0" s="2">
        <f>LET(id,$A100,code,UPPER(TRIM($D100)),rawStart,$F100,rawEnd,$G100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0" s="2">
        <f>LET(id,$A100,code,UPPER(TRIM($D100)),rawStart,$F100,rawEnd,$G100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0" s="2">
        <f>LET(id,$A100,code,UPPER(TRIM($D100)),rawStart,$F100,rawEnd,$G100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0" s="2">
        <f>LET(id,$A100,code,UPPER(TRIM($D100)),rawStart,$F100,rawEnd,$G100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0" s="2">
        <f>LET(id,$A100,code,UPPER(TRIM($D100)),rawStart,$F100,rawEnd,$G100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0" s="2">
        <f>LET(id,$A100,code,UPPER(TRIM($D100)),rawStart,$F100,rawEnd,$G100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0" s="2">
        <f>LET(id,$A100,code,UPPER(TRIM($D100)),rawStart,$F100,rawEnd,$G100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0" s="2">
        <f>LET(id,$A100,code,UPPER(TRIM($D100)),rawStart,$F100,rawEnd,$G100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0" s="2">
        <f>LET(id,$A100,code,UPPER(TRIM($D100)),rawStart,$F100,rawEnd,$G100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0" s="2">
        <f>LET(id,$A100,code,UPPER(TRIM($D100)),rawStart,$F100,rawEnd,$G100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0" s="2">
        <f>LET(id,$A100,code,UPPER(TRIM($D100)),rawStart,$F100,rawEnd,$G100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0" s="2">
        <f>LET(id,$A100,code,UPPER(TRIM($D100)),rawStart,$F100,rawEnd,$G100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0" s="2">
        <f>LET(id,$A100,code,UPPER(TRIM($D100)),rawStart,$F100,rawEnd,$G100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0" s="2">
        <f>LET(id,$A100,code,UPPER(TRIM($D100)),rawStart,$F100,rawEnd,$G100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0" s="2">
        <f>LET(id,$A100,code,UPPER(TRIM($D100)),rawStart,$F100,rawEnd,$G100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0" s="2">
        <f>LET(id,$A100,code,UPPER(TRIM($D100)),rawStart,$F100,rawEnd,$G100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0" s="2">
        <f>LET(id,$A100,code,UPPER(TRIM($D100)),rawStart,$F100,rawEnd,$G100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0" s="2">
        <f>LET(id,$A100,code,UPPER(TRIM($D100)),rawStart,$F100,rawEnd,$G100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0" s="2">
        <f>LET(id,$A100,code,UPPER(TRIM($D100)),rawStart,$F100,rawEnd,$G100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0" s="2">
        <f>LET(id,$A100,code,UPPER(TRIM($D100)),rawStart,$F100,rawEnd,$G100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0" s="2">
        <f>LET(id,$A100,code,UPPER(TRIM($D100)),rawStart,$F100,rawEnd,$G100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0" s="2">
        <f>LET(id,$A100,code,UPPER(TRIM($D100)),rawStart,$F100,rawEnd,$G100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0" s="2">
        <f>LET(id,$A100,code,UPPER(TRIM($D100)),rawStart,$F100,rawEnd,$G100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0" s="2">
        <f>LET(id,$A100,code,UPPER(TRIM($D100)),rawStart,$F100,rawEnd,$G100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0" s="2">
        <f>LET(id,$A100,code,UPPER(TRIM($D100)),rawStart,$F100,rawEnd,$G100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0" s="2">
        <f>LET(id,$A100,code,UPPER(TRIM($D100)),rawStart,$F100,rawEnd,$G100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0" s="2">
        <f>LET(id,$A100,code,UPPER(TRIM($D100)),rawStart,$F100,rawEnd,$G100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0" s="2">
        <f>LET(id,$A100,code,UPPER(TRIM($D100)),rawStart,$F100,rawEnd,$G100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0" s="2">
        <f>LET(id,$A100,code,UPPER(TRIM($D100)),rawStart,$F100,rawEnd,$G100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0" s="2">
        <f>LET(id,$A100,code,UPPER(TRIM($D100)),rawStart,$F100,rawEnd,$G100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0" s="2">
        <f>LET(id,$A100,code,UPPER(TRIM($D100)),rawStart,$F100,rawEnd,$G100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0" s="2">
        <f>LET(id,$A100,code,UPPER(TRIM($D100)),rawStart,$F100,rawEnd,$G100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0" s="2">
        <f>LET(id,$A100,code,UPPER(TRIM($D100)),rawStart,$F100,rawEnd,$G100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00" s="2">
        <f>Calc_Engine!BD100</f>
        <v/>
      </c>
    </row>
    <row r="101">
      <c r="A101" s="2">
        <f>Calc_Engine!A101</f>
        <v/>
      </c>
      <c r="B101" s="2">
        <f>Calc_Engine!B101</f>
        <v/>
      </c>
      <c r="C101" s="2">
        <f>Calc_Engine!C101</f>
        <v/>
      </c>
      <c r="D101" s="2">
        <f>Calc_Engine!D101</f>
        <v/>
      </c>
      <c r="E101" s="4">
        <f>Calc_Engine!E101</f>
        <v/>
      </c>
      <c r="F101" s="5">
        <f>Calc_Engine!F101</f>
        <v/>
      </c>
      <c r="G101" s="5">
        <f>Calc_Engine!G101</f>
        <v/>
      </c>
      <c r="H101" s="2">
        <f>LET(id,$A101,code,UPPER(TRIM($D101)),rawStart,$F101,rawEnd,$G101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1" s="2">
        <f>LET(id,$A101,code,UPPER(TRIM($D101)),rawStart,$F101,rawEnd,$G101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1" s="2">
        <f>LET(id,$A101,code,UPPER(TRIM($D101)),rawStart,$F101,rawEnd,$G101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1" s="2">
        <f>LET(id,$A101,code,UPPER(TRIM($D101)),rawStart,$F101,rawEnd,$G101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1" s="2">
        <f>LET(id,$A101,code,UPPER(TRIM($D101)),rawStart,$F101,rawEnd,$G101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1" s="2">
        <f>LET(id,$A101,code,UPPER(TRIM($D101)),rawStart,$F101,rawEnd,$G101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1" s="2">
        <f>LET(id,$A101,code,UPPER(TRIM($D101)),rawStart,$F101,rawEnd,$G101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1" s="2">
        <f>LET(id,$A101,code,UPPER(TRIM($D101)),rawStart,$F101,rawEnd,$G101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1" s="2">
        <f>LET(id,$A101,code,UPPER(TRIM($D101)),rawStart,$F101,rawEnd,$G101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1" s="2">
        <f>LET(id,$A101,code,UPPER(TRIM($D101)),rawStart,$F101,rawEnd,$G101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1" s="2">
        <f>LET(id,$A101,code,UPPER(TRIM($D101)),rawStart,$F101,rawEnd,$G101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1" s="2">
        <f>LET(id,$A101,code,UPPER(TRIM($D101)),rawStart,$F101,rawEnd,$G101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1" s="2">
        <f>LET(id,$A101,code,UPPER(TRIM($D101)),rawStart,$F101,rawEnd,$G101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1" s="2">
        <f>LET(id,$A101,code,UPPER(TRIM($D101)),rawStart,$F101,rawEnd,$G101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1" s="2">
        <f>LET(id,$A101,code,UPPER(TRIM($D101)),rawStart,$F101,rawEnd,$G101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1" s="2">
        <f>LET(id,$A101,code,UPPER(TRIM($D101)),rawStart,$F101,rawEnd,$G101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1" s="2">
        <f>LET(id,$A101,code,UPPER(TRIM($D101)),rawStart,$F101,rawEnd,$G101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1" s="2">
        <f>LET(id,$A101,code,UPPER(TRIM($D101)),rawStart,$F101,rawEnd,$G101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1" s="2">
        <f>LET(id,$A101,code,UPPER(TRIM($D101)),rawStart,$F101,rawEnd,$G101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1" s="2">
        <f>LET(id,$A101,code,UPPER(TRIM($D101)),rawStart,$F101,rawEnd,$G101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1" s="2">
        <f>LET(id,$A101,code,UPPER(TRIM($D101)),rawStart,$F101,rawEnd,$G101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1" s="2">
        <f>LET(id,$A101,code,UPPER(TRIM($D101)),rawStart,$F101,rawEnd,$G101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1" s="2">
        <f>LET(id,$A101,code,UPPER(TRIM($D101)),rawStart,$F101,rawEnd,$G101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1" s="2">
        <f>LET(id,$A101,code,UPPER(TRIM($D101)),rawStart,$F101,rawEnd,$G101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1" s="2">
        <f>LET(id,$A101,code,UPPER(TRIM($D101)),rawStart,$F101,rawEnd,$G101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1" s="2">
        <f>LET(id,$A101,code,UPPER(TRIM($D101)),rawStart,$F101,rawEnd,$G101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1" s="2">
        <f>LET(id,$A101,code,UPPER(TRIM($D101)),rawStart,$F101,rawEnd,$G101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1" s="2">
        <f>LET(id,$A101,code,UPPER(TRIM($D101)),rawStart,$F101,rawEnd,$G101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1" s="2">
        <f>LET(id,$A101,code,UPPER(TRIM($D101)),rawStart,$F101,rawEnd,$G101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1" s="2">
        <f>LET(id,$A101,code,UPPER(TRIM($D101)),rawStart,$F101,rawEnd,$G101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1" s="2">
        <f>LET(id,$A101,code,UPPER(TRIM($D101)),rawStart,$F101,rawEnd,$G101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1" s="2">
        <f>LET(id,$A101,code,UPPER(TRIM($D101)),rawStart,$F101,rawEnd,$G101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1" s="2">
        <f>LET(id,$A101,code,UPPER(TRIM($D101)),rawStart,$F101,rawEnd,$G101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1" s="2">
        <f>LET(id,$A101,code,UPPER(TRIM($D101)),rawStart,$F101,rawEnd,$G101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1" s="2">
        <f>LET(id,$A101,code,UPPER(TRIM($D101)),rawStart,$F101,rawEnd,$G101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1" s="2">
        <f>LET(id,$A101,code,UPPER(TRIM($D101)),rawStart,$F101,rawEnd,$G101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1" s="2">
        <f>LET(id,$A101,code,UPPER(TRIM($D101)),rawStart,$F101,rawEnd,$G101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1" s="2">
        <f>LET(id,$A101,code,UPPER(TRIM($D101)),rawStart,$F101,rawEnd,$G101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1" s="2">
        <f>LET(id,$A101,code,UPPER(TRIM($D101)),rawStart,$F101,rawEnd,$G101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1" s="2">
        <f>LET(id,$A101,code,UPPER(TRIM($D101)),rawStart,$F101,rawEnd,$G101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1" s="2">
        <f>LET(id,$A101,code,UPPER(TRIM($D101)),rawStart,$F101,rawEnd,$G101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1" s="2">
        <f>LET(id,$A101,code,UPPER(TRIM($D101)),rawStart,$F101,rawEnd,$G101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1" s="2">
        <f>LET(id,$A101,code,UPPER(TRIM($D101)),rawStart,$F101,rawEnd,$G101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1" s="2">
        <f>LET(id,$A101,code,UPPER(TRIM($D101)),rawStart,$F101,rawEnd,$G101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1" s="2">
        <f>LET(id,$A101,code,UPPER(TRIM($D101)),rawStart,$F101,rawEnd,$G101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1" s="2">
        <f>LET(id,$A101,code,UPPER(TRIM($D101)),rawStart,$F101,rawEnd,$G101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1" s="2">
        <f>LET(id,$A101,code,UPPER(TRIM($D101)),rawStart,$F101,rawEnd,$G101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1" s="2">
        <f>LET(id,$A101,code,UPPER(TRIM($D101)),rawStart,$F101,rawEnd,$G101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01" s="2">
        <f>Calc_Engine!BD101</f>
        <v/>
      </c>
    </row>
    <row r="102">
      <c r="A102" s="2">
        <f>Calc_Engine!A102</f>
        <v/>
      </c>
      <c r="B102" s="2">
        <f>Calc_Engine!B102</f>
        <v/>
      </c>
      <c r="C102" s="2">
        <f>Calc_Engine!C102</f>
        <v/>
      </c>
      <c r="D102" s="2">
        <f>Calc_Engine!D102</f>
        <v/>
      </c>
      <c r="E102" s="4">
        <f>Calc_Engine!E102</f>
        <v/>
      </c>
      <c r="F102" s="5">
        <f>Calc_Engine!F102</f>
        <v/>
      </c>
      <c r="G102" s="5">
        <f>Calc_Engine!G102</f>
        <v/>
      </c>
      <c r="H102" s="2">
        <f>LET(id,$A102,code,UPPER(TRIM($D102)),rawStart,$F102,rawEnd,$G102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2" s="2">
        <f>LET(id,$A102,code,UPPER(TRIM($D102)),rawStart,$F102,rawEnd,$G102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2" s="2">
        <f>LET(id,$A102,code,UPPER(TRIM($D102)),rawStart,$F102,rawEnd,$G102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2" s="2">
        <f>LET(id,$A102,code,UPPER(TRIM($D102)),rawStart,$F102,rawEnd,$G102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2" s="2">
        <f>LET(id,$A102,code,UPPER(TRIM($D102)),rawStart,$F102,rawEnd,$G102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2" s="2">
        <f>LET(id,$A102,code,UPPER(TRIM($D102)),rawStart,$F102,rawEnd,$G102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2" s="2">
        <f>LET(id,$A102,code,UPPER(TRIM($D102)),rawStart,$F102,rawEnd,$G102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2" s="2">
        <f>LET(id,$A102,code,UPPER(TRIM($D102)),rawStart,$F102,rawEnd,$G102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2" s="2">
        <f>LET(id,$A102,code,UPPER(TRIM($D102)),rawStart,$F102,rawEnd,$G102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2" s="2">
        <f>LET(id,$A102,code,UPPER(TRIM($D102)),rawStart,$F102,rawEnd,$G102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2" s="2">
        <f>LET(id,$A102,code,UPPER(TRIM($D102)),rawStart,$F102,rawEnd,$G102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2" s="2">
        <f>LET(id,$A102,code,UPPER(TRIM($D102)),rawStart,$F102,rawEnd,$G102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2" s="2">
        <f>LET(id,$A102,code,UPPER(TRIM($D102)),rawStart,$F102,rawEnd,$G102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2" s="2">
        <f>LET(id,$A102,code,UPPER(TRIM($D102)),rawStart,$F102,rawEnd,$G102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2" s="2">
        <f>LET(id,$A102,code,UPPER(TRIM($D102)),rawStart,$F102,rawEnd,$G102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2" s="2">
        <f>LET(id,$A102,code,UPPER(TRIM($D102)),rawStart,$F102,rawEnd,$G102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2" s="2">
        <f>LET(id,$A102,code,UPPER(TRIM($D102)),rawStart,$F102,rawEnd,$G102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2" s="2">
        <f>LET(id,$A102,code,UPPER(TRIM($D102)),rawStart,$F102,rawEnd,$G102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2" s="2">
        <f>LET(id,$A102,code,UPPER(TRIM($D102)),rawStart,$F102,rawEnd,$G102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2" s="2">
        <f>LET(id,$A102,code,UPPER(TRIM($D102)),rawStart,$F102,rawEnd,$G102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2" s="2">
        <f>LET(id,$A102,code,UPPER(TRIM($D102)),rawStart,$F102,rawEnd,$G102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2" s="2">
        <f>LET(id,$A102,code,UPPER(TRIM($D102)),rawStart,$F102,rawEnd,$G102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2" s="2">
        <f>LET(id,$A102,code,UPPER(TRIM($D102)),rawStart,$F102,rawEnd,$G102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2" s="2">
        <f>LET(id,$A102,code,UPPER(TRIM($D102)),rawStart,$F102,rawEnd,$G102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2" s="2">
        <f>LET(id,$A102,code,UPPER(TRIM($D102)),rawStart,$F102,rawEnd,$G102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2" s="2">
        <f>LET(id,$A102,code,UPPER(TRIM($D102)),rawStart,$F102,rawEnd,$G102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2" s="2">
        <f>LET(id,$A102,code,UPPER(TRIM($D102)),rawStart,$F102,rawEnd,$G102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2" s="2">
        <f>LET(id,$A102,code,UPPER(TRIM($D102)),rawStart,$F102,rawEnd,$G102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2" s="2">
        <f>LET(id,$A102,code,UPPER(TRIM($D102)),rawStart,$F102,rawEnd,$G102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2" s="2">
        <f>LET(id,$A102,code,UPPER(TRIM($D102)),rawStart,$F102,rawEnd,$G102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2" s="2">
        <f>LET(id,$A102,code,UPPER(TRIM($D102)),rawStart,$F102,rawEnd,$G102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2" s="2">
        <f>LET(id,$A102,code,UPPER(TRIM($D102)),rawStart,$F102,rawEnd,$G102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2" s="2">
        <f>LET(id,$A102,code,UPPER(TRIM($D102)),rawStart,$F102,rawEnd,$G102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2" s="2">
        <f>LET(id,$A102,code,UPPER(TRIM($D102)),rawStart,$F102,rawEnd,$G102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2" s="2">
        <f>LET(id,$A102,code,UPPER(TRIM($D102)),rawStart,$F102,rawEnd,$G102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2" s="2">
        <f>LET(id,$A102,code,UPPER(TRIM($D102)),rawStart,$F102,rawEnd,$G102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2" s="2">
        <f>LET(id,$A102,code,UPPER(TRIM($D102)),rawStart,$F102,rawEnd,$G102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2" s="2">
        <f>LET(id,$A102,code,UPPER(TRIM($D102)),rawStart,$F102,rawEnd,$G102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2" s="2">
        <f>LET(id,$A102,code,UPPER(TRIM($D102)),rawStart,$F102,rawEnd,$G102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2" s="2">
        <f>LET(id,$A102,code,UPPER(TRIM($D102)),rawStart,$F102,rawEnd,$G102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2" s="2">
        <f>LET(id,$A102,code,UPPER(TRIM($D102)),rawStart,$F102,rawEnd,$G102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2" s="2">
        <f>LET(id,$A102,code,UPPER(TRIM($D102)),rawStart,$F102,rawEnd,$G102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2" s="2">
        <f>LET(id,$A102,code,UPPER(TRIM($D102)),rawStart,$F102,rawEnd,$G102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2" s="2">
        <f>LET(id,$A102,code,UPPER(TRIM($D102)),rawStart,$F102,rawEnd,$G102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2" s="2">
        <f>LET(id,$A102,code,UPPER(TRIM($D102)),rawStart,$F102,rawEnd,$G102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2" s="2">
        <f>LET(id,$A102,code,UPPER(TRIM($D102)),rawStart,$F102,rawEnd,$G102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2" s="2">
        <f>LET(id,$A102,code,UPPER(TRIM($D102)),rawStart,$F102,rawEnd,$G102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2" s="2">
        <f>LET(id,$A102,code,UPPER(TRIM($D102)),rawStart,$F102,rawEnd,$G102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02" s="2">
        <f>Calc_Engine!BD102</f>
        <v/>
      </c>
    </row>
    <row r="103">
      <c r="A103" s="2">
        <f>Calc_Engine!A103</f>
        <v/>
      </c>
      <c r="B103" s="2">
        <f>Calc_Engine!B103</f>
        <v/>
      </c>
      <c r="C103" s="2">
        <f>Calc_Engine!C103</f>
        <v/>
      </c>
      <c r="D103" s="2">
        <f>Calc_Engine!D103</f>
        <v/>
      </c>
      <c r="E103" s="4">
        <f>Calc_Engine!E103</f>
        <v/>
      </c>
      <c r="F103" s="5">
        <f>Calc_Engine!F103</f>
        <v/>
      </c>
      <c r="G103" s="5">
        <f>Calc_Engine!G103</f>
        <v/>
      </c>
      <c r="H103" s="2">
        <f>LET(id,$A103,code,UPPER(TRIM($D103)),rawStart,$F103,rawEnd,$G103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3" s="2">
        <f>LET(id,$A103,code,UPPER(TRIM($D103)),rawStart,$F103,rawEnd,$G103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3" s="2">
        <f>LET(id,$A103,code,UPPER(TRIM($D103)),rawStart,$F103,rawEnd,$G103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3" s="2">
        <f>LET(id,$A103,code,UPPER(TRIM($D103)),rawStart,$F103,rawEnd,$G103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3" s="2">
        <f>LET(id,$A103,code,UPPER(TRIM($D103)),rawStart,$F103,rawEnd,$G103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3" s="2">
        <f>LET(id,$A103,code,UPPER(TRIM($D103)),rawStart,$F103,rawEnd,$G103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3" s="2">
        <f>LET(id,$A103,code,UPPER(TRIM($D103)),rawStart,$F103,rawEnd,$G103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3" s="2">
        <f>LET(id,$A103,code,UPPER(TRIM($D103)),rawStart,$F103,rawEnd,$G103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3" s="2">
        <f>LET(id,$A103,code,UPPER(TRIM($D103)),rawStart,$F103,rawEnd,$G103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3" s="2">
        <f>LET(id,$A103,code,UPPER(TRIM($D103)),rawStart,$F103,rawEnd,$G103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3" s="2">
        <f>LET(id,$A103,code,UPPER(TRIM($D103)),rawStart,$F103,rawEnd,$G103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3" s="2">
        <f>LET(id,$A103,code,UPPER(TRIM($D103)),rawStart,$F103,rawEnd,$G103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3" s="2">
        <f>LET(id,$A103,code,UPPER(TRIM($D103)),rawStart,$F103,rawEnd,$G103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3" s="2">
        <f>LET(id,$A103,code,UPPER(TRIM($D103)),rawStart,$F103,rawEnd,$G103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3" s="2">
        <f>LET(id,$A103,code,UPPER(TRIM($D103)),rawStart,$F103,rawEnd,$G103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3" s="2">
        <f>LET(id,$A103,code,UPPER(TRIM($D103)),rawStart,$F103,rawEnd,$G103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3" s="2">
        <f>LET(id,$A103,code,UPPER(TRIM($D103)),rawStart,$F103,rawEnd,$G103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3" s="2">
        <f>LET(id,$A103,code,UPPER(TRIM($D103)),rawStart,$F103,rawEnd,$G103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3" s="2">
        <f>LET(id,$A103,code,UPPER(TRIM($D103)),rawStart,$F103,rawEnd,$G103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3" s="2">
        <f>LET(id,$A103,code,UPPER(TRIM($D103)),rawStart,$F103,rawEnd,$G103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3" s="2">
        <f>LET(id,$A103,code,UPPER(TRIM($D103)),rawStart,$F103,rawEnd,$G103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3" s="2">
        <f>LET(id,$A103,code,UPPER(TRIM($D103)),rawStart,$F103,rawEnd,$G103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3" s="2">
        <f>LET(id,$A103,code,UPPER(TRIM($D103)),rawStart,$F103,rawEnd,$G103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3" s="2">
        <f>LET(id,$A103,code,UPPER(TRIM($D103)),rawStart,$F103,rawEnd,$G103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3" s="2">
        <f>LET(id,$A103,code,UPPER(TRIM($D103)),rawStart,$F103,rawEnd,$G103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3" s="2">
        <f>LET(id,$A103,code,UPPER(TRIM($D103)),rawStart,$F103,rawEnd,$G103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3" s="2">
        <f>LET(id,$A103,code,UPPER(TRIM($D103)),rawStart,$F103,rawEnd,$G103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3" s="2">
        <f>LET(id,$A103,code,UPPER(TRIM($D103)),rawStart,$F103,rawEnd,$G103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3" s="2">
        <f>LET(id,$A103,code,UPPER(TRIM($D103)),rawStart,$F103,rawEnd,$G103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3" s="2">
        <f>LET(id,$A103,code,UPPER(TRIM($D103)),rawStart,$F103,rawEnd,$G103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3" s="2">
        <f>LET(id,$A103,code,UPPER(TRIM($D103)),rawStart,$F103,rawEnd,$G103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3" s="2">
        <f>LET(id,$A103,code,UPPER(TRIM($D103)),rawStart,$F103,rawEnd,$G103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3" s="2">
        <f>LET(id,$A103,code,UPPER(TRIM($D103)),rawStart,$F103,rawEnd,$G103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3" s="2">
        <f>LET(id,$A103,code,UPPER(TRIM($D103)),rawStart,$F103,rawEnd,$G103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3" s="2">
        <f>LET(id,$A103,code,UPPER(TRIM($D103)),rawStart,$F103,rawEnd,$G103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3" s="2">
        <f>LET(id,$A103,code,UPPER(TRIM($D103)),rawStart,$F103,rawEnd,$G103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3" s="2">
        <f>LET(id,$A103,code,UPPER(TRIM($D103)),rawStart,$F103,rawEnd,$G103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3" s="2">
        <f>LET(id,$A103,code,UPPER(TRIM($D103)),rawStart,$F103,rawEnd,$G103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3" s="2">
        <f>LET(id,$A103,code,UPPER(TRIM($D103)),rawStart,$F103,rawEnd,$G103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3" s="2">
        <f>LET(id,$A103,code,UPPER(TRIM($D103)),rawStart,$F103,rawEnd,$G103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3" s="2">
        <f>LET(id,$A103,code,UPPER(TRIM($D103)),rawStart,$F103,rawEnd,$G103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3" s="2">
        <f>LET(id,$A103,code,UPPER(TRIM($D103)),rawStart,$F103,rawEnd,$G103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3" s="2">
        <f>LET(id,$A103,code,UPPER(TRIM($D103)),rawStart,$F103,rawEnd,$G103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3" s="2">
        <f>LET(id,$A103,code,UPPER(TRIM($D103)),rawStart,$F103,rawEnd,$G103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3" s="2">
        <f>LET(id,$A103,code,UPPER(TRIM($D103)),rawStart,$F103,rawEnd,$G103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3" s="2">
        <f>LET(id,$A103,code,UPPER(TRIM($D103)),rawStart,$F103,rawEnd,$G103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3" s="2">
        <f>LET(id,$A103,code,UPPER(TRIM($D103)),rawStart,$F103,rawEnd,$G103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3" s="2">
        <f>LET(id,$A103,code,UPPER(TRIM($D103)),rawStart,$F103,rawEnd,$G103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03" s="2">
        <f>Calc_Engine!BD103</f>
        <v/>
      </c>
    </row>
    <row r="104">
      <c r="A104" s="2">
        <f>Calc_Engine!A104</f>
        <v/>
      </c>
      <c r="B104" s="2">
        <f>Calc_Engine!B104</f>
        <v/>
      </c>
      <c r="C104" s="2">
        <f>Calc_Engine!C104</f>
        <v/>
      </c>
      <c r="D104" s="2">
        <f>Calc_Engine!D104</f>
        <v/>
      </c>
      <c r="E104" s="4">
        <f>Calc_Engine!E104</f>
        <v/>
      </c>
      <c r="F104" s="5">
        <f>Calc_Engine!F104</f>
        <v/>
      </c>
      <c r="G104" s="5">
        <f>Calc_Engine!G104</f>
        <v/>
      </c>
      <c r="H104" s="2">
        <f>LET(id,$A104,code,UPPER(TRIM($D104)),rawStart,$F104,rawEnd,$G104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4" s="2">
        <f>LET(id,$A104,code,UPPER(TRIM($D104)),rawStart,$F104,rawEnd,$G104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4" s="2">
        <f>LET(id,$A104,code,UPPER(TRIM($D104)),rawStart,$F104,rawEnd,$G104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4" s="2">
        <f>LET(id,$A104,code,UPPER(TRIM($D104)),rawStart,$F104,rawEnd,$G104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4" s="2">
        <f>LET(id,$A104,code,UPPER(TRIM($D104)),rawStart,$F104,rawEnd,$G104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4" s="2">
        <f>LET(id,$A104,code,UPPER(TRIM($D104)),rawStart,$F104,rawEnd,$G104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4" s="2">
        <f>LET(id,$A104,code,UPPER(TRIM($D104)),rawStart,$F104,rawEnd,$G104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4" s="2">
        <f>LET(id,$A104,code,UPPER(TRIM($D104)),rawStart,$F104,rawEnd,$G104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4" s="2">
        <f>LET(id,$A104,code,UPPER(TRIM($D104)),rawStart,$F104,rawEnd,$G104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4" s="2">
        <f>LET(id,$A104,code,UPPER(TRIM($D104)),rawStart,$F104,rawEnd,$G104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4" s="2">
        <f>LET(id,$A104,code,UPPER(TRIM($D104)),rawStart,$F104,rawEnd,$G104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4" s="2">
        <f>LET(id,$A104,code,UPPER(TRIM($D104)),rawStart,$F104,rawEnd,$G104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4" s="2">
        <f>LET(id,$A104,code,UPPER(TRIM($D104)),rawStart,$F104,rawEnd,$G104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4" s="2">
        <f>LET(id,$A104,code,UPPER(TRIM($D104)),rawStart,$F104,rawEnd,$G104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4" s="2">
        <f>LET(id,$A104,code,UPPER(TRIM($D104)),rawStart,$F104,rawEnd,$G104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4" s="2">
        <f>LET(id,$A104,code,UPPER(TRIM($D104)),rawStart,$F104,rawEnd,$G104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4" s="2">
        <f>LET(id,$A104,code,UPPER(TRIM($D104)),rawStart,$F104,rawEnd,$G104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4" s="2">
        <f>LET(id,$A104,code,UPPER(TRIM($D104)),rawStart,$F104,rawEnd,$G104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4" s="2">
        <f>LET(id,$A104,code,UPPER(TRIM($D104)),rawStart,$F104,rawEnd,$G104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4" s="2">
        <f>LET(id,$A104,code,UPPER(TRIM($D104)),rawStart,$F104,rawEnd,$G104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4" s="2">
        <f>LET(id,$A104,code,UPPER(TRIM($D104)),rawStart,$F104,rawEnd,$G104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4" s="2">
        <f>LET(id,$A104,code,UPPER(TRIM($D104)),rawStart,$F104,rawEnd,$G104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4" s="2">
        <f>LET(id,$A104,code,UPPER(TRIM($D104)),rawStart,$F104,rawEnd,$G104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4" s="2">
        <f>LET(id,$A104,code,UPPER(TRIM($D104)),rawStart,$F104,rawEnd,$G104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4" s="2">
        <f>LET(id,$A104,code,UPPER(TRIM($D104)),rawStart,$F104,rawEnd,$G104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4" s="2">
        <f>LET(id,$A104,code,UPPER(TRIM($D104)),rawStart,$F104,rawEnd,$G104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4" s="2">
        <f>LET(id,$A104,code,UPPER(TRIM($D104)),rawStart,$F104,rawEnd,$G104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4" s="2">
        <f>LET(id,$A104,code,UPPER(TRIM($D104)),rawStart,$F104,rawEnd,$G104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4" s="2">
        <f>LET(id,$A104,code,UPPER(TRIM($D104)),rawStart,$F104,rawEnd,$G104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4" s="2">
        <f>LET(id,$A104,code,UPPER(TRIM($D104)),rawStart,$F104,rawEnd,$G104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4" s="2">
        <f>LET(id,$A104,code,UPPER(TRIM($D104)),rawStart,$F104,rawEnd,$G104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4" s="2">
        <f>LET(id,$A104,code,UPPER(TRIM($D104)),rawStart,$F104,rawEnd,$G104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4" s="2">
        <f>LET(id,$A104,code,UPPER(TRIM($D104)),rawStart,$F104,rawEnd,$G104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4" s="2">
        <f>LET(id,$A104,code,UPPER(TRIM($D104)),rawStart,$F104,rawEnd,$G104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4" s="2">
        <f>LET(id,$A104,code,UPPER(TRIM($D104)),rawStart,$F104,rawEnd,$G104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4" s="2">
        <f>LET(id,$A104,code,UPPER(TRIM($D104)),rawStart,$F104,rawEnd,$G104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4" s="2">
        <f>LET(id,$A104,code,UPPER(TRIM($D104)),rawStart,$F104,rawEnd,$G104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4" s="2">
        <f>LET(id,$A104,code,UPPER(TRIM($D104)),rawStart,$F104,rawEnd,$G104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4" s="2">
        <f>LET(id,$A104,code,UPPER(TRIM($D104)),rawStart,$F104,rawEnd,$G104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4" s="2">
        <f>LET(id,$A104,code,UPPER(TRIM($D104)),rawStart,$F104,rawEnd,$G104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4" s="2">
        <f>LET(id,$A104,code,UPPER(TRIM($D104)),rawStart,$F104,rawEnd,$G104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4" s="2">
        <f>LET(id,$A104,code,UPPER(TRIM($D104)),rawStart,$F104,rawEnd,$G104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4" s="2">
        <f>LET(id,$A104,code,UPPER(TRIM($D104)),rawStart,$F104,rawEnd,$G104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4" s="2">
        <f>LET(id,$A104,code,UPPER(TRIM($D104)),rawStart,$F104,rawEnd,$G104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4" s="2">
        <f>LET(id,$A104,code,UPPER(TRIM($D104)),rawStart,$F104,rawEnd,$G104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4" s="2">
        <f>LET(id,$A104,code,UPPER(TRIM($D104)),rawStart,$F104,rawEnd,$G104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4" s="2">
        <f>LET(id,$A104,code,UPPER(TRIM($D104)),rawStart,$F104,rawEnd,$G104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4" s="2">
        <f>LET(id,$A104,code,UPPER(TRIM($D104)),rawStart,$F104,rawEnd,$G104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04" s="2">
        <f>Calc_Engine!BD104</f>
        <v/>
      </c>
    </row>
    <row r="105">
      <c r="A105" s="2">
        <f>Calc_Engine!A105</f>
        <v/>
      </c>
      <c r="B105" s="2">
        <f>Calc_Engine!B105</f>
        <v/>
      </c>
      <c r="C105" s="2">
        <f>Calc_Engine!C105</f>
        <v/>
      </c>
      <c r="D105" s="2">
        <f>Calc_Engine!D105</f>
        <v/>
      </c>
      <c r="E105" s="4">
        <f>Calc_Engine!E105</f>
        <v/>
      </c>
      <c r="F105" s="5">
        <f>Calc_Engine!F105</f>
        <v/>
      </c>
      <c r="G105" s="5">
        <f>Calc_Engine!G105</f>
        <v/>
      </c>
      <c r="H105" s="2">
        <f>LET(id,$A105,code,UPPER(TRIM($D105)),rawStart,$F105,rawEnd,$G105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5" s="2">
        <f>LET(id,$A105,code,UPPER(TRIM($D105)),rawStart,$F105,rawEnd,$G105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5" s="2">
        <f>LET(id,$A105,code,UPPER(TRIM($D105)),rawStart,$F105,rawEnd,$G105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5" s="2">
        <f>LET(id,$A105,code,UPPER(TRIM($D105)),rawStart,$F105,rawEnd,$G105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5" s="2">
        <f>LET(id,$A105,code,UPPER(TRIM($D105)),rawStart,$F105,rawEnd,$G105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5" s="2">
        <f>LET(id,$A105,code,UPPER(TRIM($D105)),rawStart,$F105,rawEnd,$G105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5" s="2">
        <f>LET(id,$A105,code,UPPER(TRIM($D105)),rawStart,$F105,rawEnd,$G105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5" s="2">
        <f>LET(id,$A105,code,UPPER(TRIM($D105)),rawStart,$F105,rawEnd,$G105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5" s="2">
        <f>LET(id,$A105,code,UPPER(TRIM($D105)),rawStart,$F105,rawEnd,$G105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5" s="2">
        <f>LET(id,$A105,code,UPPER(TRIM($D105)),rawStart,$F105,rawEnd,$G105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5" s="2">
        <f>LET(id,$A105,code,UPPER(TRIM($D105)),rawStart,$F105,rawEnd,$G105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5" s="2">
        <f>LET(id,$A105,code,UPPER(TRIM($D105)),rawStart,$F105,rawEnd,$G105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5" s="2">
        <f>LET(id,$A105,code,UPPER(TRIM($D105)),rawStart,$F105,rawEnd,$G105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5" s="2">
        <f>LET(id,$A105,code,UPPER(TRIM($D105)),rawStart,$F105,rawEnd,$G105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5" s="2">
        <f>LET(id,$A105,code,UPPER(TRIM($D105)),rawStart,$F105,rawEnd,$G105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5" s="2">
        <f>LET(id,$A105,code,UPPER(TRIM($D105)),rawStart,$F105,rawEnd,$G105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5" s="2">
        <f>LET(id,$A105,code,UPPER(TRIM($D105)),rawStart,$F105,rawEnd,$G105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5" s="2">
        <f>LET(id,$A105,code,UPPER(TRIM($D105)),rawStart,$F105,rawEnd,$G105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5" s="2">
        <f>LET(id,$A105,code,UPPER(TRIM($D105)),rawStart,$F105,rawEnd,$G105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5" s="2">
        <f>LET(id,$A105,code,UPPER(TRIM($D105)),rawStart,$F105,rawEnd,$G105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5" s="2">
        <f>LET(id,$A105,code,UPPER(TRIM($D105)),rawStart,$F105,rawEnd,$G105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5" s="2">
        <f>LET(id,$A105,code,UPPER(TRIM($D105)),rawStart,$F105,rawEnd,$G105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5" s="2">
        <f>LET(id,$A105,code,UPPER(TRIM($D105)),rawStart,$F105,rawEnd,$G105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5" s="2">
        <f>LET(id,$A105,code,UPPER(TRIM($D105)),rawStart,$F105,rawEnd,$G105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5" s="2">
        <f>LET(id,$A105,code,UPPER(TRIM($D105)),rawStart,$F105,rawEnd,$G105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5" s="2">
        <f>LET(id,$A105,code,UPPER(TRIM($D105)),rawStart,$F105,rawEnd,$G105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5" s="2">
        <f>LET(id,$A105,code,UPPER(TRIM($D105)),rawStart,$F105,rawEnd,$G105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5" s="2">
        <f>LET(id,$A105,code,UPPER(TRIM($D105)),rawStart,$F105,rawEnd,$G105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5" s="2">
        <f>LET(id,$A105,code,UPPER(TRIM($D105)),rawStart,$F105,rawEnd,$G105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5" s="2">
        <f>LET(id,$A105,code,UPPER(TRIM($D105)),rawStart,$F105,rawEnd,$G105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5" s="2">
        <f>LET(id,$A105,code,UPPER(TRIM($D105)),rawStart,$F105,rawEnd,$G105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5" s="2">
        <f>LET(id,$A105,code,UPPER(TRIM($D105)),rawStart,$F105,rawEnd,$G105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5" s="2">
        <f>LET(id,$A105,code,UPPER(TRIM($D105)),rawStart,$F105,rawEnd,$G105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5" s="2">
        <f>LET(id,$A105,code,UPPER(TRIM($D105)),rawStart,$F105,rawEnd,$G105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5" s="2">
        <f>LET(id,$A105,code,UPPER(TRIM($D105)),rawStart,$F105,rawEnd,$G105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5" s="2">
        <f>LET(id,$A105,code,UPPER(TRIM($D105)),rawStart,$F105,rawEnd,$G105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5" s="2">
        <f>LET(id,$A105,code,UPPER(TRIM($D105)),rawStart,$F105,rawEnd,$G105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5" s="2">
        <f>LET(id,$A105,code,UPPER(TRIM($D105)),rawStart,$F105,rawEnd,$G105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5" s="2">
        <f>LET(id,$A105,code,UPPER(TRIM($D105)),rawStart,$F105,rawEnd,$G105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5" s="2">
        <f>LET(id,$A105,code,UPPER(TRIM($D105)),rawStart,$F105,rawEnd,$G105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5" s="2">
        <f>LET(id,$A105,code,UPPER(TRIM($D105)),rawStart,$F105,rawEnd,$G105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5" s="2">
        <f>LET(id,$A105,code,UPPER(TRIM($D105)),rawStart,$F105,rawEnd,$G105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5" s="2">
        <f>LET(id,$A105,code,UPPER(TRIM($D105)),rawStart,$F105,rawEnd,$G105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5" s="2">
        <f>LET(id,$A105,code,UPPER(TRIM($D105)),rawStart,$F105,rawEnd,$G105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5" s="2">
        <f>LET(id,$A105,code,UPPER(TRIM($D105)),rawStart,$F105,rawEnd,$G105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5" s="2">
        <f>LET(id,$A105,code,UPPER(TRIM($D105)),rawStart,$F105,rawEnd,$G105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5" s="2">
        <f>LET(id,$A105,code,UPPER(TRIM($D105)),rawStart,$F105,rawEnd,$G105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5" s="2">
        <f>LET(id,$A105,code,UPPER(TRIM($D105)),rawStart,$F105,rawEnd,$G105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05" s="2">
        <f>Calc_Engine!BD105</f>
        <v/>
      </c>
    </row>
    <row r="106">
      <c r="A106" s="2">
        <f>Calc_Engine!A106</f>
        <v/>
      </c>
      <c r="B106" s="2">
        <f>Calc_Engine!B106</f>
        <v/>
      </c>
      <c r="C106" s="2">
        <f>Calc_Engine!C106</f>
        <v/>
      </c>
      <c r="D106" s="2">
        <f>Calc_Engine!D106</f>
        <v/>
      </c>
      <c r="E106" s="4">
        <f>Calc_Engine!E106</f>
        <v/>
      </c>
      <c r="F106" s="5">
        <f>Calc_Engine!F106</f>
        <v/>
      </c>
      <c r="G106" s="5">
        <f>Calc_Engine!G106</f>
        <v/>
      </c>
      <c r="H106" s="2">
        <f>LET(id,$A106,code,UPPER(TRIM($D106)),rawStart,$F106,rawEnd,$G106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6" s="2">
        <f>LET(id,$A106,code,UPPER(TRIM($D106)),rawStart,$F106,rawEnd,$G106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6" s="2">
        <f>LET(id,$A106,code,UPPER(TRIM($D106)),rawStart,$F106,rawEnd,$G106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6" s="2">
        <f>LET(id,$A106,code,UPPER(TRIM($D106)),rawStart,$F106,rawEnd,$G106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6" s="2">
        <f>LET(id,$A106,code,UPPER(TRIM($D106)),rawStart,$F106,rawEnd,$G106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6" s="2">
        <f>LET(id,$A106,code,UPPER(TRIM($D106)),rawStart,$F106,rawEnd,$G106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6" s="2">
        <f>LET(id,$A106,code,UPPER(TRIM($D106)),rawStart,$F106,rawEnd,$G106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6" s="2">
        <f>LET(id,$A106,code,UPPER(TRIM($D106)),rawStart,$F106,rawEnd,$G106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6" s="2">
        <f>LET(id,$A106,code,UPPER(TRIM($D106)),rawStart,$F106,rawEnd,$G106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6" s="2">
        <f>LET(id,$A106,code,UPPER(TRIM($D106)),rawStart,$F106,rawEnd,$G106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6" s="2">
        <f>LET(id,$A106,code,UPPER(TRIM($D106)),rawStart,$F106,rawEnd,$G106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6" s="2">
        <f>LET(id,$A106,code,UPPER(TRIM($D106)),rawStart,$F106,rawEnd,$G106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6" s="2">
        <f>LET(id,$A106,code,UPPER(TRIM($D106)),rawStart,$F106,rawEnd,$G106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6" s="2">
        <f>LET(id,$A106,code,UPPER(TRIM($D106)),rawStart,$F106,rawEnd,$G106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6" s="2">
        <f>LET(id,$A106,code,UPPER(TRIM($D106)),rawStart,$F106,rawEnd,$G106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6" s="2">
        <f>LET(id,$A106,code,UPPER(TRIM($D106)),rawStart,$F106,rawEnd,$G106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6" s="2">
        <f>LET(id,$A106,code,UPPER(TRIM($D106)),rawStart,$F106,rawEnd,$G106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6" s="2">
        <f>LET(id,$A106,code,UPPER(TRIM($D106)),rawStart,$F106,rawEnd,$G106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6" s="2">
        <f>LET(id,$A106,code,UPPER(TRIM($D106)),rawStart,$F106,rawEnd,$G106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6" s="2">
        <f>LET(id,$A106,code,UPPER(TRIM($D106)),rawStart,$F106,rawEnd,$G106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6" s="2">
        <f>LET(id,$A106,code,UPPER(TRIM($D106)),rawStart,$F106,rawEnd,$G106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6" s="2">
        <f>LET(id,$A106,code,UPPER(TRIM($D106)),rawStart,$F106,rawEnd,$G106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6" s="2">
        <f>LET(id,$A106,code,UPPER(TRIM($D106)),rawStart,$F106,rawEnd,$G106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6" s="2">
        <f>LET(id,$A106,code,UPPER(TRIM($D106)),rawStart,$F106,rawEnd,$G106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6" s="2">
        <f>LET(id,$A106,code,UPPER(TRIM($D106)),rawStart,$F106,rawEnd,$G106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6" s="2">
        <f>LET(id,$A106,code,UPPER(TRIM($D106)),rawStart,$F106,rawEnd,$G106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6" s="2">
        <f>LET(id,$A106,code,UPPER(TRIM($D106)),rawStart,$F106,rawEnd,$G106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6" s="2">
        <f>LET(id,$A106,code,UPPER(TRIM($D106)),rawStart,$F106,rawEnd,$G106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6" s="2">
        <f>LET(id,$A106,code,UPPER(TRIM($D106)),rawStart,$F106,rawEnd,$G106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6" s="2">
        <f>LET(id,$A106,code,UPPER(TRIM($D106)),rawStart,$F106,rawEnd,$G106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6" s="2">
        <f>LET(id,$A106,code,UPPER(TRIM($D106)),rawStart,$F106,rawEnd,$G106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6" s="2">
        <f>LET(id,$A106,code,UPPER(TRIM($D106)),rawStart,$F106,rawEnd,$G106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6" s="2">
        <f>LET(id,$A106,code,UPPER(TRIM($D106)),rawStart,$F106,rawEnd,$G106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6" s="2">
        <f>LET(id,$A106,code,UPPER(TRIM($D106)),rawStart,$F106,rawEnd,$G106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6" s="2">
        <f>LET(id,$A106,code,UPPER(TRIM($D106)),rawStart,$F106,rawEnd,$G106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6" s="2">
        <f>LET(id,$A106,code,UPPER(TRIM($D106)),rawStart,$F106,rawEnd,$G106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6" s="2">
        <f>LET(id,$A106,code,UPPER(TRIM($D106)),rawStart,$F106,rawEnd,$G106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6" s="2">
        <f>LET(id,$A106,code,UPPER(TRIM($D106)),rawStart,$F106,rawEnd,$G106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6" s="2">
        <f>LET(id,$A106,code,UPPER(TRIM($D106)),rawStart,$F106,rawEnd,$G106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6" s="2">
        <f>LET(id,$A106,code,UPPER(TRIM($D106)),rawStart,$F106,rawEnd,$G106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6" s="2">
        <f>LET(id,$A106,code,UPPER(TRIM($D106)),rawStart,$F106,rawEnd,$G106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6" s="2">
        <f>LET(id,$A106,code,UPPER(TRIM($D106)),rawStart,$F106,rawEnd,$G106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6" s="2">
        <f>LET(id,$A106,code,UPPER(TRIM($D106)),rawStart,$F106,rawEnd,$G106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6" s="2">
        <f>LET(id,$A106,code,UPPER(TRIM($D106)),rawStart,$F106,rawEnd,$G106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6" s="2">
        <f>LET(id,$A106,code,UPPER(TRIM($D106)),rawStart,$F106,rawEnd,$G106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6" s="2">
        <f>LET(id,$A106,code,UPPER(TRIM($D106)),rawStart,$F106,rawEnd,$G106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6" s="2">
        <f>LET(id,$A106,code,UPPER(TRIM($D106)),rawStart,$F106,rawEnd,$G106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6" s="2">
        <f>LET(id,$A106,code,UPPER(TRIM($D106)),rawStart,$F106,rawEnd,$G106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06" s="2">
        <f>Calc_Engine!BD106</f>
        <v/>
      </c>
    </row>
    <row r="107">
      <c r="A107" s="2">
        <f>Calc_Engine!A107</f>
        <v/>
      </c>
      <c r="B107" s="2">
        <f>Calc_Engine!B107</f>
        <v/>
      </c>
      <c r="C107" s="2">
        <f>Calc_Engine!C107</f>
        <v/>
      </c>
      <c r="D107" s="2">
        <f>Calc_Engine!D107</f>
        <v/>
      </c>
      <c r="E107" s="4">
        <f>Calc_Engine!E107</f>
        <v/>
      </c>
      <c r="F107" s="5">
        <f>Calc_Engine!F107</f>
        <v/>
      </c>
      <c r="G107" s="5">
        <f>Calc_Engine!G107</f>
        <v/>
      </c>
      <c r="H107" s="2">
        <f>LET(id,$A107,code,UPPER(TRIM($D107)),rawStart,$F107,rawEnd,$G107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7" s="2">
        <f>LET(id,$A107,code,UPPER(TRIM($D107)),rawStart,$F107,rawEnd,$G107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7" s="2">
        <f>LET(id,$A107,code,UPPER(TRIM($D107)),rawStart,$F107,rawEnd,$G107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7" s="2">
        <f>LET(id,$A107,code,UPPER(TRIM($D107)),rawStart,$F107,rawEnd,$G107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7" s="2">
        <f>LET(id,$A107,code,UPPER(TRIM($D107)),rawStart,$F107,rawEnd,$G107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7" s="2">
        <f>LET(id,$A107,code,UPPER(TRIM($D107)),rawStart,$F107,rawEnd,$G107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7" s="2">
        <f>LET(id,$A107,code,UPPER(TRIM($D107)),rawStart,$F107,rawEnd,$G107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7" s="2">
        <f>LET(id,$A107,code,UPPER(TRIM($D107)),rawStart,$F107,rawEnd,$G107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7" s="2">
        <f>LET(id,$A107,code,UPPER(TRIM($D107)),rawStart,$F107,rawEnd,$G107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7" s="2">
        <f>LET(id,$A107,code,UPPER(TRIM($D107)),rawStart,$F107,rawEnd,$G107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7" s="2">
        <f>LET(id,$A107,code,UPPER(TRIM($D107)),rawStart,$F107,rawEnd,$G107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7" s="2">
        <f>LET(id,$A107,code,UPPER(TRIM($D107)),rawStart,$F107,rawEnd,$G107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7" s="2">
        <f>LET(id,$A107,code,UPPER(TRIM($D107)),rawStart,$F107,rawEnd,$G107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7" s="2">
        <f>LET(id,$A107,code,UPPER(TRIM($D107)),rawStart,$F107,rawEnd,$G107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7" s="2">
        <f>LET(id,$A107,code,UPPER(TRIM($D107)),rawStart,$F107,rawEnd,$G107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7" s="2">
        <f>LET(id,$A107,code,UPPER(TRIM($D107)),rawStart,$F107,rawEnd,$G107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7" s="2">
        <f>LET(id,$A107,code,UPPER(TRIM($D107)),rawStart,$F107,rawEnd,$G107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7" s="2">
        <f>LET(id,$A107,code,UPPER(TRIM($D107)),rawStart,$F107,rawEnd,$G107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7" s="2">
        <f>LET(id,$A107,code,UPPER(TRIM($D107)),rawStart,$F107,rawEnd,$G107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7" s="2">
        <f>LET(id,$A107,code,UPPER(TRIM($D107)),rawStart,$F107,rawEnd,$G107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7" s="2">
        <f>LET(id,$A107,code,UPPER(TRIM($D107)),rawStart,$F107,rawEnd,$G107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7" s="2">
        <f>LET(id,$A107,code,UPPER(TRIM($D107)),rawStart,$F107,rawEnd,$G107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7" s="2">
        <f>LET(id,$A107,code,UPPER(TRIM($D107)),rawStart,$F107,rawEnd,$G107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7" s="2">
        <f>LET(id,$A107,code,UPPER(TRIM($D107)),rawStart,$F107,rawEnd,$G107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7" s="2">
        <f>LET(id,$A107,code,UPPER(TRIM($D107)),rawStart,$F107,rawEnd,$G107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7" s="2">
        <f>LET(id,$A107,code,UPPER(TRIM($D107)),rawStart,$F107,rawEnd,$G107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7" s="2">
        <f>LET(id,$A107,code,UPPER(TRIM($D107)),rawStart,$F107,rawEnd,$G107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7" s="2">
        <f>LET(id,$A107,code,UPPER(TRIM($D107)),rawStart,$F107,rawEnd,$G107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7" s="2">
        <f>LET(id,$A107,code,UPPER(TRIM($D107)),rawStart,$F107,rawEnd,$G107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7" s="2">
        <f>LET(id,$A107,code,UPPER(TRIM($D107)),rawStart,$F107,rawEnd,$G107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7" s="2">
        <f>LET(id,$A107,code,UPPER(TRIM($D107)),rawStart,$F107,rawEnd,$G107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7" s="2">
        <f>LET(id,$A107,code,UPPER(TRIM($D107)),rawStart,$F107,rawEnd,$G107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7" s="2">
        <f>LET(id,$A107,code,UPPER(TRIM($D107)),rawStart,$F107,rawEnd,$G107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7" s="2">
        <f>LET(id,$A107,code,UPPER(TRIM($D107)),rawStart,$F107,rawEnd,$G107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7" s="2">
        <f>LET(id,$A107,code,UPPER(TRIM($D107)),rawStart,$F107,rawEnd,$G107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7" s="2">
        <f>LET(id,$A107,code,UPPER(TRIM($D107)),rawStart,$F107,rawEnd,$G107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7" s="2">
        <f>LET(id,$A107,code,UPPER(TRIM($D107)),rawStart,$F107,rawEnd,$G107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7" s="2">
        <f>LET(id,$A107,code,UPPER(TRIM($D107)),rawStart,$F107,rawEnd,$G107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7" s="2">
        <f>LET(id,$A107,code,UPPER(TRIM($D107)),rawStart,$F107,rawEnd,$G107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7" s="2">
        <f>LET(id,$A107,code,UPPER(TRIM($D107)),rawStart,$F107,rawEnd,$G107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7" s="2">
        <f>LET(id,$A107,code,UPPER(TRIM($D107)),rawStart,$F107,rawEnd,$G107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7" s="2">
        <f>LET(id,$A107,code,UPPER(TRIM($D107)),rawStart,$F107,rawEnd,$G107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7" s="2">
        <f>LET(id,$A107,code,UPPER(TRIM($D107)),rawStart,$F107,rawEnd,$G107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7" s="2">
        <f>LET(id,$A107,code,UPPER(TRIM($D107)),rawStart,$F107,rawEnd,$G107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7" s="2">
        <f>LET(id,$A107,code,UPPER(TRIM($D107)),rawStart,$F107,rawEnd,$G107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7" s="2">
        <f>LET(id,$A107,code,UPPER(TRIM($D107)),rawStart,$F107,rawEnd,$G107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7" s="2">
        <f>LET(id,$A107,code,UPPER(TRIM($D107)),rawStart,$F107,rawEnd,$G107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7" s="2">
        <f>LET(id,$A107,code,UPPER(TRIM($D107)),rawStart,$F107,rawEnd,$G107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07" s="2">
        <f>Calc_Engine!BD107</f>
        <v/>
      </c>
    </row>
    <row r="108">
      <c r="A108" s="2">
        <f>Calc_Engine!A108</f>
        <v/>
      </c>
      <c r="B108" s="2">
        <f>Calc_Engine!B108</f>
        <v/>
      </c>
      <c r="C108" s="2">
        <f>Calc_Engine!C108</f>
        <v/>
      </c>
      <c r="D108" s="2">
        <f>Calc_Engine!D108</f>
        <v/>
      </c>
      <c r="E108" s="4">
        <f>Calc_Engine!E108</f>
        <v/>
      </c>
      <c r="F108" s="5">
        <f>Calc_Engine!F108</f>
        <v/>
      </c>
      <c r="G108" s="5">
        <f>Calc_Engine!G108</f>
        <v/>
      </c>
      <c r="H108" s="2">
        <f>LET(id,$A108,code,UPPER(TRIM($D108)),rawStart,$F108,rawEnd,$G108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8" s="2">
        <f>LET(id,$A108,code,UPPER(TRIM($D108)),rawStart,$F108,rawEnd,$G108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8" s="2">
        <f>LET(id,$A108,code,UPPER(TRIM($D108)),rawStart,$F108,rawEnd,$G108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8" s="2">
        <f>LET(id,$A108,code,UPPER(TRIM($D108)),rawStart,$F108,rawEnd,$G108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8" s="2">
        <f>LET(id,$A108,code,UPPER(TRIM($D108)),rawStart,$F108,rawEnd,$G108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8" s="2">
        <f>LET(id,$A108,code,UPPER(TRIM($D108)),rawStart,$F108,rawEnd,$G108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8" s="2">
        <f>LET(id,$A108,code,UPPER(TRIM($D108)),rawStart,$F108,rawEnd,$G108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8" s="2">
        <f>LET(id,$A108,code,UPPER(TRIM($D108)),rawStart,$F108,rawEnd,$G108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8" s="2">
        <f>LET(id,$A108,code,UPPER(TRIM($D108)),rawStart,$F108,rawEnd,$G108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8" s="2">
        <f>LET(id,$A108,code,UPPER(TRIM($D108)),rawStart,$F108,rawEnd,$G108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8" s="2">
        <f>LET(id,$A108,code,UPPER(TRIM($D108)),rawStart,$F108,rawEnd,$G108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8" s="2">
        <f>LET(id,$A108,code,UPPER(TRIM($D108)),rawStart,$F108,rawEnd,$G108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8" s="2">
        <f>LET(id,$A108,code,UPPER(TRIM($D108)),rawStart,$F108,rawEnd,$G108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8" s="2">
        <f>LET(id,$A108,code,UPPER(TRIM($D108)),rawStart,$F108,rawEnd,$G108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8" s="2">
        <f>LET(id,$A108,code,UPPER(TRIM($D108)),rawStart,$F108,rawEnd,$G108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8" s="2">
        <f>LET(id,$A108,code,UPPER(TRIM($D108)),rawStart,$F108,rawEnd,$G108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8" s="2">
        <f>LET(id,$A108,code,UPPER(TRIM($D108)),rawStart,$F108,rawEnd,$G108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8" s="2">
        <f>LET(id,$A108,code,UPPER(TRIM($D108)),rawStart,$F108,rawEnd,$G108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8" s="2">
        <f>LET(id,$A108,code,UPPER(TRIM($D108)),rawStart,$F108,rawEnd,$G108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8" s="2">
        <f>LET(id,$A108,code,UPPER(TRIM($D108)),rawStart,$F108,rawEnd,$G108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8" s="2">
        <f>LET(id,$A108,code,UPPER(TRIM($D108)),rawStart,$F108,rawEnd,$G108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8" s="2">
        <f>LET(id,$A108,code,UPPER(TRIM($D108)),rawStart,$F108,rawEnd,$G108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8" s="2">
        <f>LET(id,$A108,code,UPPER(TRIM($D108)),rawStart,$F108,rawEnd,$G108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8" s="2">
        <f>LET(id,$A108,code,UPPER(TRIM($D108)),rawStart,$F108,rawEnd,$G108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8" s="2">
        <f>LET(id,$A108,code,UPPER(TRIM($D108)),rawStart,$F108,rawEnd,$G108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8" s="2">
        <f>LET(id,$A108,code,UPPER(TRIM($D108)),rawStart,$F108,rawEnd,$G108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8" s="2">
        <f>LET(id,$A108,code,UPPER(TRIM($D108)),rawStart,$F108,rawEnd,$G108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8" s="2">
        <f>LET(id,$A108,code,UPPER(TRIM($D108)),rawStart,$F108,rawEnd,$G108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8" s="2">
        <f>LET(id,$A108,code,UPPER(TRIM($D108)),rawStart,$F108,rawEnd,$G108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8" s="2">
        <f>LET(id,$A108,code,UPPER(TRIM($D108)),rawStart,$F108,rawEnd,$G108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8" s="2">
        <f>LET(id,$A108,code,UPPER(TRIM($D108)),rawStart,$F108,rawEnd,$G108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8" s="2">
        <f>LET(id,$A108,code,UPPER(TRIM($D108)),rawStart,$F108,rawEnd,$G108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8" s="2">
        <f>LET(id,$A108,code,UPPER(TRIM($D108)),rawStart,$F108,rawEnd,$G108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8" s="2">
        <f>LET(id,$A108,code,UPPER(TRIM($D108)),rawStart,$F108,rawEnd,$G108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8" s="2">
        <f>LET(id,$A108,code,UPPER(TRIM($D108)),rawStart,$F108,rawEnd,$G108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8" s="2">
        <f>LET(id,$A108,code,UPPER(TRIM($D108)),rawStart,$F108,rawEnd,$G108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8" s="2">
        <f>LET(id,$A108,code,UPPER(TRIM($D108)),rawStart,$F108,rawEnd,$G108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8" s="2">
        <f>LET(id,$A108,code,UPPER(TRIM($D108)),rawStart,$F108,rawEnd,$G108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8" s="2">
        <f>LET(id,$A108,code,UPPER(TRIM($D108)),rawStart,$F108,rawEnd,$G108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8" s="2">
        <f>LET(id,$A108,code,UPPER(TRIM($D108)),rawStart,$F108,rawEnd,$G108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8" s="2">
        <f>LET(id,$A108,code,UPPER(TRIM($D108)),rawStart,$F108,rawEnd,$G108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8" s="2">
        <f>LET(id,$A108,code,UPPER(TRIM($D108)),rawStart,$F108,rawEnd,$G108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8" s="2">
        <f>LET(id,$A108,code,UPPER(TRIM($D108)),rawStart,$F108,rawEnd,$G108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8" s="2">
        <f>LET(id,$A108,code,UPPER(TRIM($D108)),rawStart,$F108,rawEnd,$G108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8" s="2">
        <f>LET(id,$A108,code,UPPER(TRIM($D108)),rawStart,$F108,rawEnd,$G108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8" s="2">
        <f>LET(id,$A108,code,UPPER(TRIM($D108)),rawStart,$F108,rawEnd,$G108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8" s="2">
        <f>LET(id,$A108,code,UPPER(TRIM($D108)),rawStart,$F108,rawEnd,$G108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8" s="2">
        <f>LET(id,$A108,code,UPPER(TRIM($D108)),rawStart,$F108,rawEnd,$G108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08" s="2">
        <f>Calc_Engine!BD108</f>
        <v/>
      </c>
    </row>
    <row r="109">
      <c r="A109" s="2">
        <f>Calc_Engine!A109</f>
        <v/>
      </c>
      <c r="B109" s="2">
        <f>Calc_Engine!B109</f>
        <v/>
      </c>
      <c r="C109" s="2">
        <f>Calc_Engine!C109</f>
        <v/>
      </c>
      <c r="D109" s="2">
        <f>Calc_Engine!D109</f>
        <v/>
      </c>
      <c r="E109" s="4">
        <f>Calc_Engine!E109</f>
        <v/>
      </c>
      <c r="F109" s="5">
        <f>Calc_Engine!F109</f>
        <v/>
      </c>
      <c r="G109" s="5">
        <f>Calc_Engine!G109</f>
        <v/>
      </c>
      <c r="H109" s="2">
        <f>LET(id,$A109,code,UPPER(TRIM($D109)),rawStart,$F109,rawEnd,$G109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9" s="2">
        <f>LET(id,$A109,code,UPPER(TRIM($D109)),rawStart,$F109,rawEnd,$G109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9" s="2">
        <f>LET(id,$A109,code,UPPER(TRIM($D109)),rawStart,$F109,rawEnd,$G109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9" s="2">
        <f>LET(id,$A109,code,UPPER(TRIM($D109)),rawStart,$F109,rawEnd,$G109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9" s="2">
        <f>LET(id,$A109,code,UPPER(TRIM($D109)),rawStart,$F109,rawEnd,$G109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9" s="2">
        <f>LET(id,$A109,code,UPPER(TRIM($D109)),rawStart,$F109,rawEnd,$G109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9" s="2">
        <f>LET(id,$A109,code,UPPER(TRIM($D109)),rawStart,$F109,rawEnd,$G109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9" s="2">
        <f>LET(id,$A109,code,UPPER(TRIM($D109)),rawStart,$F109,rawEnd,$G109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9" s="2">
        <f>LET(id,$A109,code,UPPER(TRIM($D109)),rawStart,$F109,rawEnd,$G109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9" s="2">
        <f>LET(id,$A109,code,UPPER(TRIM($D109)),rawStart,$F109,rawEnd,$G109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9" s="2">
        <f>LET(id,$A109,code,UPPER(TRIM($D109)),rawStart,$F109,rawEnd,$G109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9" s="2">
        <f>LET(id,$A109,code,UPPER(TRIM($D109)),rawStart,$F109,rawEnd,$G109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9" s="2">
        <f>LET(id,$A109,code,UPPER(TRIM($D109)),rawStart,$F109,rawEnd,$G109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9" s="2">
        <f>LET(id,$A109,code,UPPER(TRIM($D109)),rawStart,$F109,rawEnd,$G109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9" s="2">
        <f>LET(id,$A109,code,UPPER(TRIM($D109)),rawStart,$F109,rawEnd,$G109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9" s="2">
        <f>LET(id,$A109,code,UPPER(TRIM($D109)),rawStart,$F109,rawEnd,$G109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9" s="2">
        <f>LET(id,$A109,code,UPPER(TRIM($D109)),rawStart,$F109,rawEnd,$G109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9" s="2">
        <f>LET(id,$A109,code,UPPER(TRIM($D109)),rawStart,$F109,rawEnd,$G109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9" s="2">
        <f>LET(id,$A109,code,UPPER(TRIM($D109)),rawStart,$F109,rawEnd,$G109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9" s="2">
        <f>LET(id,$A109,code,UPPER(TRIM($D109)),rawStart,$F109,rawEnd,$G109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9" s="2">
        <f>LET(id,$A109,code,UPPER(TRIM($D109)),rawStart,$F109,rawEnd,$G109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9" s="2">
        <f>LET(id,$A109,code,UPPER(TRIM($D109)),rawStart,$F109,rawEnd,$G109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9" s="2">
        <f>LET(id,$A109,code,UPPER(TRIM($D109)),rawStart,$F109,rawEnd,$G109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9" s="2">
        <f>LET(id,$A109,code,UPPER(TRIM($D109)),rawStart,$F109,rawEnd,$G109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9" s="2">
        <f>LET(id,$A109,code,UPPER(TRIM($D109)),rawStart,$F109,rawEnd,$G109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9" s="2">
        <f>LET(id,$A109,code,UPPER(TRIM($D109)),rawStart,$F109,rawEnd,$G109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9" s="2">
        <f>LET(id,$A109,code,UPPER(TRIM($D109)),rawStart,$F109,rawEnd,$G109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9" s="2">
        <f>LET(id,$A109,code,UPPER(TRIM($D109)),rawStart,$F109,rawEnd,$G109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9" s="2">
        <f>LET(id,$A109,code,UPPER(TRIM($D109)),rawStart,$F109,rawEnd,$G109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9" s="2">
        <f>LET(id,$A109,code,UPPER(TRIM($D109)),rawStart,$F109,rawEnd,$G109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9" s="2">
        <f>LET(id,$A109,code,UPPER(TRIM($D109)),rawStart,$F109,rawEnd,$G109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9" s="2">
        <f>LET(id,$A109,code,UPPER(TRIM($D109)),rawStart,$F109,rawEnd,$G109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9" s="2">
        <f>LET(id,$A109,code,UPPER(TRIM($D109)),rawStart,$F109,rawEnd,$G109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9" s="2">
        <f>LET(id,$A109,code,UPPER(TRIM($D109)),rawStart,$F109,rawEnd,$G109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9" s="2">
        <f>LET(id,$A109,code,UPPER(TRIM($D109)),rawStart,$F109,rawEnd,$G109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9" s="2">
        <f>LET(id,$A109,code,UPPER(TRIM($D109)),rawStart,$F109,rawEnd,$G109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9" s="2">
        <f>LET(id,$A109,code,UPPER(TRIM($D109)),rawStart,$F109,rawEnd,$G109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9" s="2">
        <f>LET(id,$A109,code,UPPER(TRIM($D109)),rawStart,$F109,rawEnd,$G109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9" s="2">
        <f>LET(id,$A109,code,UPPER(TRIM($D109)),rawStart,$F109,rawEnd,$G109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9" s="2">
        <f>LET(id,$A109,code,UPPER(TRIM($D109)),rawStart,$F109,rawEnd,$G109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9" s="2">
        <f>LET(id,$A109,code,UPPER(TRIM($D109)),rawStart,$F109,rawEnd,$G109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9" s="2">
        <f>LET(id,$A109,code,UPPER(TRIM($D109)),rawStart,$F109,rawEnd,$G109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9" s="2">
        <f>LET(id,$A109,code,UPPER(TRIM($D109)),rawStart,$F109,rawEnd,$G109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9" s="2">
        <f>LET(id,$A109,code,UPPER(TRIM($D109)),rawStart,$F109,rawEnd,$G109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9" s="2">
        <f>LET(id,$A109,code,UPPER(TRIM($D109)),rawStart,$F109,rawEnd,$G109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9" s="2">
        <f>LET(id,$A109,code,UPPER(TRIM($D109)),rawStart,$F109,rawEnd,$G109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9" s="2">
        <f>LET(id,$A109,code,UPPER(TRIM($D109)),rawStart,$F109,rawEnd,$G109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9" s="2">
        <f>LET(id,$A109,code,UPPER(TRIM($D109)),rawStart,$F109,rawEnd,$G109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09" s="2">
        <f>Calc_Engine!BD109</f>
        <v/>
      </c>
    </row>
    <row r="110">
      <c r="A110" s="2">
        <f>Calc_Engine!A110</f>
        <v/>
      </c>
      <c r="B110" s="2">
        <f>Calc_Engine!B110</f>
        <v/>
      </c>
      <c r="C110" s="2">
        <f>Calc_Engine!C110</f>
        <v/>
      </c>
      <c r="D110" s="2">
        <f>Calc_Engine!D110</f>
        <v/>
      </c>
      <c r="E110" s="4">
        <f>Calc_Engine!E110</f>
        <v/>
      </c>
      <c r="F110" s="5">
        <f>Calc_Engine!F110</f>
        <v/>
      </c>
      <c r="G110" s="5">
        <f>Calc_Engine!G110</f>
        <v/>
      </c>
      <c r="H110" s="2">
        <f>LET(id,$A110,code,UPPER(TRIM($D110)),rawStart,$F110,rawEnd,$G110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0" s="2">
        <f>LET(id,$A110,code,UPPER(TRIM($D110)),rawStart,$F110,rawEnd,$G110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0" s="2">
        <f>LET(id,$A110,code,UPPER(TRIM($D110)),rawStart,$F110,rawEnd,$G110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0" s="2">
        <f>LET(id,$A110,code,UPPER(TRIM($D110)),rawStart,$F110,rawEnd,$G110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0" s="2">
        <f>LET(id,$A110,code,UPPER(TRIM($D110)),rawStart,$F110,rawEnd,$G110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0" s="2">
        <f>LET(id,$A110,code,UPPER(TRIM($D110)),rawStart,$F110,rawEnd,$G110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0" s="2">
        <f>LET(id,$A110,code,UPPER(TRIM($D110)),rawStart,$F110,rawEnd,$G110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0" s="2">
        <f>LET(id,$A110,code,UPPER(TRIM($D110)),rawStart,$F110,rawEnd,$G110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0" s="2">
        <f>LET(id,$A110,code,UPPER(TRIM($D110)),rawStart,$F110,rawEnd,$G110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0" s="2">
        <f>LET(id,$A110,code,UPPER(TRIM($D110)),rawStart,$F110,rawEnd,$G110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0" s="2">
        <f>LET(id,$A110,code,UPPER(TRIM($D110)),rawStart,$F110,rawEnd,$G110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0" s="2">
        <f>LET(id,$A110,code,UPPER(TRIM($D110)),rawStart,$F110,rawEnd,$G110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0" s="2">
        <f>LET(id,$A110,code,UPPER(TRIM($D110)),rawStart,$F110,rawEnd,$G110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0" s="2">
        <f>LET(id,$A110,code,UPPER(TRIM($D110)),rawStart,$F110,rawEnd,$G110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0" s="2">
        <f>LET(id,$A110,code,UPPER(TRIM($D110)),rawStart,$F110,rawEnd,$G110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0" s="2">
        <f>LET(id,$A110,code,UPPER(TRIM($D110)),rawStart,$F110,rawEnd,$G110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0" s="2">
        <f>LET(id,$A110,code,UPPER(TRIM($D110)),rawStart,$F110,rawEnd,$G110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0" s="2">
        <f>LET(id,$A110,code,UPPER(TRIM($D110)),rawStart,$F110,rawEnd,$G110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0" s="2">
        <f>LET(id,$A110,code,UPPER(TRIM($D110)),rawStart,$F110,rawEnd,$G110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0" s="2">
        <f>LET(id,$A110,code,UPPER(TRIM($D110)),rawStart,$F110,rawEnd,$G110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0" s="2">
        <f>LET(id,$A110,code,UPPER(TRIM($D110)),rawStart,$F110,rawEnd,$G110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0" s="2">
        <f>LET(id,$A110,code,UPPER(TRIM($D110)),rawStart,$F110,rawEnd,$G110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0" s="2">
        <f>LET(id,$A110,code,UPPER(TRIM($D110)),rawStart,$F110,rawEnd,$G110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0" s="2">
        <f>LET(id,$A110,code,UPPER(TRIM($D110)),rawStart,$F110,rawEnd,$G110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0" s="2">
        <f>LET(id,$A110,code,UPPER(TRIM($D110)),rawStart,$F110,rawEnd,$G110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0" s="2">
        <f>LET(id,$A110,code,UPPER(TRIM($D110)),rawStart,$F110,rawEnd,$G110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0" s="2">
        <f>LET(id,$A110,code,UPPER(TRIM($D110)),rawStart,$F110,rawEnd,$G110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0" s="2">
        <f>LET(id,$A110,code,UPPER(TRIM($D110)),rawStart,$F110,rawEnd,$G110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0" s="2">
        <f>LET(id,$A110,code,UPPER(TRIM($D110)),rawStart,$F110,rawEnd,$G110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0" s="2">
        <f>LET(id,$A110,code,UPPER(TRIM($D110)),rawStart,$F110,rawEnd,$G110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0" s="2">
        <f>LET(id,$A110,code,UPPER(TRIM($D110)),rawStart,$F110,rawEnd,$G110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0" s="2">
        <f>LET(id,$A110,code,UPPER(TRIM($D110)),rawStart,$F110,rawEnd,$G110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0" s="2">
        <f>LET(id,$A110,code,UPPER(TRIM($D110)),rawStart,$F110,rawEnd,$G110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0" s="2">
        <f>LET(id,$A110,code,UPPER(TRIM($D110)),rawStart,$F110,rawEnd,$G110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0" s="2">
        <f>LET(id,$A110,code,UPPER(TRIM($D110)),rawStart,$F110,rawEnd,$G110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0" s="2">
        <f>LET(id,$A110,code,UPPER(TRIM($D110)),rawStart,$F110,rawEnd,$G110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0" s="2">
        <f>LET(id,$A110,code,UPPER(TRIM($D110)),rawStart,$F110,rawEnd,$G110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0" s="2">
        <f>LET(id,$A110,code,UPPER(TRIM($D110)),rawStart,$F110,rawEnd,$G110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0" s="2">
        <f>LET(id,$A110,code,UPPER(TRIM($D110)),rawStart,$F110,rawEnd,$G110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0" s="2">
        <f>LET(id,$A110,code,UPPER(TRIM($D110)),rawStart,$F110,rawEnd,$G110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0" s="2">
        <f>LET(id,$A110,code,UPPER(TRIM($D110)),rawStart,$F110,rawEnd,$G110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0" s="2">
        <f>LET(id,$A110,code,UPPER(TRIM($D110)),rawStart,$F110,rawEnd,$G110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0" s="2">
        <f>LET(id,$A110,code,UPPER(TRIM($D110)),rawStart,$F110,rawEnd,$G110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0" s="2">
        <f>LET(id,$A110,code,UPPER(TRIM($D110)),rawStart,$F110,rawEnd,$G110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0" s="2">
        <f>LET(id,$A110,code,UPPER(TRIM($D110)),rawStart,$F110,rawEnd,$G110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0" s="2">
        <f>LET(id,$A110,code,UPPER(TRIM($D110)),rawStart,$F110,rawEnd,$G110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0" s="2">
        <f>LET(id,$A110,code,UPPER(TRIM($D110)),rawStart,$F110,rawEnd,$G110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0" s="2">
        <f>LET(id,$A110,code,UPPER(TRIM($D110)),rawStart,$F110,rawEnd,$G110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10" s="2">
        <f>Calc_Engine!BD110</f>
        <v/>
      </c>
    </row>
    <row r="111">
      <c r="A111" s="2">
        <f>Calc_Engine!A111</f>
        <v/>
      </c>
      <c r="B111" s="2">
        <f>Calc_Engine!B111</f>
        <v/>
      </c>
      <c r="C111" s="2">
        <f>Calc_Engine!C111</f>
        <v/>
      </c>
      <c r="D111" s="2">
        <f>Calc_Engine!D111</f>
        <v/>
      </c>
      <c r="E111" s="4">
        <f>Calc_Engine!E111</f>
        <v/>
      </c>
      <c r="F111" s="5">
        <f>Calc_Engine!F111</f>
        <v/>
      </c>
      <c r="G111" s="5">
        <f>Calc_Engine!G111</f>
        <v/>
      </c>
      <c r="H111" s="2">
        <f>LET(id,$A111,code,UPPER(TRIM($D111)),rawStart,$F111,rawEnd,$G111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1" s="2">
        <f>LET(id,$A111,code,UPPER(TRIM($D111)),rawStart,$F111,rawEnd,$G111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1" s="2">
        <f>LET(id,$A111,code,UPPER(TRIM($D111)),rawStart,$F111,rawEnd,$G111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1" s="2">
        <f>LET(id,$A111,code,UPPER(TRIM($D111)),rawStart,$F111,rawEnd,$G111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1" s="2">
        <f>LET(id,$A111,code,UPPER(TRIM($D111)),rawStart,$F111,rawEnd,$G111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1" s="2">
        <f>LET(id,$A111,code,UPPER(TRIM($D111)),rawStart,$F111,rawEnd,$G111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1" s="2">
        <f>LET(id,$A111,code,UPPER(TRIM($D111)),rawStart,$F111,rawEnd,$G111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1" s="2">
        <f>LET(id,$A111,code,UPPER(TRIM($D111)),rawStart,$F111,rawEnd,$G111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1" s="2">
        <f>LET(id,$A111,code,UPPER(TRIM($D111)),rawStart,$F111,rawEnd,$G111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1" s="2">
        <f>LET(id,$A111,code,UPPER(TRIM($D111)),rawStart,$F111,rawEnd,$G111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1" s="2">
        <f>LET(id,$A111,code,UPPER(TRIM($D111)),rawStart,$F111,rawEnd,$G111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1" s="2">
        <f>LET(id,$A111,code,UPPER(TRIM($D111)),rawStart,$F111,rawEnd,$G111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1" s="2">
        <f>LET(id,$A111,code,UPPER(TRIM($D111)),rawStart,$F111,rawEnd,$G111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1" s="2">
        <f>LET(id,$A111,code,UPPER(TRIM($D111)),rawStart,$F111,rawEnd,$G111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1" s="2">
        <f>LET(id,$A111,code,UPPER(TRIM($D111)),rawStart,$F111,rawEnd,$G111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1" s="2">
        <f>LET(id,$A111,code,UPPER(TRIM($D111)),rawStart,$F111,rawEnd,$G111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1" s="2">
        <f>LET(id,$A111,code,UPPER(TRIM($D111)),rawStart,$F111,rawEnd,$G111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1" s="2">
        <f>LET(id,$A111,code,UPPER(TRIM($D111)),rawStart,$F111,rawEnd,$G111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1" s="2">
        <f>LET(id,$A111,code,UPPER(TRIM($D111)),rawStart,$F111,rawEnd,$G111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1" s="2">
        <f>LET(id,$A111,code,UPPER(TRIM($D111)),rawStart,$F111,rawEnd,$G111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1" s="2">
        <f>LET(id,$A111,code,UPPER(TRIM($D111)),rawStart,$F111,rawEnd,$G111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1" s="2">
        <f>LET(id,$A111,code,UPPER(TRIM($D111)),rawStart,$F111,rawEnd,$G111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1" s="2">
        <f>LET(id,$A111,code,UPPER(TRIM($D111)),rawStart,$F111,rawEnd,$G111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1" s="2">
        <f>LET(id,$A111,code,UPPER(TRIM($D111)),rawStart,$F111,rawEnd,$G111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1" s="2">
        <f>LET(id,$A111,code,UPPER(TRIM($D111)),rawStart,$F111,rawEnd,$G111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1" s="2">
        <f>LET(id,$A111,code,UPPER(TRIM($D111)),rawStart,$F111,rawEnd,$G111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1" s="2">
        <f>LET(id,$A111,code,UPPER(TRIM($D111)),rawStart,$F111,rawEnd,$G111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1" s="2">
        <f>LET(id,$A111,code,UPPER(TRIM($D111)),rawStart,$F111,rawEnd,$G111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1" s="2">
        <f>LET(id,$A111,code,UPPER(TRIM($D111)),rawStart,$F111,rawEnd,$G111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1" s="2">
        <f>LET(id,$A111,code,UPPER(TRIM($D111)),rawStart,$F111,rawEnd,$G111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1" s="2">
        <f>LET(id,$A111,code,UPPER(TRIM($D111)),rawStart,$F111,rawEnd,$G111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1" s="2">
        <f>LET(id,$A111,code,UPPER(TRIM($D111)),rawStart,$F111,rawEnd,$G111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1" s="2">
        <f>LET(id,$A111,code,UPPER(TRIM($D111)),rawStart,$F111,rawEnd,$G111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1" s="2">
        <f>LET(id,$A111,code,UPPER(TRIM($D111)),rawStart,$F111,rawEnd,$G111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1" s="2">
        <f>LET(id,$A111,code,UPPER(TRIM($D111)),rawStart,$F111,rawEnd,$G111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1" s="2">
        <f>LET(id,$A111,code,UPPER(TRIM($D111)),rawStart,$F111,rawEnd,$G111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1" s="2">
        <f>LET(id,$A111,code,UPPER(TRIM($D111)),rawStart,$F111,rawEnd,$G111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1" s="2">
        <f>LET(id,$A111,code,UPPER(TRIM($D111)),rawStart,$F111,rawEnd,$G111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1" s="2">
        <f>LET(id,$A111,code,UPPER(TRIM($D111)),rawStart,$F111,rawEnd,$G111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1" s="2">
        <f>LET(id,$A111,code,UPPER(TRIM($D111)),rawStart,$F111,rawEnd,$G111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1" s="2">
        <f>LET(id,$A111,code,UPPER(TRIM($D111)),rawStart,$F111,rawEnd,$G111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1" s="2">
        <f>LET(id,$A111,code,UPPER(TRIM($D111)),rawStart,$F111,rawEnd,$G111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1" s="2">
        <f>LET(id,$A111,code,UPPER(TRIM($D111)),rawStart,$F111,rawEnd,$G111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1" s="2">
        <f>LET(id,$A111,code,UPPER(TRIM($D111)),rawStart,$F111,rawEnd,$G111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1" s="2">
        <f>LET(id,$A111,code,UPPER(TRIM($D111)),rawStart,$F111,rawEnd,$G111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1" s="2">
        <f>LET(id,$A111,code,UPPER(TRIM($D111)),rawStart,$F111,rawEnd,$G111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1" s="2">
        <f>LET(id,$A111,code,UPPER(TRIM($D111)),rawStart,$F111,rawEnd,$G111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1" s="2">
        <f>LET(id,$A111,code,UPPER(TRIM($D111)),rawStart,$F111,rawEnd,$G111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11" s="2">
        <f>Calc_Engine!BD111</f>
        <v/>
      </c>
    </row>
    <row r="112">
      <c r="A112" s="2">
        <f>Calc_Engine!A112</f>
        <v/>
      </c>
      <c r="B112" s="2">
        <f>Calc_Engine!B112</f>
        <v/>
      </c>
      <c r="C112" s="2">
        <f>Calc_Engine!C112</f>
        <v/>
      </c>
      <c r="D112" s="2">
        <f>Calc_Engine!D112</f>
        <v/>
      </c>
      <c r="E112" s="4">
        <f>Calc_Engine!E112</f>
        <v/>
      </c>
      <c r="F112" s="5">
        <f>Calc_Engine!F112</f>
        <v/>
      </c>
      <c r="G112" s="5">
        <f>Calc_Engine!G112</f>
        <v/>
      </c>
      <c r="H112" s="2">
        <f>LET(id,$A112,code,UPPER(TRIM($D112)),rawStart,$F112,rawEnd,$G112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2" s="2">
        <f>LET(id,$A112,code,UPPER(TRIM($D112)),rawStart,$F112,rawEnd,$G112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2" s="2">
        <f>LET(id,$A112,code,UPPER(TRIM($D112)),rawStart,$F112,rawEnd,$G112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2" s="2">
        <f>LET(id,$A112,code,UPPER(TRIM($D112)),rawStart,$F112,rawEnd,$G112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2" s="2">
        <f>LET(id,$A112,code,UPPER(TRIM($D112)),rawStart,$F112,rawEnd,$G112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2" s="2">
        <f>LET(id,$A112,code,UPPER(TRIM($D112)),rawStart,$F112,rawEnd,$G112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2" s="2">
        <f>LET(id,$A112,code,UPPER(TRIM($D112)),rawStart,$F112,rawEnd,$G112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2" s="2">
        <f>LET(id,$A112,code,UPPER(TRIM($D112)),rawStart,$F112,rawEnd,$G112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2" s="2">
        <f>LET(id,$A112,code,UPPER(TRIM($D112)),rawStart,$F112,rawEnd,$G112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2" s="2">
        <f>LET(id,$A112,code,UPPER(TRIM($D112)),rawStart,$F112,rawEnd,$G112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2" s="2">
        <f>LET(id,$A112,code,UPPER(TRIM($D112)),rawStart,$F112,rawEnd,$G112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2" s="2">
        <f>LET(id,$A112,code,UPPER(TRIM($D112)),rawStart,$F112,rawEnd,$G112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2" s="2">
        <f>LET(id,$A112,code,UPPER(TRIM($D112)),rawStart,$F112,rawEnd,$G112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2" s="2">
        <f>LET(id,$A112,code,UPPER(TRIM($D112)),rawStart,$F112,rawEnd,$G112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2" s="2">
        <f>LET(id,$A112,code,UPPER(TRIM($D112)),rawStart,$F112,rawEnd,$G112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2" s="2">
        <f>LET(id,$A112,code,UPPER(TRIM($D112)),rawStart,$F112,rawEnd,$G112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2" s="2">
        <f>LET(id,$A112,code,UPPER(TRIM($D112)),rawStart,$F112,rawEnd,$G112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2" s="2">
        <f>LET(id,$A112,code,UPPER(TRIM($D112)),rawStart,$F112,rawEnd,$G112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2" s="2">
        <f>LET(id,$A112,code,UPPER(TRIM($D112)),rawStart,$F112,rawEnd,$G112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2" s="2">
        <f>LET(id,$A112,code,UPPER(TRIM($D112)),rawStart,$F112,rawEnd,$G112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2" s="2">
        <f>LET(id,$A112,code,UPPER(TRIM($D112)),rawStart,$F112,rawEnd,$G112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2" s="2">
        <f>LET(id,$A112,code,UPPER(TRIM($D112)),rawStart,$F112,rawEnd,$G112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2" s="2">
        <f>LET(id,$A112,code,UPPER(TRIM($D112)),rawStart,$F112,rawEnd,$G112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2" s="2">
        <f>LET(id,$A112,code,UPPER(TRIM($D112)),rawStart,$F112,rawEnd,$G112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2" s="2">
        <f>LET(id,$A112,code,UPPER(TRIM($D112)),rawStart,$F112,rawEnd,$G112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2" s="2">
        <f>LET(id,$A112,code,UPPER(TRIM($D112)),rawStart,$F112,rawEnd,$G112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2" s="2">
        <f>LET(id,$A112,code,UPPER(TRIM($D112)),rawStart,$F112,rawEnd,$G112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2" s="2">
        <f>LET(id,$A112,code,UPPER(TRIM($D112)),rawStart,$F112,rawEnd,$G112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2" s="2">
        <f>LET(id,$A112,code,UPPER(TRIM($D112)),rawStart,$F112,rawEnd,$G112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2" s="2">
        <f>LET(id,$A112,code,UPPER(TRIM($D112)),rawStart,$F112,rawEnd,$G112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2" s="2">
        <f>LET(id,$A112,code,UPPER(TRIM($D112)),rawStart,$F112,rawEnd,$G112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2" s="2">
        <f>LET(id,$A112,code,UPPER(TRIM($D112)),rawStart,$F112,rawEnd,$G112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2" s="2">
        <f>LET(id,$A112,code,UPPER(TRIM($D112)),rawStart,$F112,rawEnd,$G112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2" s="2">
        <f>LET(id,$A112,code,UPPER(TRIM($D112)),rawStart,$F112,rawEnd,$G112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2" s="2">
        <f>LET(id,$A112,code,UPPER(TRIM($D112)),rawStart,$F112,rawEnd,$G112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2" s="2">
        <f>LET(id,$A112,code,UPPER(TRIM($D112)),rawStart,$F112,rawEnd,$G112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2" s="2">
        <f>LET(id,$A112,code,UPPER(TRIM($D112)),rawStart,$F112,rawEnd,$G112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2" s="2">
        <f>LET(id,$A112,code,UPPER(TRIM($D112)),rawStart,$F112,rawEnd,$G112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2" s="2">
        <f>LET(id,$A112,code,UPPER(TRIM($D112)),rawStart,$F112,rawEnd,$G112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2" s="2">
        <f>LET(id,$A112,code,UPPER(TRIM($D112)),rawStart,$F112,rawEnd,$G112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2" s="2">
        <f>LET(id,$A112,code,UPPER(TRIM($D112)),rawStart,$F112,rawEnd,$G112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2" s="2">
        <f>LET(id,$A112,code,UPPER(TRIM($D112)),rawStart,$F112,rawEnd,$G112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2" s="2">
        <f>LET(id,$A112,code,UPPER(TRIM($D112)),rawStart,$F112,rawEnd,$G112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2" s="2">
        <f>LET(id,$A112,code,UPPER(TRIM($D112)),rawStart,$F112,rawEnd,$G112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2" s="2">
        <f>LET(id,$A112,code,UPPER(TRIM($D112)),rawStart,$F112,rawEnd,$G112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2" s="2">
        <f>LET(id,$A112,code,UPPER(TRIM($D112)),rawStart,$F112,rawEnd,$G112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2" s="2">
        <f>LET(id,$A112,code,UPPER(TRIM($D112)),rawStart,$F112,rawEnd,$G112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2" s="2">
        <f>LET(id,$A112,code,UPPER(TRIM($D112)),rawStart,$F112,rawEnd,$G112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12" s="2">
        <f>Calc_Engine!BD112</f>
        <v/>
      </c>
    </row>
    <row r="113">
      <c r="A113" s="2">
        <f>Calc_Engine!A113</f>
        <v/>
      </c>
      <c r="B113" s="2">
        <f>Calc_Engine!B113</f>
        <v/>
      </c>
      <c r="C113" s="2">
        <f>Calc_Engine!C113</f>
        <v/>
      </c>
      <c r="D113" s="2">
        <f>Calc_Engine!D113</f>
        <v/>
      </c>
      <c r="E113" s="4">
        <f>Calc_Engine!E113</f>
        <v/>
      </c>
      <c r="F113" s="5">
        <f>Calc_Engine!F113</f>
        <v/>
      </c>
      <c r="G113" s="5">
        <f>Calc_Engine!G113</f>
        <v/>
      </c>
      <c r="H113" s="2">
        <f>LET(id,$A113,code,UPPER(TRIM($D113)),rawStart,$F113,rawEnd,$G113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3" s="2">
        <f>LET(id,$A113,code,UPPER(TRIM($D113)),rawStart,$F113,rawEnd,$G113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3" s="2">
        <f>LET(id,$A113,code,UPPER(TRIM($D113)),rawStart,$F113,rawEnd,$G113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3" s="2">
        <f>LET(id,$A113,code,UPPER(TRIM($D113)),rawStart,$F113,rawEnd,$G113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3" s="2">
        <f>LET(id,$A113,code,UPPER(TRIM($D113)),rawStart,$F113,rawEnd,$G113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3" s="2">
        <f>LET(id,$A113,code,UPPER(TRIM($D113)),rawStart,$F113,rawEnd,$G113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3" s="2">
        <f>LET(id,$A113,code,UPPER(TRIM($D113)),rawStart,$F113,rawEnd,$G113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3" s="2">
        <f>LET(id,$A113,code,UPPER(TRIM($D113)),rawStart,$F113,rawEnd,$G113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3" s="2">
        <f>LET(id,$A113,code,UPPER(TRIM($D113)),rawStart,$F113,rawEnd,$G113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3" s="2">
        <f>LET(id,$A113,code,UPPER(TRIM($D113)),rawStart,$F113,rawEnd,$G113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3" s="2">
        <f>LET(id,$A113,code,UPPER(TRIM($D113)),rawStart,$F113,rawEnd,$G113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3" s="2">
        <f>LET(id,$A113,code,UPPER(TRIM($D113)),rawStart,$F113,rawEnd,$G113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3" s="2">
        <f>LET(id,$A113,code,UPPER(TRIM($D113)),rawStart,$F113,rawEnd,$G113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3" s="2">
        <f>LET(id,$A113,code,UPPER(TRIM($D113)),rawStart,$F113,rawEnd,$G113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3" s="2">
        <f>LET(id,$A113,code,UPPER(TRIM($D113)),rawStart,$F113,rawEnd,$G113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3" s="2">
        <f>LET(id,$A113,code,UPPER(TRIM($D113)),rawStart,$F113,rawEnd,$G113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3" s="2">
        <f>LET(id,$A113,code,UPPER(TRIM($D113)),rawStart,$F113,rawEnd,$G113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3" s="2">
        <f>LET(id,$A113,code,UPPER(TRIM($D113)),rawStart,$F113,rawEnd,$G113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3" s="2">
        <f>LET(id,$A113,code,UPPER(TRIM($D113)),rawStart,$F113,rawEnd,$G113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3" s="2">
        <f>LET(id,$A113,code,UPPER(TRIM($D113)),rawStart,$F113,rawEnd,$G113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3" s="2">
        <f>LET(id,$A113,code,UPPER(TRIM($D113)),rawStart,$F113,rawEnd,$G113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3" s="2">
        <f>LET(id,$A113,code,UPPER(TRIM($D113)),rawStart,$F113,rawEnd,$G113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3" s="2">
        <f>LET(id,$A113,code,UPPER(TRIM($D113)),rawStart,$F113,rawEnd,$G113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3" s="2">
        <f>LET(id,$A113,code,UPPER(TRIM($D113)),rawStart,$F113,rawEnd,$G113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3" s="2">
        <f>LET(id,$A113,code,UPPER(TRIM($D113)),rawStart,$F113,rawEnd,$G113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3" s="2">
        <f>LET(id,$A113,code,UPPER(TRIM($D113)),rawStart,$F113,rawEnd,$G113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3" s="2">
        <f>LET(id,$A113,code,UPPER(TRIM($D113)),rawStart,$F113,rawEnd,$G113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3" s="2">
        <f>LET(id,$A113,code,UPPER(TRIM($D113)),rawStart,$F113,rawEnd,$G113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3" s="2">
        <f>LET(id,$A113,code,UPPER(TRIM($D113)),rawStart,$F113,rawEnd,$G113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3" s="2">
        <f>LET(id,$A113,code,UPPER(TRIM($D113)),rawStart,$F113,rawEnd,$G113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3" s="2">
        <f>LET(id,$A113,code,UPPER(TRIM($D113)),rawStart,$F113,rawEnd,$G113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3" s="2">
        <f>LET(id,$A113,code,UPPER(TRIM($D113)),rawStart,$F113,rawEnd,$G113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3" s="2">
        <f>LET(id,$A113,code,UPPER(TRIM($D113)),rawStart,$F113,rawEnd,$G113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3" s="2">
        <f>LET(id,$A113,code,UPPER(TRIM($D113)),rawStart,$F113,rawEnd,$G113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3" s="2">
        <f>LET(id,$A113,code,UPPER(TRIM($D113)),rawStart,$F113,rawEnd,$G113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3" s="2">
        <f>LET(id,$A113,code,UPPER(TRIM($D113)),rawStart,$F113,rawEnd,$G113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3" s="2">
        <f>LET(id,$A113,code,UPPER(TRIM($D113)),rawStart,$F113,rawEnd,$G113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3" s="2">
        <f>LET(id,$A113,code,UPPER(TRIM($D113)),rawStart,$F113,rawEnd,$G113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3" s="2">
        <f>LET(id,$A113,code,UPPER(TRIM($D113)),rawStart,$F113,rawEnd,$G113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3" s="2">
        <f>LET(id,$A113,code,UPPER(TRIM($D113)),rawStart,$F113,rawEnd,$G113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3" s="2">
        <f>LET(id,$A113,code,UPPER(TRIM($D113)),rawStart,$F113,rawEnd,$G113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3" s="2">
        <f>LET(id,$A113,code,UPPER(TRIM($D113)),rawStart,$F113,rawEnd,$G113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3" s="2">
        <f>LET(id,$A113,code,UPPER(TRIM($D113)),rawStart,$F113,rawEnd,$G113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3" s="2">
        <f>LET(id,$A113,code,UPPER(TRIM($D113)),rawStart,$F113,rawEnd,$G113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3" s="2">
        <f>LET(id,$A113,code,UPPER(TRIM($D113)),rawStart,$F113,rawEnd,$G113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3" s="2">
        <f>LET(id,$A113,code,UPPER(TRIM($D113)),rawStart,$F113,rawEnd,$G113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3" s="2">
        <f>LET(id,$A113,code,UPPER(TRIM($D113)),rawStart,$F113,rawEnd,$G113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3" s="2">
        <f>LET(id,$A113,code,UPPER(TRIM($D113)),rawStart,$F113,rawEnd,$G113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13" s="2">
        <f>Calc_Engine!BD113</f>
        <v/>
      </c>
    </row>
    <row r="114">
      <c r="A114" s="2">
        <f>Calc_Engine!A114</f>
        <v/>
      </c>
      <c r="B114" s="2">
        <f>Calc_Engine!B114</f>
        <v/>
      </c>
      <c r="C114" s="2">
        <f>Calc_Engine!C114</f>
        <v/>
      </c>
      <c r="D114" s="2">
        <f>Calc_Engine!D114</f>
        <v/>
      </c>
      <c r="E114" s="4">
        <f>Calc_Engine!E114</f>
        <v/>
      </c>
      <c r="F114" s="5">
        <f>Calc_Engine!F114</f>
        <v/>
      </c>
      <c r="G114" s="5">
        <f>Calc_Engine!G114</f>
        <v/>
      </c>
      <c r="H114" s="2">
        <f>LET(id,$A114,code,UPPER(TRIM($D114)),rawStart,$F114,rawEnd,$G114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4" s="2">
        <f>LET(id,$A114,code,UPPER(TRIM($D114)),rawStart,$F114,rawEnd,$G114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4" s="2">
        <f>LET(id,$A114,code,UPPER(TRIM($D114)),rawStart,$F114,rawEnd,$G114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4" s="2">
        <f>LET(id,$A114,code,UPPER(TRIM($D114)),rawStart,$F114,rawEnd,$G114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4" s="2">
        <f>LET(id,$A114,code,UPPER(TRIM($D114)),rawStart,$F114,rawEnd,$G114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4" s="2">
        <f>LET(id,$A114,code,UPPER(TRIM($D114)),rawStart,$F114,rawEnd,$G114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4" s="2">
        <f>LET(id,$A114,code,UPPER(TRIM($D114)),rawStart,$F114,rawEnd,$G114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4" s="2">
        <f>LET(id,$A114,code,UPPER(TRIM($D114)),rawStart,$F114,rawEnd,$G114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4" s="2">
        <f>LET(id,$A114,code,UPPER(TRIM($D114)),rawStart,$F114,rawEnd,$G114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4" s="2">
        <f>LET(id,$A114,code,UPPER(TRIM($D114)),rawStart,$F114,rawEnd,$G114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4" s="2">
        <f>LET(id,$A114,code,UPPER(TRIM($D114)),rawStart,$F114,rawEnd,$G114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4" s="2">
        <f>LET(id,$A114,code,UPPER(TRIM($D114)),rawStart,$F114,rawEnd,$G114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4" s="2">
        <f>LET(id,$A114,code,UPPER(TRIM($D114)),rawStart,$F114,rawEnd,$G114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4" s="2">
        <f>LET(id,$A114,code,UPPER(TRIM($D114)),rawStart,$F114,rawEnd,$G114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4" s="2">
        <f>LET(id,$A114,code,UPPER(TRIM($D114)),rawStart,$F114,rawEnd,$G114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4" s="2">
        <f>LET(id,$A114,code,UPPER(TRIM($D114)),rawStart,$F114,rawEnd,$G114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4" s="2">
        <f>LET(id,$A114,code,UPPER(TRIM($D114)),rawStart,$F114,rawEnd,$G114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4" s="2">
        <f>LET(id,$A114,code,UPPER(TRIM($D114)),rawStart,$F114,rawEnd,$G114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4" s="2">
        <f>LET(id,$A114,code,UPPER(TRIM($D114)),rawStart,$F114,rawEnd,$G114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4" s="2">
        <f>LET(id,$A114,code,UPPER(TRIM($D114)),rawStart,$F114,rawEnd,$G114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4" s="2">
        <f>LET(id,$A114,code,UPPER(TRIM($D114)),rawStart,$F114,rawEnd,$G114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4" s="2">
        <f>LET(id,$A114,code,UPPER(TRIM($D114)),rawStart,$F114,rawEnd,$G114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4" s="2">
        <f>LET(id,$A114,code,UPPER(TRIM($D114)),rawStart,$F114,rawEnd,$G114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4" s="2">
        <f>LET(id,$A114,code,UPPER(TRIM($D114)),rawStart,$F114,rawEnd,$G114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4" s="2">
        <f>LET(id,$A114,code,UPPER(TRIM($D114)),rawStart,$F114,rawEnd,$G114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4" s="2">
        <f>LET(id,$A114,code,UPPER(TRIM($D114)),rawStart,$F114,rawEnd,$G114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4" s="2">
        <f>LET(id,$A114,code,UPPER(TRIM($D114)),rawStart,$F114,rawEnd,$G114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4" s="2">
        <f>LET(id,$A114,code,UPPER(TRIM($D114)),rawStart,$F114,rawEnd,$G114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4" s="2">
        <f>LET(id,$A114,code,UPPER(TRIM($D114)),rawStart,$F114,rawEnd,$G114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4" s="2">
        <f>LET(id,$A114,code,UPPER(TRIM($D114)),rawStart,$F114,rawEnd,$G114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4" s="2">
        <f>LET(id,$A114,code,UPPER(TRIM($D114)),rawStart,$F114,rawEnd,$G114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4" s="2">
        <f>LET(id,$A114,code,UPPER(TRIM($D114)),rawStart,$F114,rawEnd,$G114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4" s="2">
        <f>LET(id,$A114,code,UPPER(TRIM($D114)),rawStart,$F114,rawEnd,$G114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4" s="2">
        <f>LET(id,$A114,code,UPPER(TRIM($D114)),rawStart,$F114,rawEnd,$G114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4" s="2">
        <f>LET(id,$A114,code,UPPER(TRIM($D114)),rawStart,$F114,rawEnd,$G114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4" s="2">
        <f>LET(id,$A114,code,UPPER(TRIM($D114)),rawStart,$F114,rawEnd,$G114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4" s="2">
        <f>LET(id,$A114,code,UPPER(TRIM($D114)),rawStart,$F114,rawEnd,$G114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4" s="2">
        <f>LET(id,$A114,code,UPPER(TRIM($D114)),rawStart,$F114,rawEnd,$G114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4" s="2">
        <f>LET(id,$A114,code,UPPER(TRIM($D114)),rawStart,$F114,rawEnd,$G114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4" s="2">
        <f>LET(id,$A114,code,UPPER(TRIM($D114)),rawStart,$F114,rawEnd,$G114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4" s="2">
        <f>LET(id,$A114,code,UPPER(TRIM($D114)),rawStart,$F114,rawEnd,$G114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4" s="2">
        <f>LET(id,$A114,code,UPPER(TRIM($D114)),rawStart,$F114,rawEnd,$G114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4" s="2">
        <f>LET(id,$A114,code,UPPER(TRIM($D114)),rawStart,$F114,rawEnd,$G114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4" s="2">
        <f>LET(id,$A114,code,UPPER(TRIM($D114)),rawStart,$F114,rawEnd,$G114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4" s="2">
        <f>LET(id,$A114,code,UPPER(TRIM($D114)),rawStart,$F114,rawEnd,$G114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4" s="2">
        <f>LET(id,$A114,code,UPPER(TRIM($D114)),rawStart,$F114,rawEnd,$G114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4" s="2">
        <f>LET(id,$A114,code,UPPER(TRIM($D114)),rawStart,$F114,rawEnd,$G114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4" s="2">
        <f>LET(id,$A114,code,UPPER(TRIM($D114)),rawStart,$F114,rawEnd,$G114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14" s="2">
        <f>Calc_Engine!BD114</f>
        <v/>
      </c>
    </row>
    <row r="115">
      <c r="A115" s="2">
        <f>Calc_Engine!A115</f>
        <v/>
      </c>
      <c r="B115" s="2">
        <f>Calc_Engine!B115</f>
        <v/>
      </c>
      <c r="C115" s="2">
        <f>Calc_Engine!C115</f>
        <v/>
      </c>
      <c r="D115" s="2">
        <f>Calc_Engine!D115</f>
        <v/>
      </c>
      <c r="E115" s="4">
        <f>Calc_Engine!E115</f>
        <v/>
      </c>
      <c r="F115" s="5">
        <f>Calc_Engine!F115</f>
        <v/>
      </c>
      <c r="G115" s="5">
        <f>Calc_Engine!G115</f>
        <v/>
      </c>
      <c r="H115" s="2">
        <f>LET(id,$A115,code,UPPER(TRIM($D115)),rawStart,$F115,rawEnd,$G115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5" s="2">
        <f>LET(id,$A115,code,UPPER(TRIM($D115)),rawStart,$F115,rawEnd,$G115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5" s="2">
        <f>LET(id,$A115,code,UPPER(TRIM($D115)),rawStart,$F115,rawEnd,$G115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5" s="2">
        <f>LET(id,$A115,code,UPPER(TRIM($D115)),rawStart,$F115,rawEnd,$G115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5" s="2">
        <f>LET(id,$A115,code,UPPER(TRIM($D115)),rawStart,$F115,rawEnd,$G115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5" s="2">
        <f>LET(id,$A115,code,UPPER(TRIM($D115)),rawStart,$F115,rawEnd,$G115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5" s="2">
        <f>LET(id,$A115,code,UPPER(TRIM($D115)),rawStart,$F115,rawEnd,$G115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5" s="2">
        <f>LET(id,$A115,code,UPPER(TRIM($D115)),rawStart,$F115,rawEnd,$G115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5" s="2">
        <f>LET(id,$A115,code,UPPER(TRIM($D115)),rawStart,$F115,rawEnd,$G115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5" s="2">
        <f>LET(id,$A115,code,UPPER(TRIM($D115)),rawStart,$F115,rawEnd,$G115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5" s="2">
        <f>LET(id,$A115,code,UPPER(TRIM($D115)),rawStart,$F115,rawEnd,$G115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5" s="2">
        <f>LET(id,$A115,code,UPPER(TRIM($D115)),rawStart,$F115,rawEnd,$G115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5" s="2">
        <f>LET(id,$A115,code,UPPER(TRIM($D115)),rawStart,$F115,rawEnd,$G115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5" s="2">
        <f>LET(id,$A115,code,UPPER(TRIM($D115)),rawStart,$F115,rawEnd,$G115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5" s="2">
        <f>LET(id,$A115,code,UPPER(TRIM($D115)),rawStart,$F115,rawEnd,$G115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5" s="2">
        <f>LET(id,$A115,code,UPPER(TRIM($D115)),rawStart,$F115,rawEnd,$G115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5" s="2">
        <f>LET(id,$A115,code,UPPER(TRIM($D115)),rawStart,$F115,rawEnd,$G115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5" s="2">
        <f>LET(id,$A115,code,UPPER(TRIM($D115)),rawStart,$F115,rawEnd,$G115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5" s="2">
        <f>LET(id,$A115,code,UPPER(TRIM($D115)),rawStart,$F115,rawEnd,$G115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5" s="2">
        <f>LET(id,$A115,code,UPPER(TRIM($D115)),rawStart,$F115,rawEnd,$G115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5" s="2">
        <f>LET(id,$A115,code,UPPER(TRIM($D115)),rawStart,$F115,rawEnd,$G115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5" s="2">
        <f>LET(id,$A115,code,UPPER(TRIM($D115)),rawStart,$F115,rawEnd,$G115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5" s="2">
        <f>LET(id,$A115,code,UPPER(TRIM($D115)),rawStart,$F115,rawEnd,$G115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5" s="2">
        <f>LET(id,$A115,code,UPPER(TRIM($D115)),rawStart,$F115,rawEnd,$G115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5" s="2">
        <f>LET(id,$A115,code,UPPER(TRIM($D115)),rawStart,$F115,rawEnd,$G115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5" s="2">
        <f>LET(id,$A115,code,UPPER(TRIM($D115)),rawStart,$F115,rawEnd,$G115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5" s="2">
        <f>LET(id,$A115,code,UPPER(TRIM($D115)),rawStart,$F115,rawEnd,$G115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5" s="2">
        <f>LET(id,$A115,code,UPPER(TRIM($D115)),rawStart,$F115,rawEnd,$G115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5" s="2">
        <f>LET(id,$A115,code,UPPER(TRIM($D115)),rawStart,$F115,rawEnd,$G115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5" s="2">
        <f>LET(id,$A115,code,UPPER(TRIM($D115)),rawStart,$F115,rawEnd,$G115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5" s="2">
        <f>LET(id,$A115,code,UPPER(TRIM($D115)),rawStart,$F115,rawEnd,$G115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5" s="2">
        <f>LET(id,$A115,code,UPPER(TRIM($D115)),rawStart,$F115,rawEnd,$G115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5" s="2">
        <f>LET(id,$A115,code,UPPER(TRIM($D115)),rawStart,$F115,rawEnd,$G115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5" s="2">
        <f>LET(id,$A115,code,UPPER(TRIM($D115)),rawStart,$F115,rawEnd,$G115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5" s="2">
        <f>LET(id,$A115,code,UPPER(TRIM($D115)),rawStart,$F115,rawEnd,$G115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5" s="2">
        <f>LET(id,$A115,code,UPPER(TRIM($D115)),rawStart,$F115,rawEnd,$G115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5" s="2">
        <f>LET(id,$A115,code,UPPER(TRIM($D115)),rawStart,$F115,rawEnd,$G115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5" s="2">
        <f>LET(id,$A115,code,UPPER(TRIM($D115)),rawStart,$F115,rawEnd,$G115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5" s="2">
        <f>LET(id,$A115,code,UPPER(TRIM($D115)),rawStart,$F115,rawEnd,$G115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5" s="2">
        <f>LET(id,$A115,code,UPPER(TRIM($D115)),rawStart,$F115,rawEnd,$G115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5" s="2">
        <f>LET(id,$A115,code,UPPER(TRIM($D115)),rawStart,$F115,rawEnd,$G115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5" s="2">
        <f>LET(id,$A115,code,UPPER(TRIM($D115)),rawStart,$F115,rawEnd,$G115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5" s="2">
        <f>LET(id,$A115,code,UPPER(TRIM($D115)),rawStart,$F115,rawEnd,$G115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5" s="2">
        <f>LET(id,$A115,code,UPPER(TRIM($D115)),rawStart,$F115,rawEnd,$G115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5" s="2">
        <f>LET(id,$A115,code,UPPER(TRIM($D115)),rawStart,$F115,rawEnd,$G115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5" s="2">
        <f>LET(id,$A115,code,UPPER(TRIM($D115)),rawStart,$F115,rawEnd,$G115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5" s="2">
        <f>LET(id,$A115,code,UPPER(TRIM($D115)),rawStart,$F115,rawEnd,$G115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5" s="2">
        <f>LET(id,$A115,code,UPPER(TRIM($D115)),rawStart,$F115,rawEnd,$G115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15" s="2">
        <f>Calc_Engine!BD115</f>
        <v/>
      </c>
    </row>
    <row r="116">
      <c r="A116" s="2">
        <f>Calc_Engine!A116</f>
        <v/>
      </c>
      <c r="B116" s="2">
        <f>Calc_Engine!B116</f>
        <v/>
      </c>
      <c r="C116" s="2">
        <f>Calc_Engine!C116</f>
        <v/>
      </c>
      <c r="D116" s="2">
        <f>Calc_Engine!D116</f>
        <v/>
      </c>
      <c r="E116" s="4">
        <f>Calc_Engine!E116</f>
        <v/>
      </c>
      <c r="F116" s="5">
        <f>Calc_Engine!F116</f>
        <v/>
      </c>
      <c r="G116" s="5">
        <f>Calc_Engine!G116</f>
        <v/>
      </c>
      <c r="H116" s="2">
        <f>LET(id,$A116,code,UPPER(TRIM($D116)),rawStart,$F116,rawEnd,$G116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6" s="2">
        <f>LET(id,$A116,code,UPPER(TRIM($D116)),rawStart,$F116,rawEnd,$G116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6" s="2">
        <f>LET(id,$A116,code,UPPER(TRIM($D116)),rawStart,$F116,rawEnd,$G116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6" s="2">
        <f>LET(id,$A116,code,UPPER(TRIM($D116)),rawStart,$F116,rawEnd,$G116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6" s="2">
        <f>LET(id,$A116,code,UPPER(TRIM($D116)),rawStart,$F116,rawEnd,$G116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6" s="2">
        <f>LET(id,$A116,code,UPPER(TRIM($D116)),rawStart,$F116,rawEnd,$G116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6" s="2">
        <f>LET(id,$A116,code,UPPER(TRIM($D116)),rawStart,$F116,rawEnd,$G116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6" s="2">
        <f>LET(id,$A116,code,UPPER(TRIM($D116)),rawStart,$F116,rawEnd,$G116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6" s="2">
        <f>LET(id,$A116,code,UPPER(TRIM($D116)),rawStart,$F116,rawEnd,$G116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6" s="2">
        <f>LET(id,$A116,code,UPPER(TRIM($D116)),rawStart,$F116,rawEnd,$G116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6" s="2">
        <f>LET(id,$A116,code,UPPER(TRIM($D116)),rawStart,$F116,rawEnd,$G116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6" s="2">
        <f>LET(id,$A116,code,UPPER(TRIM($D116)),rawStart,$F116,rawEnd,$G116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6" s="2">
        <f>LET(id,$A116,code,UPPER(TRIM($D116)),rawStart,$F116,rawEnd,$G116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6" s="2">
        <f>LET(id,$A116,code,UPPER(TRIM($D116)),rawStart,$F116,rawEnd,$G116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6" s="2">
        <f>LET(id,$A116,code,UPPER(TRIM($D116)),rawStart,$F116,rawEnd,$G116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6" s="2">
        <f>LET(id,$A116,code,UPPER(TRIM($D116)),rawStart,$F116,rawEnd,$G116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6" s="2">
        <f>LET(id,$A116,code,UPPER(TRIM($D116)),rawStart,$F116,rawEnd,$G116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6" s="2">
        <f>LET(id,$A116,code,UPPER(TRIM($D116)),rawStart,$F116,rawEnd,$G116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6" s="2">
        <f>LET(id,$A116,code,UPPER(TRIM($D116)),rawStart,$F116,rawEnd,$G116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6" s="2">
        <f>LET(id,$A116,code,UPPER(TRIM($D116)),rawStart,$F116,rawEnd,$G116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6" s="2">
        <f>LET(id,$A116,code,UPPER(TRIM($D116)),rawStart,$F116,rawEnd,$G116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6" s="2">
        <f>LET(id,$A116,code,UPPER(TRIM($D116)),rawStart,$F116,rawEnd,$G116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6" s="2">
        <f>LET(id,$A116,code,UPPER(TRIM($D116)),rawStart,$F116,rawEnd,$G116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6" s="2">
        <f>LET(id,$A116,code,UPPER(TRIM($D116)),rawStart,$F116,rawEnd,$G116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6" s="2">
        <f>LET(id,$A116,code,UPPER(TRIM($D116)),rawStart,$F116,rawEnd,$G116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6" s="2">
        <f>LET(id,$A116,code,UPPER(TRIM($D116)),rawStart,$F116,rawEnd,$G116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6" s="2">
        <f>LET(id,$A116,code,UPPER(TRIM($D116)),rawStart,$F116,rawEnd,$G116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6" s="2">
        <f>LET(id,$A116,code,UPPER(TRIM($D116)),rawStart,$F116,rawEnd,$G116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6" s="2">
        <f>LET(id,$A116,code,UPPER(TRIM($D116)),rawStart,$F116,rawEnd,$G116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6" s="2">
        <f>LET(id,$A116,code,UPPER(TRIM($D116)),rawStart,$F116,rawEnd,$G116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6" s="2">
        <f>LET(id,$A116,code,UPPER(TRIM($D116)),rawStart,$F116,rawEnd,$G116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6" s="2">
        <f>LET(id,$A116,code,UPPER(TRIM($D116)),rawStart,$F116,rawEnd,$G116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6" s="2">
        <f>LET(id,$A116,code,UPPER(TRIM($D116)),rawStart,$F116,rawEnd,$G116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6" s="2">
        <f>LET(id,$A116,code,UPPER(TRIM($D116)),rawStart,$F116,rawEnd,$G116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6" s="2">
        <f>LET(id,$A116,code,UPPER(TRIM($D116)),rawStart,$F116,rawEnd,$G116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6" s="2">
        <f>LET(id,$A116,code,UPPER(TRIM($D116)),rawStart,$F116,rawEnd,$G116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6" s="2">
        <f>LET(id,$A116,code,UPPER(TRIM($D116)),rawStart,$F116,rawEnd,$G116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6" s="2">
        <f>LET(id,$A116,code,UPPER(TRIM($D116)),rawStart,$F116,rawEnd,$G116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6" s="2">
        <f>LET(id,$A116,code,UPPER(TRIM($D116)),rawStart,$F116,rawEnd,$G116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6" s="2">
        <f>LET(id,$A116,code,UPPER(TRIM($D116)),rawStart,$F116,rawEnd,$G116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6" s="2">
        <f>LET(id,$A116,code,UPPER(TRIM($D116)),rawStart,$F116,rawEnd,$G116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6" s="2">
        <f>LET(id,$A116,code,UPPER(TRIM($D116)),rawStart,$F116,rawEnd,$G116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6" s="2">
        <f>LET(id,$A116,code,UPPER(TRIM($D116)),rawStart,$F116,rawEnd,$G116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6" s="2">
        <f>LET(id,$A116,code,UPPER(TRIM($D116)),rawStart,$F116,rawEnd,$G116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6" s="2">
        <f>LET(id,$A116,code,UPPER(TRIM($D116)),rawStart,$F116,rawEnd,$G116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6" s="2">
        <f>LET(id,$A116,code,UPPER(TRIM($D116)),rawStart,$F116,rawEnd,$G116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6" s="2">
        <f>LET(id,$A116,code,UPPER(TRIM($D116)),rawStart,$F116,rawEnd,$G116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6" s="2">
        <f>LET(id,$A116,code,UPPER(TRIM($D116)),rawStart,$F116,rawEnd,$G116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16" s="2">
        <f>Calc_Engine!BD116</f>
        <v/>
      </c>
    </row>
    <row r="117">
      <c r="A117" s="2">
        <f>Calc_Engine!A117</f>
        <v/>
      </c>
      <c r="B117" s="2">
        <f>Calc_Engine!B117</f>
        <v/>
      </c>
      <c r="C117" s="2">
        <f>Calc_Engine!C117</f>
        <v/>
      </c>
      <c r="D117" s="2">
        <f>Calc_Engine!D117</f>
        <v/>
      </c>
      <c r="E117" s="4">
        <f>Calc_Engine!E117</f>
        <v/>
      </c>
      <c r="F117" s="5">
        <f>Calc_Engine!F117</f>
        <v/>
      </c>
      <c r="G117" s="5">
        <f>Calc_Engine!G117</f>
        <v/>
      </c>
      <c r="H117" s="2">
        <f>LET(id,$A117,code,UPPER(TRIM($D117)),rawStart,$F117,rawEnd,$G117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7" s="2">
        <f>LET(id,$A117,code,UPPER(TRIM($D117)),rawStart,$F117,rawEnd,$G117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7" s="2">
        <f>LET(id,$A117,code,UPPER(TRIM($D117)),rawStart,$F117,rawEnd,$G117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7" s="2">
        <f>LET(id,$A117,code,UPPER(TRIM($D117)),rawStart,$F117,rawEnd,$G117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7" s="2">
        <f>LET(id,$A117,code,UPPER(TRIM($D117)),rawStart,$F117,rawEnd,$G117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7" s="2">
        <f>LET(id,$A117,code,UPPER(TRIM($D117)),rawStart,$F117,rawEnd,$G117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7" s="2">
        <f>LET(id,$A117,code,UPPER(TRIM($D117)),rawStart,$F117,rawEnd,$G117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7" s="2">
        <f>LET(id,$A117,code,UPPER(TRIM($D117)),rawStart,$F117,rawEnd,$G117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7" s="2">
        <f>LET(id,$A117,code,UPPER(TRIM($D117)),rawStart,$F117,rawEnd,$G117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7" s="2">
        <f>LET(id,$A117,code,UPPER(TRIM($D117)),rawStart,$F117,rawEnd,$G117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7" s="2">
        <f>LET(id,$A117,code,UPPER(TRIM($D117)),rawStart,$F117,rawEnd,$G117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7" s="2">
        <f>LET(id,$A117,code,UPPER(TRIM($D117)),rawStart,$F117,rawEnd,$G117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7" s="2">
        <f>LET(id,$A117,code,UPPER(TRIM($D117)),rawStart,$F117,rawEnd,$G117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7" s="2">
        <f>LET(id,$A117,code,UPPER(TRIM($D117)),rawStart,$F117,rawEnd,$G117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7" s="2">
        <f>LET(id,$A117,code,UPPER(TRIM($D117)),rawStart,$F117,rawEnd,$G117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7" s="2">
        <f>LET(id,$A117,code,UPPER(TRIM($D117)),rawStart,$F117,rawEnd,$G117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7" s="2">
        <f>LET(id,$A117,code,UPPER(TRIM($D117)),rawStart,$F117,rawEnd,$G117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7" s="2">
        <f>LET(id,$A117,code,UPPER(TRIM($D117)),rawStart,$F117,rawEnd,$G117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7" s="2">
        <f>LET(id,$A117,code,UPPER(TRIM($D117)),rawStart,$F117,rawEnd,$G117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7" s="2">
        <f>LET(id,$A117,code,UPPER(TRIM($D117)),rawStart,$F117,rawEnd,$G117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7" s="2">
        <f>LET(id,$A117,code,UPPER(TRIM($D117)),rawStart,$F117,rawEnd,$G117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7" s="2">
        <f>LET(id,$A117,code,UPPER(TRIM($D117)),rawStart,$F117,rawEnd,$G117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7" s="2">
        <f>LET(id,$A117,code,UPPER(TRIM($D117)),rawStart,$F117,rawEnd,$G117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7" s="2">
        <f>LET(id,$A117,code,UPPER(TRIM($D117)),rawStart,$F117,rawEnd,$G117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7" s="2">
        <f>LET(id,$A117,code,UPPER(TRIM($D117)),rawStart,$F117,rawEnd,$G117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7" s="2">
        <f>LET(id,$A117,code,UPPER(TRIM($D117)),rawStart,$F117,rawEnd,$G117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7" s="2">
        <f>LET(id,$A117,code,UPPER(TRIM($D117)),rawStart,$F117,rawEnd,$G117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7" s="2">
        <f>LET(id,$A117,code,UPPER(TRIM($D117)),rawStart,$F117,rawEnd,$G117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7" s="2">
        <f>LET(id,$A117,code,UPPER(TRIM($D117)),rawStart,$F117,rawEnd,$G117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7" s="2">
        <f>LET(id,$A117,code,UPPER(TRIM($D117)),rawStart,$F117,rawEnd,$G117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7" s="2">
        <f>LET(id,$A117,code,UPPER(TRIM($D117)),rawStart,$F117,rawEnd,$G117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7" s="2">
        <f>LET(id,$A117,code,UPPER(TRIM($D117)),rawStart,$F117,rawEnd,$G117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7" s="2">
        <f>LET(id,$A117,code,UPPER(TRIM($D117)),rawStart,$F117,rawEnd,$G117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7" s="2">
        <f>LET(id,$A117,code,UPPER(TRIM($D117)),rawStart,$F117,rawEnd,$G117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7" s="2">
        <f>LET(id,$A117,code,UPPER(TRIM($D117)),rawStart,$F117,rawEnd,$G117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7" s="2">
        <f>LET(id,$A117,code,UPPER(TRIM($D117)),rawStart,$F117,rawEnd,$G117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7" s="2">
        <f>LET(id,$A117,code,UPPER(TRIM($D117)),rawStart,$F117,rawEnd,$G117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7" s="2">
        <f>LET(id,$A117,code,UPPER(TRIM($D117)),rawStart,$F117,rawEnd,$G117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7" s="2">
        <f>LET(id,$A117,code,UPPER(TRIM($D117)),rawStart,$F117,rawEnd,$G117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7" s="2">
        <f>LET(id,$A117,code,UPPER(TRIM($D117)),rawStart,$F117,rawEnd,$G117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7" s="2">
        <f>LET(id,$A117,code,UPPER(TRIM($D117)),rawStart,$F117,rawEnd,$G117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7" s="2">
        <f>LET(id,$A117,code,UPPER(TRIM($D117)),rawStart,$F117,rawEnd,$G117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7" s="2">
        <f>LET(id,$A117,code,UPPER(TRIM($D117)),rawStart,$F117,rawEnd,$G117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7" s="2">
        <f>LET(id,$A117,code,UPPER(TRIM($D117)),rawStart,$F117,rawEnd,$G117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7" s="2">
        <f>LET(id,$A117,code,UPPER(TRIM($D117)),rawStart,$F117,rawEnd,$G117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7" s="2">
        <f>LET(id,$A117,code,UPPER(TRIM($D117)),rawStart,$F117,rawEnd,$G117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7" s="2">
        <f>LET(id,$A117,code,UPPER(TRIM($D117)),rawStart,$F117,rawEnd,$G117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7" s="2">
        <f>LET(id,$A117,code,UPPER(TRIM($D117)),rawStart,$F117,rawEnd,$G117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17" s="2">
        <f>Calc_Engine!BD117</f>
        <v/>
      </c>
    </row>
    <row r="118">
      <c r="A118" s="2">
        <f>Calc_Engine!A118</f>
        <v/>
      </c>
      <c r="B118" s="2">
        <f>Calc_Engine!B118</f>
        <v/>
      </c>
      <c r="C118" s="2">
        <f>Calc_Engine!C118</f>
        <v/>
      </c>
      <c r="D118" s="2">
        <f>Calc_Engine!D118</f>
        <v/>
      </c>
      <c r="E118" s="4">
        <f>Calc_Engine!E118</f>
        <v/>
      </c>
      <c r="F118" s="5">
        <f>Calc_Engine!F118</f>
        <v/>
      </c>
      <c r="G118" s="5">
        <f>Calc_Engine!G118</f>
        <v/>
      </c>
      <c r="H118" s="2">
        <f>LET(id,$A118,code,UPPER(TRIM($D118)),rawStart,$F118,rawEnd,$G118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8" s="2">
        <f>LET(id,$A118,code,UPPER(TRIM($D118)),rawStart,$F118,rawEnd,$G118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8" s="2">
        <f>LET(id,$A118,code,UPPER(TRIM($D118)),rawStart,$F118,rawEnd,$G118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8" s="2">
        <f>LET(id,$A118,code,UPPER(TRIM($D118)),rawStart,$F118,rawEnd,$G118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8" s="2">
        <f>LET(id,$A118,code,UPPER(TRIM($D118)),rawStart,$F118,rawEnd,$G118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8" s="2">
        <f>LET(id,$A118,code,UPPER(TRIM($D118)),rawStart,$F118,rawEnd,$G118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8" s="2">
        <f>LET(id,$A118,code,UPPER(TRIM($D118)),rawStart,$F118,rawEnd,$G118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8" s="2">
        <f>LET(id,$A118,code,UPPER(TRIM($D118)),rawStart,$F118,rawEnd,$G118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8" s="2">
        <f>LET(id,$A118,code,UPPER(TRIM($D118)),rawStart,$F118,rawEnd,$G118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8" s="2">
        <f>LET(id,$A118,code,UPPER(TRIM($D118)),rawStart,$F118,rawEnd,$G118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8" s="2">
        <f>LET(id,$A118,code,UPPER(TRIM($D118)),rawStart,$F118,rawEnd,$G118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8" s="2">
        <f>LET(id,$A118,code,UPPER(TRIM($D118)),rawStart,$F118,rawEnd,$G118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8" s="2">
        <f>LET(id,$A118,code,UPPER(TRIM($D118)),rawStart,$F118,rawEnd,$G118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8" s="2">
        <f>LET(id,$A118,code,UPPER(TRIM($D118)),rawStart,$F118,rawEnd,$G118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8" s="2">
        <f>LET(id,$A118,code,UPPER(TRIM($D118)),rawStart,$F118,rawEnd,$G118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8" s="2">
        <f>LET(id,$A118,code,UPPER(TRIM($D118)),rawStart,$F118,rawEnd,$G118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8" s="2">
        <f>LET(id,$A118,code,UPPER(TRIM($D118)),rawStart,$F118,rawEnd,$G118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8" s="2">
        <f>LET(id,$A118,code,UPPER(TRIM($D118)),rawStart,$F118,rawEnd,$G118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8" s="2">
        <f>LET(id,$A118,code,UPPER(TRIM($D118)),rawStart,$F118,rawEnd,$G118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8" s="2">
        <f>LET(id,$A118,code,UPPER(TRIM($D118)),rawStart,$F118,rawEnd,$G118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8" s="2">
        <f>LET(id,$A118,code,UPPER(TRIM($D118)),rawStart,$F118,rawEnd,$G118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8" s="2">
        <f>LET(id,$A118,code,UPPER(TRIM($D118)),rawStart,$F118,rawEnd,$G118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8" s="2">
        <f>LET(id,$A118,code,UPPER(TRIM($D118)),rawStart,$F118,rawEnd,$G118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8" s="2">
        <f>LET(id,$A118,code,UPPER(TRIM($D118)),rawStart,$F118,rawEnd,$G118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8" s="2">
        <f>LET(id,$A118,code,UPPER(TRIM($D118)),rawStart,$F118,rawEnd,$G118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8" s="2">
        <f>LET(id,$A118,code,UPPER(TRIM($D118)),rawStart,$F118,rawEnd,$G118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8" s="2">
        <f>LET(id,$A118,code,UPPER(TRIM($D118)),rawStart,$F118,rawEnd,$G118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8" s="2">
        <f>LET(id,$A118,code,UPPER(TRIM($D118)),rawStart,$F118,rawEnd,$G118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8" s="2">
        <f>LET(id,$A118,code,UPPER(TRIM($D118)),rawStart,$F118,rawEnd,$G118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8" s="2">
        <f>LET(id,$A118,code,UPPER(TRIM($D118)),rawStart,$F118,rawEnd,$G118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8" s="2">
        <f>LET(id,$A118,code,UPPER(TRIM($D118)),rawStart,$F118,rawEnd,$G118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8" s="2">
        <f>LET(id,$A118,code,UPPER(TRIM($D118)),rawStart,$F118,rawEnd,$G118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8" s="2">
        <f>LET(id,$A118,code,UPPER(TRIM($D118)),rawStart,$F118,rawEnd,$G118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8" s="2">
        <f>LET(id,$A118,code,UPPER(TRIM($D118)),rawStart,$F118,rawEnd,$G118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8" s="2">
        <f>LET(id,$A118,code,UPPER(TRIM($D118)),rawStart,$F118,rawEnd,$G118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8" s="2">
        <f>LET(id,$A118,code,UPPER(TRIM($D118)),rawStart,$F118,rawEnd,$G118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8" s="2">
        <f>LET(id,$A118,code,UPPER(TRIM($D118)),rawStart,$F118,rawEnd,$G118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8" s="2">
        <f>LET(id,$A118,code,UPPER(TRIM($D118)),rawStart,$F118,rawEnd,$G118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8" s="2">
        <f>LET(id,$A118,code,UPPER(TRIM($D118)),rawStart,$F118,rawEnd,$G118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8" s="2">
        <f>LET(id,$A118,code,UPPER(TRIM($D118)),rawStart,$F118,rawEnd,$G118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8" s="2">
        <f>LET(id,$A118,code,UPPER(TRIM($D118)),rawStart,$F118,rawEnd,$G118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8" s="2">
        <f>LET(id,$A118,code,UPPER(TRIM($D118)),rawStart,$F118,rawEnd,$G118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8" s="2">
        <f>LET(id,$A118,code,UPPER(TRIM($D118)),rawStart,$F118,rawEnd,$G118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8" s="2">
        <f>LET(id,$A118,code,UPPER(TRIM($D118)),rawStart,$F118,rawEnd,$G118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8" s="2">
        <f>LET(id,$A118,code,UPPER(TRIM($D118)),rawStart,$F118,rawEnd,$G118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8" s="2">
        <f>LET(id,$A118,code,UPPER(TRIM($D118)),rawStart,$F118,rawEnd,$G118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8" s="2">
        <f>LET(id,$A118,code,UPPER(TRIM($D118)),rawStart,$F118,rawEnd,$G118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8" s="2">
        <f>LET(id,$A118,code,UPPER(TRIM($D118)),rawStart,$F118,rawEnd,$G118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18" s="2">
        <f>Calc_Engine!BD118</f>
        <v/>
      </c>
    </row>
    <row r="119">
      <c r="A119" s="2">
        <f>Calc_Engine!A119</f>
        <v/>
      </c>
      <c r="B119" s="2">
        <f>Calc_Engine!B119</f>
        <v/>
      </c>
      <c r="C119" s="2">
        <f>Calc_Engine!C119</f>
        <v/>
      </c>
      <c r="D119" s="2">
        <f>Calc_Engine!D119</f>
        <v/>
      </c>
      <c r="E119" s="4">
        <f>Calc_Engine!E119</f>
        <v/>
      </c>
      <c r="F119" s="5">
        <f>Calc_Engine!F119</f>
        <v/>
      </c>
      <c r="G119" s="5">
        <f>Calc_Engine!G119</f>
        <v/>
      </c>
      <c r="H119" s="2">
        <f>LET(id,$A119,code,UPPER(TRIM($D119)),rawStart,$F119,rawEnd,$G119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9" s="2">
        <f>LET(id,$A119,code,UPPER(TRIM($D119)),rawStart,$F119,rawEnd,$G119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9" s="2">
        <f>LET(id,$A119,code,UPPER(TRIM($D119)),rawStart,$F119,rawEnd,$G119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9" s="2">
        <f>LET(id,$A119,code,UPPER(TRIM($D119)),rawStart,$F119,rawEnd,$G119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9" s="2">
        <f>LET(id,$A119,code,UPPER(TRIM($D119)),rawStart,$F119,rawEnd,$G119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9" s="2">
        <f>LET(id,$A119,code,UPPER(TRIM($D119)),rawStart,$F119,rawEnd,$G119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9" s="2">
        <f>LET(id,$A119,code,UPPER(TRIM($D119)),rawStart,$F119,rawEnd,$G119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9" s="2">
        <f>LET(id,$A119,code,UPPER(TRIM($D119)),rawStart,$F119,rawEnd,$G119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9" s="2">
        <f>LET(id,$A119,code,UPPER(TRIM($D119)),rawStart,$F119,rawEnd,$G119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9" s="2">
        <f>LET(id,$A119,code,UPPER(TRIM($D119)),rawStart,$F119,rawEnd,$G119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9" s="2">
        <f>LET(id,$A119,code,UPPER(TRIM($D119)),rawStart,$F119,rawEnd,$G119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9" s="2">
        <f>LET(id,$A119,code,UPPER(TRIM($D119)),rawStart,$F119,rawEnd,$G119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9" s="2">
        <f>LET(id,$A119,code,UPPER(TRIM($D119)),rawStart,$F119,rawEnd,$G119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9" s="2">
        <f>LET(id,$A119,code,UPPER(TRIM($D119)),rawStart,$F119,rawEnd,$G119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9" s="2">
        <f>LET(id,$A119,code,UPPER(TRIM($D119)),rawStart,$F119,rawEnd,$G119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9" s="2">
        <f>LET(id,$A119,code,UPPER(TRIM($D119)),rawStart,$F119,rawEnd,$G119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9" s="2">
        <f>LET(id,$A119,code,UPPER(TRIM($D119)),rawStart,$F119,rawEnd,$G119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9" s="2">
        <f>LET(id,$A119,code,UPPER(TRIM($D119)),rawStart,$F119,rawEnd,$G119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9" s="2">
        <f>LET(id,$A119,code,UPPER(TRIM($D119)),rawStart,$F119,rawEnd,$G119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9" s="2">
        <f>LET(id,$A119,code,UPPER(TRIM($D119)),rawStart,$F119,rawEnd,$G119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9" s="2">
        <f>LET(id,$A119,code,UPPER(TRIM($D119)),rawStart,$F119,rawEnd,$G119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9" s="2">
        <f>LET(id,$A119,code,UPPER(TRIM($D119)),rawStart,$F119,rawEnd,$G119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9" s="2">
        <f>LET(id,$A119,code,UPPER(TRIM($D119)),rawStart,$F119,rawEnd,$G119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9" s="2">
        <f>LET(id,$A119,code,UPPER(TRIM($D119)),rawStart,$F119,rawEnd,$G119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9" s="2">
        <f>LET(id,$A119,code,UPPER(TRIM($D119)),rawStart,$F119,rawEnd,$G119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9" s="2">
        <f>LET(id,$A119,code,UPPER(TRIM($D119)),rawStart,$F119,rawEnd,$G119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9" s="2">
        <f>LET(id,$A119,code,UPPER(TRIM($D119)),rawStart,$F119,rawEnd,$G119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9" s="2">
        <f>LET(id,$A119,code,UPPER(TRIM($D119)),rawStart,$F119,rawEnd,$G119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9" s="2">
        <f>LET(id,$A119,code,UPPER(TRIM($D119)),rawStart,$F119,rawEnd,$G119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9" s="2">
        <f>LET(id,$A119,code,UPPER(TRIM($D119)),rawStart,$F119,rawEnd,$G119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9" s="2">
        <f>LET(id,$A119,code,UPPER(TRIM($D119)),rawStart,$F119,rawEnd,$G119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9" s="2">
        <f>LET(id,$A119,code,UPPER(TRIM($D119)),rawStart,$F119,rawEnd,$G119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9" s="2">
        <f>LET(id,$A119,code,UPPER(TRIM($D119)),rawStart,$F119,rawEnd,$G119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9" s="2">
        <f>LET(id,$A119,code,UPPER(TRIM($D119)),rawStart,$F119,rawEnd,$G119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9" s="2">
        <f>LET(id,$A119,code,UPPER(TRIM($D119)),rawStart,$F119,rawEnd,$G119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9" s="2">
        <f>LET(id,$A119,code,UPPER(TRIM($D119)),rawStart,$F119,rawEnd,$G119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9" s="2">
        <f>LET(id,$A119,code,UPPER(TRIM($D119)),rawStart,$F119,rawEnd,$G119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9" s="2">
        <f>LET(id,$A119,code,UPPER(TRIM($D119)),rawStart,$F119,rawEnd,$G119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9" s="2">
        <f>LET(id,$A119,code,UPPER(TRIM($D119)),rawStart,$F119,rawEnd,$G119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9" s="2">
        <f>LET(id,$A119,code,UPPER(TRIM($D119)),rawStart,$F119,rawEnd,$G119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9" s="2">
        <f>LET(id,$A119,code,UPPER(TRIM($D119)),rawStart,$F119,rawEnd,$G119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9" s="2">
        <f>LET(id,$A119,code,UPPER(TRIM($D119)),rawStart,$F119,rawEnd,$G119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9" s="2">
        <f>LET(id,$A119,code,UPPER(TRIM($D119)),rawStart,$F119,rawEnd,$G119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9" s="2">
        <f>LET(id,$A119,code,UPPER(TRIM($D119)),rawStart,$F119,rawEnd,$G119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9" s="2">
        <f>LET(id,$A119,code,UPPER(TRIM($D119)),rawStart,$F119,rawEnd,$G119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9" s="2">
        <f>LET(id,$A119,code,UPPER(TRIM($D119)),rawStart,$F119,rawEnd,$G119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9" s="2">
        <f>LET(id,$A119,code,UPPER(TRIM($D119)),rawStart,$F119,rawEnd,$G119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9" s="2">
        <f>LET(id,$A119,code,UPPER(TRIM($D119)),rawStart,$F119,rawEnd,$G119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19" s="2">
        <f>Calc_Engine!BD119</f>
        <v/>
      </c>
    </row>
    <row r="120">
      <c r="A120" s="2">
        <f>Calc_Engine!A120</f>
        <v/>
      </c>
      <c r="B120" s="2">
        <f>Calc_Engine!B120</f>
        <v/>
      </c>
      <c r="C120" s="2">
        <f>Calc_Engine!C120</f>
        <v/>
      </c>
      <c r="D120" s="2">
        <f>Calc_Engine!D120</f>
        <v/>
      </c>
      <c r="E120" s="4">
        <f>Calc_Engine!E120</f>
        <v/>
      </c>
      <c r="F120" s="5">
        <f>Calc_Engine!F120</f>
        <v/>
      </c>
      <c r="G120" s="5">
        <f>Calc_Engine!G120</f>
        <v/>
      </c>
      <c r="H120" s="2">
        <f>LET(id,$A120,code,UPPER(TRIM($D120)),rawStart,$F120,rawEnd,$G120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0" s="2">
        <f>LET(id,$A120,code,UPPER(TRIM($D120)),rawStart,$F120,rawEnd,$G120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0" s="2">
        <f>LET(id,$A120,code,UPPER(TRIM($D120)),rawStart,$F120,rawEnd,$G120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0" s="2">
        <f>LET(id,$A120,code,UPPER(TRIM($D120)),rawStart,$F120,rawEnd,$G120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0" s="2">
        <f>LET(id,$A120,code,UPPER(TRIM($D120)),rawStart,$F120,rawEnd,$G120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0" s="2">
        <f>LET(id,$A120,code,UPPER(TRIM($D120)),rawStart,$F120,rawEnd,$G120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0" s="2">
        <f>LET(id,$A120,code,UPPER(TRIM($D120)),rawStart,$F120,rawEnd,$G120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0" s="2">
        <f>LET(id,$A120,code,UPPER(TRIM($D120)),rawStart,$F120,rawEnd,$G120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0" s="2">
        <f>LET(id,$A120,code,UPPER(TRIM($D120)),rawStart,$F120,rawEnd,$G120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0" s="2">
        <f>LET(id,$A120,code,UPPER(TRIM($D120)),rawStart,$F120,rawEnd,$G120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0" s="2">
        <f>LET(id,$A120,code,UPPER(TRIM($D120)),rawStart,$F120,rawEnd,$G120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0" s="2">
        <f>LET(id,$A120,code,UPPER(TRIM($D120)),rawStart,$F120,rawEnd,$G120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0" s="2">
        <f>LET(id,$A120,code,UPPER(TRIM($D120)),rawStart,$F120,rawEnd,$G120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0" s="2">
        <f>LET(id,$A120,code,UPPER(TRIM($D120)),rawStart,$F120,rawEnd,$G120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0" s="2">
        <f>LET(id,$A120,code,UPPER(TRIM($D120)),rawStart,$F120,rawEnd,$G120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0" s="2">
        <f>LET(id,$A120,code,UPPER(TRIM($D120)),rawStart,$F120,rawEnd,$G120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0" s="2">
        <f>LET(id,$A120,code,UPPER(TRIM($D120)),rawStart,$F120,rawEnd,$G120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0" s="2">
        <f>LET(id,$A120,code,UPPER(TRIM($D120)),rawStart,$F120,rawEnd,$G120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0" s="2">
        <f>LET(id,$A120,code,UPPER(TRIM($D120)),rawStart,$F120,rawEnd,$G120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0" s="2">
        <f>LET(id,$A120,code,UPPER(TRIM($D120)),rawStart,$F120,rawEnd,$G120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0" s="2">
        <f>LET(id,$A120,code,UPPER(TRIM($D120)),rawStart,$F120,rawEnd,$G120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0" s="2">
        <f>LET(id,$A120,code,UPPER(TRIM($D120)),rawStart,$F120,rawEnd,$G120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0" s="2">
        <f>LET(id,$A120,code,UPPER(TRIM($D120)),rawStart,$F120,rawEnd,$G120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0" s="2">
        <f>LET(id,$A120,code,UPPER(TRIM($D120)),rawStart,$F120,rawEnd,$G120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0" s="2">
        <f>LET(id,$A120,code,UPPER(TRIM($D120)),rawStart,$F120,rawEnd,$G120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0" s="2">
        <f>LET(id,$A120,code,UPPER(TRIM($D120)),rawStart,$F120,rawEnd,$G120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0" s="2">
        <f>LET(id,$A120,code,UPPER(TRIM($D120)),rawStart,$F120,rawEnd,$G120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0" s="2">
        <f>LET(id,$A120,code,UPPER(TRIM($D120)),rawStart,$F120,rawEnd,$G120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0" s="2">
        <f>LET(id,$A120,code,UPPER(TRIM($D120)),rawStart,$F120,rawEnd,$G120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0" s="2">
        <f>LET(id,$A120,code,UPPER(TRIM($D120)),rawStart,$F120,rawEnd,$G120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0" s="2">
        <f>LET(id,$A120,code,UPPER(TRIM($D120)),rawStart,$F120,rawEnd,$G120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0" s="2">
        <f>LET(id,$A120,code,UPPER(TRIM($D120)),rawStart,$F120,rawEnd,$G120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0" s="2">
        <f>LET(id,$A120,code,UPPER(TRIM($D120)),rawStart,$F120,rawEnd,$G120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0" s="2">
        <f>LET(id,$A120,code,UPPER(TRIM($D120)),rawStart,$F120,rawEnd,$G120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0" s="2">
        <f>LET(id,$A120,code,UPPER(TRIM($D120)),rawStart,$F120,rawEnd,$G120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0" s="2">
        <f>LET(id,$A120,code,UPPER(TRIM($D120)),rawStart,$F120,rawEnd,$G120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0" s="2">
        <f>LET(id,$A120,code,UPPER(TRIM($D120)),rawStart,$F120,rawEnd,$G120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0" s="2">
        <f>LET(id,$A120,code,UPPER(TRIM($D120)),rawStart,$F120,rawEnd,$G120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0" s="2">
        <f>LET(id,$A120,code,UPPER(TRIM($D120)),rawStart,$F120,rawEnd,$G120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0" s="2">
        <f>LET(id,$A120,code,UPPER(TRIM($D120)),rawStart,$F120,rawEnd,$G120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0" s="2">
        <f>LET(id,$A120,code,UPPER(TRIM($D120)),rawStart,$F120,rawEnd,$G120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0" s="2">
        <f>LET(id,$A120,code,UPPER(TRIM($D120)),rawStart,$F120,rawEnd,$G120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0" s="2">
        <f>LET(id,$A120,code,UPPER(TRIM($D120)),rawStart,$F120,rawEnd,$G120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0" s="2">
        <f>LET(id,$A120,code,UPPER(TRIM($D120)),rawStart,$F120,rawEnd,$G120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0" s="2">
        <f>LET(id,$A120,code,UPPER(TRIM($D120)),rawStart,$F120,rawEnd,$G120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0" s="2">
        <f>LET(id,$A120,code,UPPER(TRIM($D120)),rawStart,$F120,rawEnd,$G120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0" s="2">
        <f>LET(id,$A120,code,UPPER(TRIM($D120)),rawStart,$F120,rawEnd,$G120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0" s="2">
        <f>LET(id,$A120,code,UPPER(TRIM($D120)),rawStart,$F120,rawEnd,$G120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20" s="2">
        <f>Calc_Engine!BD120</f>
        <v/>
      </c>
    </row>
    <row r="121">
      <c r="A121" s="2">
        <f>Calc_Engine!A121</f>
        <v/>
      </c>
      <c r="B121" s="2">
        <f>Calc_Engine!B121</f>
        <v/>
      </c>
      <c r="C121" s="2">
        <f>Calc_Engine!C121</f>
        <v/>
      </c>
      <c r="D121" s="2">
        <f>Calc_Engine!D121</f>
        <v/>
      </c>
      <c r="E121" s="4">
        <f>Calc_Engine!E121</f>
        <v/>
      </c>
      <c r="F121" s="5">
        <f>Calc_Engine!F121</f>
        <v/>
      </c>
      <c r="G121" s="5">
        <f>Calc_Engine!G121</f>
        <v/>
      </c>
      <c r="H121" s="2">
        <f>LET(id,$A121,code,UPPER(TRIM($D121)),rawStart,$F121,rawEnd,$G121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1" s="2">
        <f>LET(id,$A121,code,UPPER(TRIM($D121)),rawStart,$F121,rawEnd,$G121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1" s="2">
        <f>LET(id,$A121,code,UPPER(TRIM($D121)),rawStart,$F121,rawEnd,$G121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1" s="2">
        <f>LET(id,$A121,code,UPPER(TRIM($D121)),rawStart,$F121,rawEnd,$G121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1" s="2">
        <f>LET(id,$A121,code,UPPER(TRIM($D121)),rawStart,$F121,rawEnd,$G121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1" s="2">
        <f>LET(id,$A121,code,UPPER(TRIM($D121)),rawStart,$F121,rawEnd,$G121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1" s="2">
        <f>LET(id,$A121,code,UPPER(TRIM($D121)),rawStart,$F121,rawEnd,$G121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1" s="2">
        <f>LET(id,$A121,code,UPPER(TRIM($D121)),rawStart,$F121,rawEnd,$G121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1" s="2">
        <f>LET(id,$A121,code,UPPER(TRIM($D121)),rawStart,$F121,rawEnd,$G121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1" s="2">
        <f>LET(id,$A121,code,UPPER(TRIM($D121)),rawStart,$F121,rawEnd,$G121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1" s="2">
        <f>LET(id,$A121,code,UPPER(TRIM($D121)),rawStart,$F121,rawEnd,$G121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1" s="2">
        <f>LET(id,$A121,code,UPPER(TRIM($D121)),rawStart,$F121,rawEnd,$G121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1" s="2">
        <f>LET(id,$A121,code,UPPER(TRIM($D121)),rawStart,$F121,rawEnd,$G121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1" s="2">
        <f>LET(id,$A121,code,UPPER(TRIM($D121)),rawStart,$F121,rawEnd,$G121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1" s="2">
        <f>LET(id,$A121,code,UPPER(TRIM($D121)),rawStart,$F121,rawEnd,$G121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1" s="2">
        <f>LET(id,$A121,code,UPPER(TRIM($D121)),rawStart,$F121,rawEnd,$G121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1" s="2">
        <f>LET(id,$A121,code,UPPER(TRIM($D121)),rawStart,$F121,rawEnd,$G121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1" s="2">
        <f>LET(id,$A121,code,UPPER(TRIM($D121)),rawStart,$F121,rawEnd,$G121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1" s="2">
        <f>LET(id,$A121,code,UPPER(TRIM($D121)),rawStart,$F121,rawEnd,$G121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1" s="2">
        <f>LET(id,$A121,code,UPPER(TRIM($D121)),rawStart,$F121,rawEnd,$G121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1" s="2">
        <f>LET(id,$A121,code,UPPER(TRIM($D121)),rawStart,$F121,rawEnd,$G121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1" s="2">
        <f>LET(id,$A121,code,UPPER(TRIM($D121)),rawStart,$F121,rawEnd,$G121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1" s="2">
        <f>LET(id,$A121,code,UPPER(TRIM($D121)),rawStart,$F121,rawEnd,$G121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1" s="2">
        <f>LET(id,$A121,code,UPPER(TRIM($D121)),rawStart,$F121,rawEnd,$G121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1" s="2">
        <f>LET(id,$A121,code,UPPER(TRIM($D121)),rawStart,$F121,rawEnd,$G121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1" s="2">
        <f>LET(id,$A121,code,UPPER(TRIM($D121)),rawStart,$F121,rawEnd,$G121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1" s="2">
        <f>LET(id,$A121,code,UPPER(TRIM($D121)),rawStart,$F121,rawEnd,$G121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1" s="2">
        <f>LET(id,$A121,code,UPPER(TRIM($D121)),rawStart,$F121,rawEnd,$G121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1" s="2">
        <f>LET(id,$A121,code,UPPER(TRIM($D121)),rawStart,$F121,rawEnd,$G121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1" s="2">
        <f>LET(id,$A121,code,UPPER(TRIM($D121)),rawStart,$F121,rawEnd,$G121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1" s="2">
        <f>LET(id,$A121,code,UPPER(TRIM($D121)),rawStart,$F121,rawEnd,$G121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1" s="2">
        <f>LET(id,$A121,code,UPPER(TRIM($D121)),rawStart,$F121,rawEnd,$G121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1" s="2">
        <f>LET(id,$A121,code,UPPER(TRIM($D121)),rawStart,$F121,rawEnd,$G121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1" s="2">
        <f>LET(id,$A121,code,UPPER(TRIM($D121)),rawStart,$F121,rawEnd,$G121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1" s="2">
        <f>LET(id,$A121,code,UPPER(TRIM($D121)),rawStart,$F121,rawEnd,$G121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1" s="2">
        <f>LET(id,$A121,code,UPPER(TRIM($D121)),rawStart,$F121,rawEnd,$G121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1" s="2">
        <f>LET(id,$A121,code,UPPER(TRIM($D121)),rawStart,$F121,rawEnd,$G121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1" s="2">
        <f>LET(id,$A121,code,UPPER(TRIM($D121)),rawStart,$F121,rawEnd,$G121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1" s="2">
        <f>LET(id,$A121,code,UPPER(TRIM($D121)),rawStart,$F121,rawEnd,$G121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1" s="2">
        <f>LET(id,$A121,code,UPPER(TRIM($D121)),rawStart,$F121,rawEnd,$G121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1" s="2">
        <f>LET(id,$A121,code,UPPER(TRIM($D121)),rawStart,$F121,rawEnd,$G121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1" s="2">
        <f>LET(id,$A121,code,UPPER(TRIM($D121)),rawStart,$F121,rawEnd,$G121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1" s="2">
        <f>LET(id,$A121,code,UPPER(TRIM($D121)),rawStart,$F121,rawEnd,$G121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1" s="2">
        <f>LET(id,$A121,code,UPPER(TRIM($D121)),rawStart,$F121,rawEnd,$G121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1" s="2">
        <f>LET(id,$A121,code,UPPER(TRIM($D121)),rawStart,$F121,rawEnd,$G121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1" s="2">
        <f>LET(id,$A121,code,UPPER(TRIM($D121)),rawStart,$F121,rawEnd,$G121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1" s="2">
        <f>LET(id,$A121,code,UPPER(TRIM($D121)),rawStart,$F121,rawEnd,$G121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1" s="2">
        <f>LET(id,$A121,code,UPPER(TRIM($D121)),rawStart,$F121,rawEnd,$G121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21" s="2">
        <f>Calc_Engine!BD121</f>
        <v/>
      </c>
    </row>
    <row r="122">
      <c r="A122" s="2">
        <f>Calc_Engine!A122</f>
        <v/>
      </c>
      <c r="B122" s="2">
        <f>Calc_Engine!B122</f>
        <v/>
      </c>
      <c r="C122" s="2">
        <f>Calc_Engine!C122</f>
        <v/>
      </c>
      <c r="D122" s="2">
        <f>Calc_Engine!D122</f>
        <v/>
      </c>
      <c r="E122" s="4">
        <f>Calc_Engine!E122</f>
        <v/>
      </c>
      <c r="F122" s="5">
        <f>Calc_Engine!F122</f>
        <v/>
      </c>
      <c r="G122" s="5">
        <f>Calc_Engine!G122</f>
        <v/>
      </c>
      <c r="H122" s="2">
        <f>LET(id,$A122,code,UPPER(TRIM($D122)),rawStart,$F122,rawEnd,$G122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2" s="2">
        <f>LET(id,$A122,code,UPPER(TRIM($D122)),rawStart,$F122,rawEnd,$G122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2" s="2">
        <f>LET(id,$A122,code,UPPER(TRIM($D122)),rawStart,$F122,rawEnd,$G122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2" s="2">
        <f>LET(id,$A122,code,UPPER(TRIM($D122)),rawStart,$F122,rawEnd,$G122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2" s="2">
        <f>LET(id,$A122,code,UPPER(TRIM($D122)),rawStart,$F122,rawEnd,$G122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2" s="2">
        <f>LET(id,$A122,code,UPPER(TRIM($D122)),rawStart,$F122,rawEnd,$G122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2" s="2">
        <f>LET(id,$A122,code,UPPER(TRIM($D122)),rawStart,$F122,rawEnd,$G122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2" s="2">
        <f>LET(id,$A122,code,UPPER(TRIM($D122)),rawStart,$F122,rawEnd,$G122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2" s="2">
        <f>LET(id,$A122,code,UPPER(TRIM($D122)),rawStart,$F122,rawEnd,$G122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2" s="2">
        <f>LET(id,$A122,code,UPPER(TRIM($D122)),rawStart,$F122,rawEnd,$G122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2" s="2">
        <f>LET(id,$A122,code,UPPER(TRIM($D122)),rawStart,$F122,rawEnd,$G122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2" s="2">
        <f>LET(id,$A122,code,UPPER(TRIM($D122)),rawStart,$F122,rawEnd,$G122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2" s="2">
        <f>LET(id,$A122,code,UPPER(TRIM($D122)),rawStart,$F122,rawEnd,$G122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2" s="2">
        <f>LET(id,$A122,code,UPPER(TRIM($D122)),rawStart,$F122,rawEnd,$G122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2" s="2">
        <f>LET(id,$A122,code,UPPER(TRIM($D122)),rawStart,$F122,rawEnd,$G122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2" s="2">
        <f>LET(id,$A122,code,UPPER(TRIM($D122)),rawStart,$F122,rawEnd,$G122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2" s="2">
        <f>LET(id,$A122,code,UPPER(TRIM($D122)),rawStart,$F122,rawEnd,$G122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2" s="2">
        <f>LET(id,$A122,code,UPPER(TRIM($D122)),rawStart,$F122,rawEnd,$G122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2" s="2">
        <f>LET(id,$A122,code,UPPER(TRIM($D122)),rawStart,$F122,rawEnd,$G122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2" s="2">
        <f>LET(id,$A122,code,UPPER(TRIM($D122)),rawStart,$F122,rawEnd,$G122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2" s="2">
        <f>LET(id,$A122,code,UPPER(TRIM($D122)),rawStart,$F122,rawEnd,$G122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2" s="2">
        <f>LET(id,$A122,code,UPPER(TRIM($D122)),rawStart,$F122,rawEnd,$G122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2" s="2">
        <f>LET(id,$A122,code,UPPER(TRIM($D122)),rawStart,$F122,rawEnd,$G122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2" s="2">
        <f>LET(id,$A122,code,UPPER(TRIM($D122)),rawStart,$F122,rawEnd,$G122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2" s="2">
        <f>LET(id,$A122,code,UPPER(TRIM($D122)),rawStart,$F122,rawEnd,$G122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2" s="2">
        <f>LET(id,$A122,code,UPPER(TRIM($D122)),rawStart,$F122,rawEnd,$G122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2" s="2">
        <f>LET(id,$A122,code,UPPER(TRIM($D122)),rawStart,$F122,rawEnd,$G122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2" s="2">
        <f>LET(id,$A122,code,UPPER(TRIM($D122)),rawStart,$F122,rawEnd,$G122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2" s="2">
        <f>LET(id,$A122,code,UPPER(TRIM($D122)),rawStart,$F122,rawEnd,$G122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2" s="2">
        <f>LET(id,$A122,code,UPPER(TRIM($D122)),rawStart,$F122,rawEnd,$G122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2" s="2">
        <f>LET(id,$A122,code,UPPER(TRIM($D122)),rawStart,$F122,rawEnd,$G122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2" s="2">
        <f>LET(id,$A122,code,UPPER(TRIM($D122)),rawStart,$F122,rawEnd,$G122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2" s="2">
        <f>LET(id,$A122,code,UPPER(TRIM($D122)),rawStart,$F122,rawEnd,$G122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2" s="2">
        <f>LET(id,$A122,code,UPPER(TRIM($D122)),rawStart,$F122,rawEnd,$G122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2" s="2">
        <f>LET(id,$A122,code,UPPER(TRIM($D122)),rawStart,$F122,rawEnd,$G122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2" s="2">
        <f>LET(id,$A122,code,UPPER(TRIM($D122)),rawStart,$F122,rawEnd,$G122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2" s="2">
        <f>LET(id,$A122,code,UPPER(TRIM($D122)),rawStart,$F122,rawEnd,$G122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2" s="2">
        <f>LET(id,$A122,code,UPPER(TRIM($D122)),rawStart,$F122,rawEnd,$G122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2" s="2">
        <f>LET(id,$A122,code,UPPER(TRIM($D122)),rawStart,$F122,rawEnd,$G122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2" s="2">
        <f>LET(id,$A122,code,UPPER(TRIM($D122)),rawStart,$F122,rawEnd,$G122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2" s="2">
        <f>LET(id,$A122,code,UPPER(TRIM($D122)),rawStart,$F122,rawEnd,$G122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2" s="2">
        <f>LET(id,$A122,code,UPPER(TRIM($D122)),rawStart,$F122,rawEnd,$G122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2" s="2">
        <f>LET(id,$A122,code,UPPER(TRIM($D122)),rawStart,$F122,rawEnd,$G122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2" s="2">
        <f>LET(id,$A122,code,UPPER(TRIM($D122)),rawStart,$F122,rawEnd,$G122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2" s="2">
        <f>LET(id,$A122,code,UPPER(TRIM($D122)),rawStart,$F122,rawEnd,$G122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2" s="2">
        <f>LET(id,$A122,code,UPPER(TRIM($D122)),rawStart,$F122,rawEnd,$G122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2" s="2">
        <f>LET(id,$A122,code,UPPER(TRIM($D122)),rawStart,$F122,rawEnd,$G122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2" s="2">
        <f>LET(id,$A122,code,UPPER(TRIM($D122)),rawStart,$F122,rawEnd,$G122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22" s="2">
        <f>Calc_Engine!BD122</f>
        <v/>
      </c>
    </row>
    <row r="123">
      <c r="A123" s="2">
        <f>Calc_Engine!A123</f>
        <v/>
      </c>
      <c r="B123" s="2">
        <f>Calc_Engine!B123</f>
        <v/>
      </c>
      <c r="C123" s="2">
        <f>Calc_Engine!C123</f>
        <v/>
      </c>
      <c r="D123" s="2">
        <f>Calc_Engine!D123</f>
        <v/>
      </c>
      <c r="E123" s="4">
        <f>Calc_Engine!E123</f>
        <v/>
      </c>
      <c r="F123" s="5">
        <f>Calc_Engine!F123</f>
        <v/>
      </c>
      <c r="G123" s="5">
        <f>Calc_Engine!G123</f>
        <v/>
      </c>
      <c r="H123" s="2">
        <f>LET(id,$A123,code,UPPER(TRIM($D123)),rawStart,$F123,rawEnd,$G123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3" s="2">
        <f>LET(id,$A123,code,UPPER(TRIM($D123)),rawStart,$F123,rawEnd,$G123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3" s="2">
        <f>LET(id,$A123,code,UPPER(TRIM($D123)),rawStart,$F123,rawEnd,$G123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3" s="2">
        <f>LET(id,$A123,code,UPPER(TRIM($D123)),rawStart,$F123,rawEnd,$G123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3" s="2">
        <f>LET(id,$A123,code,UPPER(TRIM($D123)),rawStart,$F123,rawEnd,$G123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3" s="2">
        <f>LET(id,$A123,code,UPPER(TRIM($D123)),rawStart,$F123,rawEnd,$G123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3" s="2">
        <f>LET(id,$A123,code,UPPER(TRIM($D123)),rawStart,$F123,rawEnd,$G123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3" s="2">
        <f>LET(id,$A123,code,UPPER(TRIM($D123)),rawStart,$F123,rawEnd,$G123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3" s="2">
        <f>LET(id,$A123,code,UPPER(TRIM($D123)),rawStart,$F123,rawEnd,$G123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3" s="2">
        <f>LET(id,$A123,code,UPPER(TRIM($D123)),rawStart,$F123,rawEnd,$G123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3" s="2">
        <f>LET(id,$A123,code,UPPER(TRIM($D123)),rawStart,$F123,rawEnd,$G123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3" s="2">
        <f>LET(id,$A123,code,UPPER(TRIM($D123)),rawStart,$F123,rawEnd,$G123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3" s="2">
        <f>LET(id,$A123,code,UPPER(TRIM($D123)),rawStart,$F123,rawEnd,$G123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3" s="2">
        <f>LET(id,$A123,code,UPPER(TRIM($D123)),rawStart,$F123,rawEnd,$G123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3" s="2">
        <f>LET(id,$A123,code,UPPER(TRIM($D123)),rawStart,$F123,rawEnd,$G123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3" s="2">
        <f>LET(id,$A123,code,UPPER(TRIM($D123)),rawStart,$F123,rawEnd,$G123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3" s="2">
        <f>LET(id,$A123,code,UPPER(TRIM($D123)),rawStart,$F123,rawEnd,$G123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3" s="2">
        <f>LET(id,$A123,code,UPPER(TRIM($D123)),rawStart,$F123,rawEnd,$G123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3" s="2">
        <f>LET(id,$A123,code,UPPER(TRIM($D123)),rawStart,$F123,rawEnd,$G123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3" s="2">
        <f>LET(id,$A123,code,UPPER(TRIM($D123)),rawStart,$F123,rawEnd,$G123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3" s="2">
        <f>LET(id,$A123,code,UPPER(TRIM($D123)),rawStart,$F123,rawEnd,$G123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3" s="2">
        <f>LET(id,$A123,code,UPPER(TRIM($D123)),rawStart,$F123,rawEnd,$G123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3" s="2">
        <f>LET(id,$A123,code,UPPER(TRIM($D123)),rawStart,$F123,rawEnd,$G123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3" s="2">
        <f>LET(id,$A123,code,UPPER(TRIM($D123)),rawStart,$F123,rawEnd,$G123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3" s="2">
        <f>LET(id,$A123,code,UPPER(TRIM($D123)),rawStart,$F123,rawEnd,$G123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3" s="2">
        <f>LET(id,$A123,code,UPPER(TRIM($D123)),rawStart,$F123,rawEnd,$G123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3" s="2">
        <f>LET(id,$A123,code,UPPER(TRIM($D123)),rawStart,$F123,rawEnd,$G123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3" s="2">
        <f>LET(id,$A123,code,UPPER(TRIM($D123)),rawStart,$F123,rawEnd,$G123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3" s="2">
        <f>LET(id,$A123,code,UPPER(TRIM($D123)),rawStart,$F123,rawEnd,$G123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3" s="2">
        <f>LET(id,$A123,code,UPPER(TRIM($D123)),rawStart,$F123,rawEnd,$G123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3" s="2">
        <f>LET(id,$A123,code,UPPER(TRIM($D123)),rawStart,$F123,rawEnd,$G123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3" s="2">
        <f>LET(id,$A123,code,UPPER(TRIM($D123)),rawStart,$F123,rawEnd,$G123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3" s="2">
        <f>LET(id,$A123,code,UPPER(TRIM($D123)),rawStart,$F123,rawEnd,$G123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3" s="2">
        <f>LET(id,$A123,code,UPPER(TRIM($D123)),rawStart,$F123,rawEnd,$G123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3" s="2">
        <f>LET(id,$A123,code,UPPER(TRIM($D123)),rawStart,$F123,rawEnd,$G123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3" s="2">
        <f>LET(id,$A123,code,UPPER(TRIM($D123)),rawStart,$F123,rawEnd,$G123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3" s="2">
        <f>LET(id,$A123,code,UPPER(TRIM($D123)),rawStart,$F123,rawEnd,$G123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3" s="2">
        <f>LET(id,$A123,code,UPPER(TRIM($D123)),rawStart,$F123,rawEnd,$G123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3" s="2">
        <f>LET(id,$A123,code,UPPER(TRIM($D123)),rawStart,$F123,rawEnd,$G123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3" s="2">
        <f>LET(id,$A123,code,UPPER(TRIM($D123)),rawStart,$F123,rawEnd,$G123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3" s="2">
        <f>LET(id,$A123,code,UPPER(TRIM($D123)),rawStart,$F123,rawEnd,$G123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3" s="2">
        <f>LET(id,$A123,code,UPPER(TRIM($D123)),rawStart,$F123,rawEnd,$G123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3" s="2">
        <f>LET(id,$A123,code,UPPER(TRIM($D123)),rawStart,$F123,rawEnd,$G123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3" s="2">
        <f>LET(id,$A123,code,UPPER(TRIM($D123)),rawStart,$F123,rawEnd,$G123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3" s="2">
        <f>LET(id,$A123,code,UPPER(TRIM($D123)),rawStart,$F123,rawEnd,$G123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3" s="2">
        <f>LET(id,$A123,code,UPPER(TRIM($D123)),rawStart,$F123,rawEnd,$G123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3" s="2">
        <f>LET(id,$A123,code,UPPER(TRIM($D123)),rawStart,$F123,rawEnd,$G123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3" s="2">
        <f>LET(id,$A123,code,UPPER(TRIM($D123)),rawStart,$F123,rawEnd,$G123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23" s="2">
        <f>Calc_Engine!BD123</f>
        <v/>
      </c>
    </row>
    <row r="124">
      <c r="A124" s="2">
        <f>Calc_Engine!A124</f>
        <v/>
      </c>
      <c r="B124" s="2">
        <f>Calc_Engine!B124</f>
        <v/>
      </c>
      <c r="C124" s="2">
        <f>Calc_Engine!C124</f>
        <v/>
      </c>
      <c r="D124" s="2">
        <f>Calc_Engine!D124</f>
        <v/>
      </c>
      <c r="E124" s="4">
        <f>Calc_Engine!E124</f>
        <v/>
      </c>
      <c r="F124" s="5">
        <f>Calc_Engine!F124</f>
        <v/>
      </c>
      <c r="G124" s="5">
        <f>Calc_Engine!G124</f>
        <v/>
      </c>
      <c r="H124" s="2">
        <f>LET(id,$A124,code,UPPER(TRIM($D124)),rawStart,$F124,rawEnd,$G124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4" s="2">
        <f>LET(id,$A124,code,UPPER(TRIM($D124)),rawStart,$F124,rawEnd,$G124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4" s="2">
        <f>LET(id,$A124,code,UPPER(TRIM($D124)),rawStart,$F124,rawEnd,$G124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4" s="2">
        <f>LET(id,$A124,code,UPPER(TRIM($D124)),rawStart,$F124,rawEnd,$G124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4" s="2">
        <f>LET(id,$A124,code,UPPER(TRIM($D124)),rawStart,$F124,rawEnd,$G124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4" s="2">
        <f>LET(id,$A124,code,UPPER(TRIM($D124)),rawStart,$F124,rawEnd,$G124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4" s="2">
        <f>LET(id,$A124,code,UPPER(TRIM($D124)),rawStart,$F124,rawEnd,$G124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4" s="2">
        <f>LET(id,$A124,code,UPPER(TRIM($D124)),rawStart,$F124,rawEnd,$G124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4" s="2">
        <f>LET(id,$A124,code,UPPER(TRIM($D124)),rawStart,$F124,rawEnd,$G124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4" s="2">
        <f>LET(id,$A124,code,UPPER(TRIM($D124)),rawStart,$F124,rawEnd,$G124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4" s="2">
        <f>LET(id,$A124,code,UPPER(TRIM($D124)),rawStart,$F124,rawEnd,$G124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4" s="2">
        <f>LET(id,$A124,code,UPPER(TRIM($D124)),rawStart,$F124,rawEnd,$G124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4" s="2">
        <f>LET(id,$A124,code,UPPER(TRIM($D124)),rawStart,$F124,rawEnd,$G124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4" s="2">
        <f>LET(id,$A124,code,UPPER(TRIM($D124)),rawStart,$F124,rawEnd,$G124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4" s="2">
        <f>LET(id,$A124,code,UPPER(TRIM($D124)),rawStart,$F124,rawEnd,$G124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4" s="2">
        <f>LET(id,$A124,code,UPPER(TRIM($D124)),rawStart,$F124,rawEnd,$G124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4" s="2">
        <f>LET(id,$A124,code,UPPER(TRIM($D124)),rawStart,$F124,rawEnd,$G124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4" s="2">
        <f>LET(id,$A124,code,UPPER(TRIM($D124)),rawStart,$F124,rawEnd,$G124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4" s="2">
        <f>LET(id,$A124,code,UPPER(TRIM($D124)),rawStart,$F124,rawEnd,$G124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4" s="2">
        <f>LET(id,$A124,code,UPPER(TRIM($D124)),rawStart,$F124,rawEnd,$G124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4" s="2">
        <f>LET(id,$A124,code,UPPER(TRIM($D124)),rawStart,$F124,rawEnd,$G124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4" s="2">
        <f>LET(id,$A124,code,UPPER(TRIM($D124)),rawStart,$F124,rawEnd,$G124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4" s="2">
        <f>LET(id,$A124,code,UPPER(TRIM($D124)),rawStart,$F124,rawEnd,$G124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4" s="2">
        <f>LET(id,$A124,code,UPPER(TRIM($D124)),rawStart,$F124,rawEnd,$G124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4" s="2">
        <f>LET(id,$A124,code,UPPER(TRIM($D124)),rawStart,$F124,rawEnd,$G124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4" s="2">
        <f>LET(id,$A124,code,UPPER(TRIM($D124)),rawStart,$F124,rawEnd,$G124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4" s="2">
        <f>LET(id,$A124,code,UPPER(TRIM($D124)),rawStart,$F124,rawEnd,$G124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4" s="2">
        <f>LET(id,$A124,code,UPPER(TRIM($D124)),rawStart,$F124,rawEnd,$G124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4" s="2">
        <f>LET(id,$A124,code,UPPER(TRIM($D124)),rawStart,$F124,rawEnd,$G124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4" s="2">
        <f>LET(id,$A124,code,UPPER(TRIM($D124)),rawStart,$F124,rawEnd,$G124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4" s="2">
        <f>LET(id,$A124,code,UPPER(TRIM($D124)),rawStart,$F124,rawEnd,$G124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4" s="2">
        <f>LET(id,$A124,code,UPPER(TRIM($D124)),rawStart,$F124,rawEnd,$G124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4" s="2">
        <f>LET(id,$A124,code,UPPER(TRIM($D124)),rawStart,$F124,rawEnd,$G124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4" s="2">
        <f>LET(id,$A124,code,UPPER(TRIM($D124)),rawStart,$F124,rawEnd,$G124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4" s="2">
        <f>LET(id,$A124,code,UPPER(TRIM($D124)),rawStart,$F124,rawEnd,$G124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4" s="2">
        <f>LET(id,$A124,code,UPPER(TRIM($D124)),rawStart,$F124,rawEnd,$G124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4" s="2">
        <f>LET(id,$A124,code,UPPER(TRIM($D124)),rawStart,$F124,rawEnd,$G124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4" s="2">
        <f>LET(id,$A124,code,UPPER(TRIM($D124)),rawStart,$F124,rawEnd,$G124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4" s="2">
        <f>LET(id,$A124,code,UPPER(TRIM($D124)),rawStart,$F124,rawEnd,$G124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4" s="2">
        <f>LET(id,$A124,code,UPPER(TRIM($D124)),rawStart,$F124,rawEnd,$G124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4" s="2">
        <f>LET(id,$A124,code,UPPER(TRIM($D124)),rawStart,$F124,rawEnd,$G124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4" s="2">
        <f>LET(id,$A124,code,UPPER(TRIM($D124)),rawStart,$F124,rawEnd,$G124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4" s="2">
        <f>LET(id,$A124,code,UPPER(TRIM($D124)),rawStart,$F124,rawEnd,$G124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4" s="2">
        <f>LET(id,$A124,code,UPPER(TRIM($D124)),rawStart,$F124,rawEnd,$G124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4" s="2">
        <f>LET(id,$A124,code,UPPER(TRIM($D124)),rawStart,$F124,rawEnd,$G124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4" s="2">
        <f>LET(id,$A124,code,UPPER(TRIM($D124)),rawStart,$F124,rawEnd,$G124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4" s="2">
        <f>LET(id,$A124,code,UPPER(TRIM($D124)),rawStart,$F124,rawEnd,$G124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4" s="2">
        <f>LET(id,$A124,code,UPPER(TRIM($D124)),rawStart,$F124,rawEnd,$G124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24" s="2">
        <f>Calc_Engine!BD124</f>
        <v/>
      </c>
    </row>
    <row r="125">
      <c r="A125" s="2">
        <f>Calc_Engine!A125</f>
        <v/>
      </c>
      <c r="B125" s="2">
        <f>Calc_Engine!B125</f>
        <v/>
      </c>
      <c r="C125" s="2">
        <f>Calc_Engine!C125</f>
        <v/>
      </c>
      <c r="D125" s="2">
        <f>Calc_Engine!D125</f>
        <v/>
      </c>
      <c r="E125" s="4">
        <f>Calc_Engine!E125</f>
        <v/>
      </c>
      <c r="F125" s="5">
        <f>Calc_Engine!F125</f>
        <v/>
      </c>
      <c r="G125" s="5">
        <f>Calc_Engine!G125</f>
        <v/>
      </c>
      <c r="H125" s="2">
        <f>LET(id,$A125,code,UPPER(TRIM($D125)),rawStart,$F125,rawEnd,$G125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5" s="2">
        <f>LET(id,$A125,code,UPPER(TRIM($D125)),rawStart,$F125,rawEnd,$G125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5" s="2">
        <f>LET(id,$A125,code,UPPER(TRIM($D125)),rawStart,$F125,rawEnd,$G125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5" s="2">
        <f>LET(id,$A125,code,UPPER(TRIM($D125)),rawStart,$F125,rawEnd,$G125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5" s="2">
        <f>LET(id,$A125,code,UPPER(TRIM($D125)),rawStart,$F125,rawEnd,$G125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5" s="2">
        <f>LET(id,$A125,code,UPPER(TRIM($D125)),rawStart,$F125,rawEnd,$G125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5" s="2">
        <f>LET(id,$A125,code,UPPER(TRIM($D125)),rawStart,$F125,rawEnd,$G125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5" s="2">
        <f>LET(id,$A125,code,UPPER(TRIM($D125)),rawStart,$F125,rawEnd,$G125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5" s="2">
        <f>LET(id,$A125,code,UPPER(TRIM($D125)),rawStart,$F125,rawEnd,$G125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5" s="2">
        <f>LET(id,$A125,code,UPPER(TRIM($D125)),rawStart,$F125,rawEnd,$G125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5" s="2">
        <f>LET(id,$A125,code,UPPER(TRIM($D125)),rawStart,$F125,rawEnd,$G125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5" s="2">
        <f>LET(id,$A125,code,UPPER(TRIM($D125)),rawStart,$F125,rawEnd,$G125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5" s="2">
        <f>LET(id,$A125,code,UPPER(TRIM($D125)),rawStart,$F125,rawEnd,$G125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5" s="2">
        <f>LET(id,$A125,code,UPPER(TRIM($D125)),rawStart,$F125,rawEnd,$G125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5" s="2">
        <f>LET(id,$A125,code,UPPER(TRIM($D125)),rawStart,$F125,rawEnd,$G125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5" s="2">
        <f>LET(id,$A125,code,UPPER(TRIM($D125)),rawStart,$F125,rawEnd,$G125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5" s="2">
        <f>LET(id,$A125,code,UPPER(TRIM($D125)),rawStart,$F125,rawEnd,$G125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5" s="2">
        <f>LET(id,$A125,code,UPPER(TRIM($D125)),rawStart,$F125,rawEnd,$G125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5" s="2">
        <f>LET(id,$A125,code,UPPER(TRIM($D125)),rawStart,$F125,rawEnd,$G125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5" s="2">
        <f>LET(id,$A125,code,UPPER(TRIM($D125)),rawStart,$F125,rawEnd,$G125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5" s="2">
        <f>LET(id,$A125,code,UPPER(TRIM($D125)),rawStart,$F125,rawEnd,$G125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5" s="2">
        <f>LET(id,$A125,code,UPPER(TRIM($D125)),rawStart,$F125,rawEnd,$G125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5" s="2">
        <f>LET(id,$A125,code,UPPER(TRIM($D125)),rawStart,$F125,rawEnd,$G125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5" s="2">
        <f>LET(id,$A125,code,UPPER(TRIM($D125)),rawStart,$F125,rawEnd,$G125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5" s="2">
        <f>LET(id,$A125,code,UPPER(TRIM($D125)),rawStart,$F125,rawEnd,$G125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5" s="2">
        <f>LET(id,$A125,code,UPPER(TRIM($D125)),rawStart,$F125,rawEnd,$G125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5" s="2">
        <f>LET(id,$A125,code,UPPER(TRIM($D125)),rawStart,$F125,rawEnd,$G125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5" s="2">
        <f>LET(id,$A125,code,UPPER(TRIM($D125)),rawStart,$F125,rawEnd,$G125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5" s="2">
        <f>LET(id,$A125,code,UPPER(TRIM($D125)),rawStart,$F125,rawEnd,$G125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5" s="2">
        <f>LET(id,$A125,code,UPPER(TRIM($D125)),rawStart,$F125,rawEnd,$G125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5" s="2">
        <f>LET(id,$A125,code,UPPER(TRIM($D125)),rawStart,$F125,rawEnd,$G125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5" s="2">
        <f>LET(id,$A125,code,UPPER(TRIM($D125)),rawStart,$F125,rawEnd,$G125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5" s="2">
        <f>LET(id,$A125,code,UPPER(TRIM($D125)),rawStart,$F125,rawEnd,$G125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5" s="2">
        <f>LET(id,$A125,code,UPPER(TRIM($D125)),rawStart,$F125,rawEnd,$G125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5" s="2">
        <f>LET(id,$A125,code,UPPER(TRIM($D125)),rawStart,$F125,rawEnd,$G125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5" s="2">
        <f>LET(id,$A125,code,UPPER(TRIM($D125)),rawStart,$F125,rawEnd,$G125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5" s="2">
        <f>LET(id,$A125,code,UPPER(TRIM($D125)),rawStart,$F125,rawEnd,$G125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5" s="2">
        <f>LET(id,$A125,code,UPPER(TRIM($D125)),rawStart,$F125,rawEnd,$G125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5" s="2">
        <f>LET(id,$A125,code,UPPER(TRIM($D125)),rawStart,$F125,rawEnd,$G125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5" s="2">
        <f>LET(id,$A125,code,UPPER(TRIM($D125)),rawStart,$F125,rawEnd,$G125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5" s="2">
        <f>LET(id,$A125,code,UPPER(TRIM($D125)),rawStart,$F125,rawEnd,$G125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5" s="2">
        <f>LET(id,$A125,code,UPPER(TRIM($D125)),rawStart,$F125,rawEnd,$G125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5" s="2">
        <f>LET(id,$A125,code,UPPER(TRIM($D125)),rawStart,$F125,rawEnd,$G125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5" s="2">
        <f>LET(id,$A125,code,UPPER(TRIM($D125)),rawStart,$F125,rawEnd,$G125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5" s="2">
        <f>LET(id,$A125,code,UPPER(TRIM($D125)),rawStart,$F125,rawEnd,$G125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5" s="2">
        <f>LET(id,$A125,code,UPPER(TRIM($D125)),rawStart,$F125,rawEnd,$G125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5" s="2">
        <f>LET(id,$A125,code,UPPER(TRIM($D125)),rawStart,$F125,rawEnd,$G125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5" s="2">
        <f>LET(id,$A125,code,UPPER(TRIM($D125)),rawStart,$F125,rawEnd,$G125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25" s="2">
        <f>Calc_Engine!BD125</f>
        <v/>
      </c>
    </row>
    <row r="126">
      <c r="A126" s="2">
        <f>Calc_Engine!A126</f>
        <v/>
      </c>
      <c r="B126" s="2">
        <f>Calc_Engine!B126</f>
        <v/>
      </c>
      <c r="C126" s="2">
        <f>Calc_Engine!C126</f>
        <v/>
      </c>
      <c r="D126" s="2">
        <f>Calc_Engine!D126</f>
        <v/>
      </c>
      <c r="E126" s="4">
        <f>Calc_Engine!E126</f>
        <v/>
      </c>
      <c r="F126" s="5">
        <f>Calc_Engine!F126</f>
        <v/>
      </c>
      <c r="G126" s="5">
        <f>Calc_Engine!G126</f>
        <v/>
      </c>
      <c r="H126" s="2">
        <f>LET(id,$A126,code,UPPER(TRIM($D126)),rawStart,$F126,rawEnd,$G126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6" s="2">
        <f>LET(id,$A126,code,UPPER(TRIM($D126)),rawStart,$F126,rawEnd,$G126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6" s="2">
        <f>LET(id,$A126,code,UPPER(TRIM($D126)),rawStart,$F126,rawEnd,$G126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6" s="2">
        <f>LET(id,$A126,code,UPPER(TRIM($D126)),rawStart,$F126,rawEnd,$G126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6" s="2">
        <f>LET(id,$A126,code,UPPER(TRIM($D126)),rawStart,$F126,rawEnd,$G126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6" s="2">
        <f>LET(id,$A126,code,UPPER(TRIM($D126)),rawStart,$F126,rawEnd,$G126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6" s="2">
        <f>LET(id,$A126,code,UPPER(TRIM($D126)),rawStart,$F126,rawEnd,$G126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6" s="2">
        <f>LET(id,$A126,code,UPPER(TRIM($D126)),rawStart,$F126,rawEnd,$G126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6" s="2">
        <f>LET(id,$A126,code,UPPER(TRIM($D126)),rawStart,$F126,rawEnd,$G126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6" s="2">
        <f>LET(id,$A126,code,UPPER(TRIM($D126)),rawStart,$F126,rawEnd,$G126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6" s="2">
        <f>LET(id,$A126,code,UPPER(TRIM($D126)),rawStart,$F126,rawEnd,$G126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6" s="2">
        <f>LET(id,$A126,code,UPPER(TRIM($D126)),rawStart,$F126,rawEnd,$G126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6" s="2">
        <f>LET(id,$A126,code,UPPER(TRIM($D126)),rawStart,$F126,rawEnd,$G126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6" s="2">
        <f>LET(id,$A126,code,UPPER(TRIM($D126)),rawStart,$F126,rawEnd,$G126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6" s="2">
        <f>LET(id,$A126,code,UPPER(TRIM($D126)),rawStart,$F126,rawEnd,$G126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6" s="2">
        <f>LET(id,$A126,code,UPPER(TRIM($D126)),rawStart,$F126,rawEnd,$G126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6" s="2">
        <f>LET(id,$A126,code,UPPER(TRIM($D126)),rawStart,$F126,rawEnd,$G126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6" s="2">
        <f>LET(id,$A126,code,UPPER(TRIM($D126)),rawStart,$F126,rawEnd,$G126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6" s="2">
        <f>LET(id,$A126,code,UPPER(TRIM($D126)),rawStart,$F126,rawEnd,$G126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6" s="2">
        <f>LET(id,$A126,code,UPPER(TRIM($D126)),rawStart,$F126,rawEnd,$G126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6" s="2">
        <f>LET(id,$A126,code,UPPER(TRIM($D126)),rawStart,$F126,rawEnd,$G126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6" s="2">
        <f>LET(id,$A126,code,UPPER(TRIM($D126)),rawStart,$F126,rawEnd,$G126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6" s="2">
        <f>LET(id,$A126,code,UPPER(TRIM($D126)),rawStart,$F126,rawEnd,$G126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6" s="2">
        <f>LET(id,$A126,code,UPPER(TRIM($D126)),rawStart,$F126,rawEnd,$G126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6" s="2">
        <f>LET(id,$A126,code,UPPER(TRIM($D126)),rawStart,$F126,rawEnd,$G126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6" s="2">
        <f>LET(id,$A126,code,UPPER(TRIM($D126)),rawStart,$F126,rawEnd,$G126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6" s="2">
        <f>LET(id,$A126,code,UPPER(TRIM($D126)),rawStart,$F126,rawEnd,$G126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6" s="2">
        <f>LET(id,$A126,code,UPPER(TRIM($D126)),rawStart,$F126,rawEnd,$G126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6" s="2">
        <f>LET(id,$A126,code,UPPER(TRIM($D126)),rawStart,$F126,rawEnd,$G126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6" s="2">
        <f>LET(id,$A126,code,UPPER(TRIM($D126)),rawStart,$F126,rawEnd,$G126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6" s="2">
        <f>LET(id,$A126,code,UPPER(TRIM($D126)),rawStart,$F126,rawEnd,$G126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6" s="2">
        <f>LET(id,$A126,code,UPPER(TRIM($D126)),rawStart,$F126,rawEnd,$G126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6" s="2">
        <f>LET(id,$A126,code,UPPER(TRIM($D126)),rawStart,$F126,rawEnd,$G126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6" s="2">
        <f>LET(id,$A126,code,UPPER(TRIM($D126)),rawStart,$F126,rawEnd,$G126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6" s="2">
        <f>LET(id,$A126,code,UPPER(TRIM($D126)),rawStart,$F126,rawEnd,$G126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6" s="2">
        <f>LET(id,$A126,code,UPPER(TRIM($D126)),rawStart,$F126,rawEnd,$G126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6" s="2">
        <f>LET(id,$A126,code,UPPER(TRIM($D126)),rawStart,$F126,rawEnd,$G126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6" s="2">
        <f>LET(id,$A126,code,UPPER(TRIM($D126)),rawStart,$F126,rawEnd,$G126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6" s="2">
        <f>LET(id,$A126,code,UPPER(TRIM($D126)),rawStart,$F126,rawEnd,$G126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6" s="2">
        <f>LET(id,$A126,code,UPPER(TRIM($D126)),rawStart,$F126,rawEnd,$G126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6" s="2">
        <f>LET(id,$A126,code,UPPER(TRIM($D126)),rawStart,$F126,rawEnd,$G126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6" s="2">
        <f>LET(id,$A126,code,UPPER(TRIM($D126)),rawStart,$F126,rawEnd,$G126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6" s="2">
        <f>LET(id,$A126,code,UPPER(TRIM($D126)),rawStart,$F126,rawEnd,$G126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6" s="2">
        <f>LET(id,$A126,code,UPPER(TRIM($D126)),rawStart,$F126,rawEnd,$G126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6" s="2">
        <f>LET(id,$A126,code,UPPER(TRIM($D126)),rawStart,$F126,rawEnd,$G126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6" s="2">
        <f>LET(id,$A126,code,UPPER(TRIM($D126)),rawStart,$F126,rawEnd,$G126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6" s="2">
        <f>LET(id,$A126,code,UPPER(TRIM($D126)),rawStart,$F126,rawEnd,$G126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6" s="2">
        <f>LET(id,$A126,code,UPPER(TRIM($D126)),rawStart,$F126,rawEnd,$G126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26" s="2">
        <f>Calc_Engine!BD126</f>
        <v/>
      </c>
    </row>
    <row r="127">
      <c r="A127" s="2">
        <f>Calc_Engine!A127</f>
        <v/>
      </c>
      <c r="B127" s="2">
        <f>Calc_Engine!B127</f>
        <v/>
      </c>
      <c r="C127" s="2">
        <f>Calc_Engine!C127</f>
        <v/>
      </c>
      <c r="D127" s="2">
        <f>Calc_Engine!D127</f>
        <v/>
      </c>
      <c r="E127" s="4">
        <f>Calc_Engine!E127</f>
        <v/>
      </c>
      <c r="F127" s="5">
        <f>Calc_Engine!F127</f>
        <v/>
      </c>
      <c r="G127" s="5">
        <f>Calc_Engine!G127</f>
        <v/>
      </c>
      <c r="H127" s="2">
        <f>LET(id,$A127,code,UPPER(TRIM($D127)),rawStart,$F127,rawEnd,$G127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7" s="2">
        <f>LET(id,$A127,code,UPPER(TRIM($D127)),rawStart,$F127,rawEnd,$G127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7" s="2">
        <f>LET(id,$A127,code,UPPER(TRIM($D127)),rawStart,$F127,rawEnd,$G127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7" s="2">
        <f>LET(id,$A127,code,UPPER(TRIM($D127)),rawStart,$F127,rawEnd,$G127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7" s="2">
        <f>LET(id,$A127,code,UPPER(TRIM($D127)),rawStart,$F127,rawEnd,$G127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7" s="2">
        <f>LET(id,$A127,code,UPPER(TRIM($D127)),rawStart,$F127,rawEnd,$G127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7" s="2">
        <f>LET(id,$A127,code,UPPER(TRIM($D127)),rawStart,$F127,rawEnd,$G127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7" s="2">
        <f>LET(id,$A127,code,UPPER(TRIM($D127)),rawStart,$F127,rawEnd,$G127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7" s="2">
        <f>LET(id,$A127,code,UPPER(TRIM($D127)),rawStart,$F127,rawEnd,$G127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7" s="2">
        <f>LET(id,$A127,code,UPPER(TRIM($D127)),rawStart,$F127,rawEnd,$G127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7" s="2">
        <f>LET(id,$A127,code,UPPER(TRIM($D127)),rawStart,$F127,rawEnd,$G127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7" s="2">
        <f>LET(id,$A127,code,UPPER(TRIM($D127)),rawStart,$F127,rawEnd,$G127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7" s="2">
        <f>LET(id,$A127,code,UPPER(TRIM($D127)),rawStart,$F127,rawEnd,$G127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7" s="2">
        <f>LET(id,$A127,code,UPPER(TRIM($D127)),rawStart,$F127,rawEnd,$G127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7" s="2">
        <f>LET(id,$A127,code,UPPER(TRIM($D127)),rawStart,$F127,rawEnd,$G127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7" s="2">
        <f>LET(id,$A127,code,UPPER(TRIM($D127)),rawStart,$F127,rawEnd,$G127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7" s="2">
        <f>LET(id,$A127,code,UPPER(TRIM($D127)),rawStart,$F127,rawEnd,$G127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7" s="2">
        <f>LET(id,$A127,code,UPPER(TRIM($D127)),rawStart,$F127,rawEnd,$G127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7" s="2">
        <f>LET(id,$A127,code,UPPER(TRIM($D127)),rawStart,$F127,rawEnd,$G127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7" s="2">
        <f>LET(id,$A127,code,UPPER(TRIM($D127)),rawStart,$F127,rawEnd,$G127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7" s="2">
        <f>LET(id,$A127,code,UPPER(TRIM($D127)),rawStart,$F127,rawEnd,$G127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7" s="2">
        <f>LET(id,$A127,code,UPPER(TRIM($D127)),rawStart,$F127,rawEnd,$G127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7" s="2">
        <f>LET(id,$A127,code,UPPER(TRIM($D127)),rawStart,$F127,rawEnd,$G127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7" s="2">
        <f>LET(id,$A127,code,UPPER(TRIM($D127)),rawStart,$F127,rawEnd,$G127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7" s="2">
        <f>LET(id,$A127,code,UPPER(TRIM($D127)),rawStart,$F127,rawEnd,$G127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7" s="2">
        <f>LET(id,$A127,code,UPPER(TRIM($D127)),rawStart,$F127,rawEnd,$G127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7" s="2">
        <f>LET(id,$A127,code,UPPER(TRIM($D127)),rawStart,$F127,rawEnd,$G127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7" s="2">
        <f>LET(id,$A127,code,UPPER(TRIM($D127)),rawStart,$F127,rawEnd,$G127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7" s="2">
        <f>LET(id,$A127,code,UPPER(TRIM($D127)),rawStart,$F127,rawEnd,$G127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7" s="2">
        <f>LET(id,$A127,code,UPPER(TRIM($D127)),rawStart,$F127,rawEnd,$G127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7" s="2">
        <f>LET(id,$A127,code,UPPER(TRIM($D127)),rawStart,$F127,rawEnd,$G127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7" s="2">
        <f>LET(id,$A127,code,UPPER(TRIM($D127)),rawStart,$F127,rawEnd,$G127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7" s="2">
        <f>LET(id,$A127,code,UPPER(TRIM($D127)),rawStart,$F127,rawEnd,$G127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7" s="2">
        <f>LET(id,$A127,code,UPPER(TRIM($D127)),rawStart,$F127,rawEnd,$G127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7" s="2">
        <f>LET(id,$A127,code,UPPER(TRIM($D127)),rawStart,$F127,rawEnd,$G127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7" s="2">
        <f>LET(id,$A127,code,UPPER(TRIM($D127)),rawStart,$F127,rawEnd,$G127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7" s="2">
        <f>LET(id,$A127,code,UPPER(TRIM($D127)),rawStart,$F127,rawEnd,$G127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7" s="2">
        <f>LET(id,$A127,code,UPPER(TRIM($D127)),rawStart,$F127,rawEnd,$G127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7" s="2">
        <f>LET(id,$A127,code,UPPER(TRIM($D127)),rawStart,$F127,rawEnd,$G127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7" s="2">
        <f>LET(id,$A127,code,UPPER(TRIM($D127)),rawStart,$F127,rawEnd,$G127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7" s="2">
        <f>LET(id,$A127,code,UPPER(TRIM($D127)),rawStart,$F127,rawEnd,$G127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7" s="2">
        <f>LET(id,$A127,code,UPPER(TRIM($D127)),rawStart,$F127,rawEnd,$G127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7" s="2">
        <f>LET(id,$A127,code,UPPER(TRIM($D127)),rawStart,$F127,rawEnd,$G127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7" s="2">
        <f>LET(id,$A127,code,UPPER(TRIM($D127)),rawStart,$F127,rawEnd,$G127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7" s="2">
        <f>LET(id,$A127,code,UPPER(TRIM($D127)),rawStart,$F127,rawEnd,$G127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7" s="2">
        <f>LET(id,$A127,code,UPPER(TRIM($D127)),rawStart,$F127,rawEnd,$G127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7" s="2">
        <f>LET(id,$A127,code,UPPER(TRIM($D127)),rawStart,$F127,rawEnd,$G127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7" s="2">
        <f>LET(id,$A127,code,UPPER(TRIM($D127)),rawStart,$F127,rawEnd,$G127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27" s="2">
        <f>Calc_Engine!BD127</f>
        <v/>
      </c>
    </row>
    <row r="128">
      <c r="A128" s="2">
        <f>Calc_Engine!A128</f>
        <v/>
      </c>
      <c r="B128" s="2">
        <f>Calc_Engine!B128</f>
        <v/>
      </c>
      <c r="C128" s="2">
        <f>Calc_Engine!C128</f>
        <v/>
      </c>
      <c r="D128" s="2">
        <f>Calc_Engine!D128</f>
        <v/>
      </c>
      <c r="E128" s="4">
        <f>Calc_Engine!E128</f>
        <v/>
      </c>
      <c r="F128" s="5">
        <f>Calc_Engine!F128</f>
        <v/>
      </c>
      <c r="G128" s="5">
        <f>Calc_Engine!G128</f>
        <v/>
      </c>
      <c r="H128" s="2">
        <f>LET(id,$A128,code,UPPER(TRIM($D128)),rawStart,$F128,rawEnd,$G128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8" s="2">
        <f>LET(id,$A128,code,UPPER(TRIM($D128)),rawStart,$F128,rawEnd,$G128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8" s="2">
        <f>LET(id,$A128,code,UPPER(TRIM($D128)),rawStart,$F128,rawEnd,$G128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8" s="2">
        <f>LET(id,$A128,code,UPPER(TRIM($D128)),rawStart,$F128,rawEnd,$G128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8" s="2">
        <f>LET(id,$A128,code,UPPER(TRIM($D128)),rawStart,$F128,rawEnd,$G128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8" s="2">
        <f>LET(id,$A128,code,UPPER(TRIM($D128)),rawStart,$F128,rawEnd,$G128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8" s="2">
        <f>LET(id,$A128,code,UPPER(TRIM($D128)),rawStart,$F128,rawEnd,$G128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8" s="2">
        <f>LET(id,$A128,code,UPPER(TRIM($D128)),rawStart,$F128,rawEnd,$G128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8" s="2">
        <f>LET(id,$A128,code,UPPER(TRIM($D128)),rawStart,$F128,rawEnd,$G128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8" s="2">
        <f>LET(id,$A128,code,UPPER(TRIM($D128)),rawStart,$F128,rawEnd,$G128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8" s="2">
        <f>LET(id,$A128,code,UPPER(TRIM($D128)),rawStart,$F128,rawEnd,$G128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8" s="2">
        <f>LET(id,$A128,code,UPPER(TRIM($D128)),rawStart,$F128,rawEnd,$G128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8" s="2">
        <f>LET(id,$A128,code,UPPER(TRIM($D128)),rawStart,$F128,rawEnd,$G128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8" s="2">
        <f>LET(id,$A128,code,UPPER(TRIM($D128)),rawStart,$F128,rawEnd,$G128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8" s="2">
        <f>LET(id,$A128,code,UPPER(TRIM($D128)),rawStart,$F128,rawEnd,$G128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8" s="2">
        <f>LET(id,$A128,code,UPPER(TRIM($D128)),rawStart,$F128,rawEnd,$G128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8" s="2">
        <f>LET(id,$A128,code,UPPER(TRIM($D128)),rawStart,$F128,rawEnd,$G128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8" s="2">
        <f>LET(id,$A128,code,UPPER(TRIM($D128)),rawStart,$F128,rawEnd,$G128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8" s="2">
        <f>LET(id,$A128,code,UPPER(TRIM($D128)),rawStart,$F128,rawEnd,$G128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8" s="2">
        <f>LET(id,$A128,code,UPPER(TRIM($D128)),rawStart,$F128,rawEnd,$G128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8" s="2">
        <f>LET(id,$A128,code,UPPER(TRIM($D128)),rawStart,$F128,rawEnd,$G128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8" s="2">
        <f>LET(id,$A128,code,UPPER(TRIM($D128)),rawStart,$F128,rawEnd,$G128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8" s="2">
        <f>LET(id,$A128,code,UPPER(TRIM($D128)),rawStart,$F128,rawEnd,$G128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8" s="2">
        <f>LET(id,$A128,code,UPPER(TRIM($D128)),rawStart,$F128,rawEnd,$G128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8" s="2">
        <f>LET(id,$A128,code,UPPER(TRIM($D128)),rawStart,$F128,rawEnd,$G128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8" s="2">
        <f>LET(id,$A128,code,UPPER(TRIM($D128)),rawStart,$F128,rawEnd,$G128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8" s="2">
        <f>LET(id,$A128,code,UPPER(TRIM($D128)),rawStart,$F128,rawEnd,$G128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8" s="2">
        <f>LET(id,$A128,code,UPPER(TRIM($D128)),rawStart,$F128,rawEnd,$G128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8" s="2">
        <f>LET(id,$A128,code,UPPER(TRIM($D128)),rawStart,$F128,rawEnd,$G128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8" s="2">
        <f>LET(id,$A128,code,UPPER(TRIM($D128)),rawStart,$F128,rawEnd,$G128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8" s="2">
        <f>LET(id,$A128,code,UPPER(TRIM($D128)),rawStart,$F128,rawEnd,$G128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8" s="2">
        <f>LET(id,$A128,code,UPPER(TRIM($D128)),rawStart,$F128,rawEnd,$G128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8" s="2">
        <f>LET(id,$A128,code,UPPER(TRIM($D128)),rawStart,$F128,rawEnd,$G128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8" s="2">
        <f>LET(id,$A128,code,UPPER(TRIM($D128)),rawStart,$F128,rawEnd,$G128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8" s="2">
        <f>LET(id,$A128,code,UPPER(TRIM($D128)),rawStart,$F128,rawEnd,$G128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8" s="2">
        <f>LET(id,$A128,code,UPPER(TRIM($D128)),rawStart,$F128,rawEnd,$G128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8" s="2">
        <f>LET(id,$A128,code,UPPER(TRIM($D128)),rawStart,$F128,rawEnd,$G128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8" s="2">
        <f>LET(id,$A128,code,UPPER(TRIM($D128)),rawStart,$F128,rawEnd,$G128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8" s="2">
        <f>LET(id,$A128,code,UPPER(TRIM($D128)),rawStart,$F128,rawEnd,$G128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8" s="2">
        <f>LET(id,$A128,code,UPPER(TRIM($D128)),rawStart,$F128,rawEnd,$G128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8" s="2">
        <f>LET(id,$A128,code,UPPER(TRIM($D128)),rawStart,$F128,rawEnd,$G128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8" s="2">
        <f>LET(id,$A128,code,UPPER(TRIM($D128)),rawStart,$F128,rawEnd,$G128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8" s="2">
        <f>LET(id,$A128,code,UPPER(TRIM($D128)),rawStart,$F128,rawEnd,$G128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8" s="2">
        <f>LET(id,$A128,code,UPPER(TRIM($D128)),rawStart,$F128,rawEnd,$G128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8" s="2">
        <f>LET(id,$A128,code,UPPER(TRIM($D128)),rawStart,$F128,rawEnd,$G128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8" s="2">
        <f>LET(id,$A128,code,UPPER(TRIM($D128)),rawStart,$F128,rawEnd,$G128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8" s="2">
        <f>LET(id,$A128,code,UPPER(TRIM($D128)),rawStart,$F128,rawEnd,$G128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8" s="2">
        <f>LET(id,$A128,code,UPPER(TRIM($D128)),rawStart,$F128,rawEnd,$G128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28" s="2">
        <f>Calc_Engine!BD128</f>
        <v/>
      </c>
    </row>
    <row r="129">
      <c r="A129" s="2">
        <f>Calc_Engine!A129</f>
        <v/>
      </c>
      <c r="B129" s="2">
        <f>Calc_Engine!B129</f>
        <v/>
      </c>
      <c r="C129" s="2">
        <f>Calc_Engine!C129</f>
        <v/>
      </c>
      <c r="D129" s="2">
        <f>Calc_Engine!D129</f>
        <v/>
      </c>
      <c r="E129" s="4">
        <f>Calc_Engine!E129</f>
        <v/>
      </c>
      <c r="F129" s="5">
        <f>Calc_Engine!F129</f>
        <v/>
      </c>
      <c r="G129" s="5">
        <f>Calc_Engine!G129</f>
        <v/>
      </c>
      <c r="H129" s="2">
        <f>LET(id,$A129,code,UPPER(TRIM($D129)),rawStart,$F129,rawEnd,$G129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9" s="2">
        <f>LET(id,$A129,code,UPPER(TRIM($D129)),rawStart,$F129,rawEnd,$G129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9" s="2">
        <f>LET(id,$A129,code,UPPER(TRIM($D129)),rawStart,$F129,rawEnd,$G129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9" s="2">
        <f>LET(id,$A129,code,UPPER(TRIM($D129)),rawStart,$F129,rawEnd,$G129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9" s="2">
        <f>LET(id,$A129,code,UPPER(TRIM($D129)),rawStart,$F129,rawEnd,$G129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9" s="2">
        <f>LET(id,$A129,code,UPPER(TRIM($D129)),rawStart,$F129,rawEnd,$G129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9" s="2">
        <f>LET(id,$A129,code,UPPER(TRIM($D129)),rawStart,$F129,rawEnd,$G129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9" s="2">
        <f>LET(id,$A129,code,UPPER(TRIM($D129)),rawStart,$F129,rawEnd,$G129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9" s="2">
        <f>LET(id,$A129,code,UPPER(TRIM($D129)),rawStart,$F129,rawEnd,$G129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9" s="2">
        <f>LET(id,$A129,code,UPPER(TRIM($D129)),rawStart,$F129,rawEnd,$G129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9" s="2">
        <f>LET(id,$A129,code,UPPER(TRIM($D129)),rawStart,$F129,rawEnd,$G129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9" s="2">
        <f>LET(id,$A129,code,UPPER(TRIM($D129)),rawStart,$F129,rawEnd,$G129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9" s="2">
        <f>LET(id,$A129,code,UPPER(TRIM($D129)),rawStart,$F129,rawEnd,$G129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9" s="2">
        <f>LET(id,$A129,code,UPPER(TRIM($D129)),rawStart,$F129,rawEnd,$G129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9" s="2">
        <f>LET(id,$A129,code,UPPER(TRIM($D129)),rawStart,$F129,rawEnd,$G129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9" s="2">
        <f>LET(id,$A129,code,UPPER(TRIM($D129)),rawStart,$F129,rawEnd,$G129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9" s="2">
        <f>LET(id,$A129,code,UPPER(TRIM($D129)),rawStart,$F129,rawEnd,$G129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9" s="2">
        <f>LET(id,$A129,code,UPPER(TRIM($D129)),rawStart,$F129,rawEnd,$G129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9" s="2">
        <f>LET(id,$A129,code,UPPER(TRIM($D129)),rawStart,$F129,rawEnd,$G129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9" s="2">
        <f>LET(id,$A129,code,UPPER(TRIM($D129)),rawStart,$F129,rawEnd,$G129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9" s="2">
        <f>LET(id,$A129,code,UPPER(TRIM($D129)),rawStart,$F129,rawEnd,$G129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9" s="2">
        <f>LET(id,$A129,code,UPPER(TRIM($D129)),rawStart,$F129,rawEnd,$G129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9" s="2">
        <f>LET(id,$A129,code,UPPER(TRIM($D129)),rawStart,$F129,rawEnd,$G129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9" s="2">
        <f>LET(id,$A129,code,UPPER(TRIM($D129)),rawStart,$F129,rawEnd,$G129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9" s="2">
        <f>LET(id,$A129,code,UPPER(TRIM($D129)),rawStart,$F129,rawEnd,$G129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9" s="2">
        <f>LET(id,$A129,code,UPPER(TRIM($D129)),rawStart,$F129,rawEnd,$G129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9" s="2">
        <f>LET(id,$A129,code,UPPER(TRIM($D129)),rawStart,$F129,rawEnd,$G129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9" s="2">
        <f>LET(id,$A129,code,UPPER(TRIM($D129)),rawStart,$F129,rawEnd,$G129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9" s="2">
        <f>LET(id,$A129,code,UPPER(TRIM($D129)),rawStart,$F129,rawEnd,$G129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9" s="2">
        <f>LET(id,$A129,code,UPPER(TRIM($D129)),rawStart,$F129,rawEnd,$G129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9" s="2">
        <f>LET(id,$A129,code,UPPER(TRIM($D129)),rawStart,$F129,rawEnd,$G129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9" s="2">
        <f>LET(id,$A129,code,UPPER(TRIM($D129)),rawStart,$F129,rawEnd,$G129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9" s="2">
        <f>LET(id,$A129,code,UPPER(TRIM($D129)),rawStart,$F129,rawEnd,$G129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9" s="2">
        <f>LET(id,$A129,code,UPPER(TRIM($D129)),rawStart,$F129,rawEnd,$G129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9" s="2">
        <f>LET(id,$A129,code,UPPER(TRIM($D129)),rawStart,$F129,rawEnd,$G129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9" s="2">
        <f>LET(id,$A129,code,UPPER(TRIM($D129)),rawStart,$F129,rawEnd,$G129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9" s="2">
        <f>LET(id,$A129,code,UPPER(TRIM($D129)),rawStart,$F129,rawEnd,$G129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9" s="2">
        <f>LET(id,$A129,code,UPPER(TRIM($D129)),rawStart,$F129,rawEnd,$G129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9" s="2">
        <f>LET(id,$A129,code,UPPER(TRIM($D129)),rawStart,$F129,rawEnd,$G129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9" s="2">
        <f>LET(id,$A129,code,UPPER(TRIM($D129)),rawStart,$F129,rawEnd,$G129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9" s="2">
        <f>LET(id,$A129,code,UPPER(TRIM($D129)),rawStart,$F129,rawEnd,$G129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9" s="2">
        <f>LET(id,$A129,code,UPPER(TRIM($D129)),rawStart,$F129,rawEnd,$G129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9" s="2">
        <f>LET(id,$A129,code,UPPER(TRIM($D129)),rawStart,$F129,rawEnd,$G129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9" s="2">
        <f>LET(id,$A129,code,UPPER(TRIM($D129)),rawStart,$F129,rawEnd,$G129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9" s="2">
        <f>LET(id,$A129,code,UPPER(TRIM($D129)),rawStart,$F129,rawEnd,$G129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9" s="2">
        <f>LET(id,$A129,code,UPPER(TRIM($D129)),rawStart,$F129,rawEnd,$G129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9" s="2">
        <f>LET(id,$A129,code,UPPER(TRIM($D129)),rawStart,$F129,rawEnd,$G129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9" s="2">
        <f>LET(id,$A129,code,UPPER(TRIM($D129)),rawStart,$F129,rawEnd,$G129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29" s="2">
        <f>Calc_Engine!BD129</f>
        <v/>
      </c>
    </row>
    <row r="130">
      <c r="A130" s="2">
        <f>Calc_Engine!A130</f>
        <v/>
      </c>
      <c r="B130" s="2">
        <f>Calc_Engine!B130</f>
        <v/>
      </c>
      <c r="C130" s="2">
        <f>Calc_Engine!C130</f>
        <v/>
      </c>
      <c r="D130" s="2">
        <f>Calc_Engine!D130</f>
        <v/>
      </c>
      <c r="E130" s="4">
        <f>Calc_Engine!E130</f>
        <v/>
      </c>
      <c r="F130" s="5">
        <f>Calc_Engine!F130</f>
        <v/>
      </c>
      <c r="G130" s="5">
        <f>Calc_Engine!G130</f>
        <v/>
      </c>
      <c r="H130" s="2">
        <f>LET(id,$A130,code,UPPER(TRIM($D130)),rawStart,$F130,rawEnd,$G130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0" s="2">
        <f>LET(id,$A130,code,UPPER(TRIM($D130)),rawStart,$F130,rawEnd,$G130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0" s="2">
        <f>LET(id,$A130,code,UPPER(TRIM($D130)),rawStart,$F130,rawEnd,$G130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0" s="2">
        <f>LET(id,$A130,code,UPPER(TRIM($D130)),rawStart,$F130,rawEnd,$G130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0" s="2">
        <f>LET(id,$A130,code,UPPER(TRIM($D130)),rawStart,$F130,rawEnd,$G130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0" s="2">
        <f>LET(id,$A130,code,UPPER(TRIM($D130)),rawStart,$F130,rawEnd,$G130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0" s="2">
        <f>LET(id,$A130,code,UPPER(TRIM($D130)),rawStart,$F130,rawEnd,$G130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0" s="2">
        <f>LET(id,$A130,code,UPPER(TRIM($D130)),rawStart,$F130,rawEnd,$G130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0" s="2">
        <f>LET(id,$A130,code,UPPER(TRIM($D130)),rawStart,$F130,rawEnd,$G130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0" s="2">
        <f>LET(id,$A130,code,UPPER(TRIM($D130)),rawStart,$F130,rawEnd,$G130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0" s="2">
        <f>LET(id,$A130,code,UPPER(TRIM($D130)),rawStart,$F130,rawEnd,$G130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0" s="2">
        <f>LET(id,$A130,code,UPPER(TRIM($D130)),rawStart,$F130,rawEnd,$G130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0" s="2">
        <f>LET(id,$A130,code,UPPER(TRIM($D130)),rawStart,$F130,rawEnd,$G130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0" s="2">
        <f>LET(id,$A130,code,UPPER(TRIM($D130)),rawStart,$F130,rawEnd,$G130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0" s="2">
        <f>LET(id,$A130,code,UPPER(TRIM($D130)),rawStart,$F130,rawEnd,$G130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0" s="2">
        <f>LET(id,$A130,code,UPPER(TRIM($D130)),rawStart,$F130,rawEnd,$G130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0" s="2">
        <f>LET(id,$A130,code,UPPER(TRIM($D130)),rawStart,$F130,rawEnd,$G130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0" s="2">
        <f>LET(id,$A130,code,UPPER(TRIM($D130)),rawStart,$F130,rawEnd,$G130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0" s="2">
        <f>LET(id,$A130,code,UPPER(TRIM($D130)),rawStart,$F130,rawEnd,$G130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0" s="2">
        <f>LET(id,$A130,code,UPPER(TRIM($D130)),rawStart,$F130,rawEnd,$G130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0" s="2">
        <f>LET(id,$A130,code,UPPER(TRIM($D130)),rawStart,$F130,rawEnd,$G130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0" s="2">
        <f>LET(id,$A130,code,UPPER(TRIM($D130)),rawStart,$F130,rawEnd,$G130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0" s="2">
        <f>LET(id,$A130,code,UPPER(TRIM($D130)),rawStart,$F130,rawEnd,$G130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0" s="2">
        <f>LET(id,$A130,code,UPPER(TRIM($D130)),rawStart,$F130,rawEnd,$G130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0" s="2">
        <f>LET(id,$A130,code,UPPER(TRIM($D130)),rawStart,$F130,rawEnd,$G130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0" s="2">
        <f>LET(id,$A130,code,UPPER(TRIM($D130)),rawStart,$F130,rawEnd,$G130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0" s="2">
        <f>LET(id,$A130,code,UPPER(TRIM($D130)),rawStart,$F130,rawEnd,$G130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0" s="2">
        <f>LET(id,$A130,code,UPPER(TRIM($D130)),rawStart,$F130,rawEnd,$G130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0" s="2">
        <f>LET(id,$A130,code,UPPER(TRIM($D130)),rawStart,$F130,rawEnd,$G130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0" s="2">
        <f>LET(id,$A130,code,UPPER(TRIM($D130)),rawStart,$F130,rawEnd,$G130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0" s="2">
        <f>LET(id,$A130,code,UPPER(TRIM($D130)),rawStart,$F130,rawEnd,$G130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0" s="2">
        <f>LET(id,$A130,code,UPPER(TRIM($D130)),rawStart,$F130,rawEnd,$G130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0" s="2">
        <f>LET(id,$A130,code,UPPER(TRIM($D130)),rawStart,$F130,rawEnd,$G130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0" s="2">
        <f>LET(id,$A130,code,UPPER(TRIM($D130)),rawStart,$F130,rawEnd,$G130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0" s="2">
        <f>LET(id,$A130,code,UPPER(TRIM($D130)),rawStart,$F130,rawEnd,$G130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0" s="2">
        <f>LET(id,$A130,code,UPPER(TRIM($D130)),rawStart,$F130,rawEnd,$G130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0" s="2">
        <f>LET(id,$A130,code,UPPER(TRIM($D130)),rawStart,$F130,rawEnd,$G130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0" s="2">
        <f>LET(id,$A130,code,UPPER(TRIM($D130)),rawStart,$F130,rawEnd,$G130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0" s="2">
        <f>LET(id,$A130,code,UPPER(TRIM($D130)),rawStart,$F130,rawEnd,$G130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0" s="2">
        <f>LET(id,$A130,code,UPPER(TRIM($D130)),rawStart,$F130,rawEnd,$G130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0" s="2">
        <f>LET(id,$A130,code,UPPER(TRIM($D130)),rawStart,$F130,rawEnd,$G130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0" s="2">
        <f>LET(id,$A130,code,UPPER(TRIM($D130)),rawStart,$F130,rawEnd,$G130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0" s="2">
        <f>LET(id,$A130,code,UPPER(TRIM($D130)),rawStart,$F130,rawEnd,$G130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0" s="2">
        <f>LET(id,$A130,code,UPPER(TRIM($D130)),rawStart,$F130,rawEnd,$G130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0" s="2">
        <f>LET(id,$A130,code,UPPER(TRIM($D130)),rawStart,$F130,rawEnd,$G130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0" s="2">
        <f>LET(id,$A130,code,UPPER(TRIM($D130)),rawStart,$F130,rawEnd,$G130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0" s="2">
        <f>LET(id,$A130,code,UPPER(TRIM($D130)),rawStart,$F130,rawEnd,$G130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0" s="2">
        <f>LET(id,$A130,code,UPPER(TRIM($D130)),rawStart,$F130,rawEnd,$G130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30" s="2">
        <f>Calc_Engine!BD130</f>
        <v/>
      </c>
    </row>
    <row r="131">
      <c r="A131" s="2">
        <f>Calc_Engine!A131</f>
        <v/>
      </c>
      <c r="B131" s="2">
        <f>Calc_Engine!B131</f>
        <v/>
      </c>
      <c r="C131" s="2">
        <f>Calc_Engine!C131</f>
        <v/>
      </c>
      <c r="D131" s="2">
        <f>Calc_Engine!D131</f>
        <v/>
      </c>
      <c r="E131" s="4">
        <f>Calc_Engine!E131</f>
        <v/>
      </c>
      <c r="F131" s="5">
        <f>Calc_Engine!F131</f>
        <v/>
      </c>
      <c r="G131" s="5">
        <f>Calc_Engine!G131</f>
        <v/>
      </c>
      <c r="H131" s="2">
        <f>LET(id,$A131,code,UPPER(TRIM($D131)),rawStart,$F131,rawEnd,$G131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1" s="2">
        <f>LET(id,$A131,code,UPPER(TRIM($D131)),rawStart,$F131,rawEnd,$G131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1" s="2">
        <f>LET(id,$A131,code,UPPER(TRIM($D131)),rawStart,$F131,rawEnd,$G131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1" s="2">
        <f>LET(id,$A131,code,UPPER(TRIM($D131)),rawStart,$F131,rawEnd,$G131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1" s="2">
        <f>LET(id,$A131,code,UPPER(TRIM($D131)),rawStart,$F131,rawEnd,$G131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1" s="2">
        <f>LET(id,$A131,code,UPPER(TRIM($D131)),rawStart,$F131,rawEnd,$G131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1" s="2">
        <f>LET(id,$A131,code,UPPER(TRIM($D131)),rawStart,$F131,rawEnd,$G131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1" s="2">
        <f>LET(id,$A131,code,UPPER(TRIM($D131)),rawStart,$F131,rawEnd,$G131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1" s="2">
        <f>LET(id,$A131,code,UPPER(TRIM($D131)),rawStart,$F131,rawEnd,$G131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1" s="2">
        <f>LET(id,$A131,code,UPPER(TRIM($D131)),rawStart,$F131,rawEnd,$G131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1" s="2">
        <f>LET(id,$A131,code,UPPER(TRIM($D131)),rawStart,$F131,rawEnd,$G131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1" s="2">
        <f>LET(id,$A131,code,UPPER(TRIM($D131)),rawStart,$F131,rawEnd,$G131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1" s="2">
        <f>LET(id,$A131,code,UPPER(TRIM($D131)),rawStart,$F131,rawEnd,$G131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1" s="2">
        <f>LET(id,$A131,code,UPPER(TRIM($D131)),rawStart,$F131,rawEnd,$G131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1" s="2">
        <f>LET(id,$A131,code,UPPER(TRIM($D131)),rawStart,$F131,rawEnd,$G131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1" s="2">
        <f>LET(id,$A131,code,UPPER(TRIM($D131)),rawStart,$F131,rawEnd,$G131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1" s="2">
        <f>LET(id,$A131,code,UPPER(TRIM($D131)),rawStart,$F131,rawEnd,$G131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1" s="2">
        <f>LET(id,$A131,code,UPPER(TRIM($D131)),rawStart,$F131,rawEnd,$G131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1" s="2">
        <f>LET(id,$A131,code,UPPER(TRIM($D131)),rawStart,$F131,rawEnd,$G131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1" s="2">
        <f>LET(id,$A131,code,UPPER(TRIM($D131)),rawStart,$F131,rawEnd,$G131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1" s="2">
        <f>LET(id,$A131,code,UPPER(TRIM($D131)),rawStart,$F131,rawEnd,$G131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1" s="2">
        <f>LET(id,$A131,code,UPPER(TRIM($D131)),rawStart,$F131,rawEnd,$G131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1" s="2">
        <f>LET(id,$A131,code,UPPER(TRIM($D131)),rawStart,$F131,rawEnd,$G131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1" s="2">
        <f>LET(id,$A131,code,UPPER(TRIM($D131)),rawStart,$F131,rawEnd,$G131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1" s="2">
        <f>LET(id,$A131,code,UPPER(TRIM($D131)),rawStart,$F131,rawEnd,$G131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1" s="2">
        <f>LET(id,$A131,code,UPPER(TRIM($D131)),rawStart,$F131,rawEnd,$G131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1" s="2">
        <f>LET(id,$A131,code,UPPER(TRIM($D131)),rawStart,$F131,rawEnd,$G131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1" s="2">
        <f>LET(id,$A131,code,UPPER(TRIM($D131)),rawStart,$F131,rawEnd,$G131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1" s="2">
        <f>LET(id,$A131,code,UPPER(TRIM($D131)),rawStart,$F131,rawEnd,$G131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1" s="2">
        <f>LET(id,$A131,code,UPPER(TRIM($D131)),rawStart,$F131,rawEnd,$G131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1" s="2">
        <f>LET(id,$A131,code,UPPER(TRIM($D131)),rawStart,$F131,rawEnd,$G131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1" s="2">
        <f>LET(id,$A131,code,UPPER(TRIM($D131)),rawStart,$F131,rawEnd,$G131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1" s="2">
        <f>LET(id,$A131,code,UPPER(TRIM($D131)),rawStart,$F131,rawEnd,$G131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1" s="2">
        <f>LET(id,$A131,code,UPPER(TRIM($D131)),rawStart,$F131,rawEnd,$G131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1" s="2">
        <f>LET(id,$A131,code,UPPER(TRIM($D131)),rawStart,$F131,rawEnd,$G131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1" s="2">
        <f>LET(id,$A131,code,UPPER(TRIM($D131)),rawStart,$F131,rawEnd,$G131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1" s="2">
        <f>LET(id,$A131,code,UPPER(TRIM($D131)),rawStart,$F131,rawEnd,$G131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1" s="2">
        <f>LET(id,$A131,code,UPPER(TRIM($D131)),rawStart,$F131,rawEnd,$G131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1" s="2">
        <f>LET(id,$A131,code,UPPER(TRIM($D131)),rawStart,$F131,rawEnd,$G131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1" s="2">
        <f>LET(id,$A131,code,UPPER(TRIM($D131)),rawStart,$F131,rawEnd,$G131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1" s="2">
        <f>LET(id,$A131,code,UPPER(TRIM($D131)),rawStart,$F131,rawEnd,$G131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1" s="2">
        <f>LET(id,$A131,code,UPPER(TRIM($D131)),rawStart,$F131,rawEnd,$G131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1" s="2">
        <f>LET(id,$A131,code,UPPER(TRIM($D131)),rawStart,$F131,rawEnd,$G131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1" s="2">
        <f>LET(id,$A131,code,UPPER(TRIM($D131)),rawStart,$F131,rawEnd,$G131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1" s="2">
        <f>LET(id,$A131,code,UPPER(TRIM($D131)),rawStart,$F131,rawEnd,$G131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1" s="2">
        <f>LET(id,$A131,code,UPPER(TRIM($D131)),rawStart,$F131,rawEnd,$G131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1" s="2">
        <f>LET(id,$A131,code,UPPER(TRIM($D131)),rawStart,$F131,rawEnd,$G131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1" s="2">
        <f>LET(id,$A131,code,UPPER(TRIM($D131)),rawStart,$F131,rawEnd,$G131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31" s="2">
        <f>Calc_Engine!BD131</f>
        <v/>
      </c>
    </row>
    <row r="132">
      <c r="A132" s="2">
        <f>Calc_Engine!A132</f>
        <v/>
      </c>
      <c r="B132" s="2">
        <f>Calc_Engine!B132</f>
        <v/>
      </c>
      <c r="C132" s="2">
        <f>Calc_Engine!C132</f>
        <v/>
      </c>
      <c r="D132" s="2">
        <f>Calc_Engine!D132</f>
        <v/>
      </c>
      <c r="E132" s="4">
        <f>Calc_Engine!E132</f>
        <v/>
      </c>
      <c r="F132" s="5">
        <f>Calc_Engine!F132</f>
        <v/>
      </c>
      <c r="G132" s="5">
        <f>Calc_Engine!G132</f>
        <v/>
      </c>
      <c r="H132" s="2">
        <f>LET(id,$A132,code,UPPER(TRIM($D132)),rawStart,$F132,rawEnd,$G132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2" s="2">
        <f>LET(id,$A132,code,UPPER(TRIM($D132)),rawStart,$F132,rawEnd,$G132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2" s="2">
        <f>LET(id,$A132,code,UPPER(TRIM($D132)),rawStart,$F132,rawEnd,$G132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2" s="2">
        <f>LET(id,$A132,code,UPPER(TRIM($D132)),rawStart,$F132,rawEnd,$G132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2" s="2">
        <f>LET(id,$A132,code,UPPER(TRIM($D132)),rawStart,$F132,rawEnd,$G132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2" s="2">
        <f>LET(id,$A132,code,UPPER(TRIM($D132)),rawStart,$F132,rawEnd,$G132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2" s="2">
        <f>LET(id,$A132,code,UPPER(TRIM($D132)),rawStart,$F132,rawEnd,$G132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2" s="2">
        <f>LET(id,$A132,code,UPPER(TRIM($D132)),rawStart,$F132,rawEnd,$G132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2" s="2">
        <f>LET(id,$A132,code,UPPER(TRIM($D132)),rawStart,$F132,rawEnd,$G132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2" s="2">
        <f>LET(id,$A132,code,UPPER(TRIM($D132)),rawStart,$F132,rawEnd,$G132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2" s="2">
        <f>LET(id,$A132,code,UPPER(TRIM($D132)),rawStart,$F132,rawEnd,$G132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2" s="2">
        <f>LET(id,$A132,code,UPPER(TRIM($D132)),rawStart,$F132,rawEnd,$G132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2" s="2">
        <f>LET(id,$A132,code,UPPER(TRIM($D132)),rawStart,$F132,rawEnd,$G132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2" s="2">
        <f>LET(id,$A132,code,UPPER(TRIM($D132)),rawStart,$F132,rawEnd,$G132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2" s="2">
        <f>LET(id,$A132,code,UPPER(TRIM($D132)),rawStart,$F132,rawEnd,$G132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2" s="2">
        <f>LET(id,$A132,code,UPPER(TRIM($D132)),rawStart,$F132,rawEnd,$G132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2" s="2">
        <f>LET(id,$A132,code,UPPER(TRIM($D132)),rawStart,$F132,rawEnd,$G132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2" s="2">
        <f>LET(id,$A132,code,UPPER(TRIM($D132)),rawStart,$F132,rawEnd,$G132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2" s="2">
        <f>LET(id,$A132,code,UPPER(TRIM($D132)),rawStart,$F132,rawEnd,$G132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2" s="2">
        <f>LET(id,$A132,code,UPPER(TRIM($D132)),rawStart,$F132,rawEnd,$G132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2" s="2">
        <f>LET(id,$A132,code,UPPER(TRIM($D132)),rawStart,$F132,rawEnd,$G132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2" s="2">
        <f>LET(id,$A132,code,UPPER(TRIM($D132)),rawStart,$F132,rawEnd,$G132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2" s="2">
        <f>LET(id,$A132,code,UPPER(TRIM($D132)),rawStart,$F132,rawEnd,$G132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2" s="2">
        <f>LET(id,$A132,code,UPPER(TRIM($D132)),rawStart,$F132,rawEnd,$G132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2" s="2">
        <f>LET(id,$A132,code,UPPER(TRIM($D132)),rawStart,$F132,rawEnd,$G132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2" s="2">
        <f>LET(id,$A132,code,UPPER(TRIM($D132)),rawStart,$F132,rawEnd,$G132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2" s="2">
        <f>LET(id,$A132,code,UPPER(TRIM($D132)),rawStart,$F132,rawEnd,$G132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2" s="2">
        <f>LET(id,$A132,code,UPPER(TRIM($D132)),rawStart,$F132,rawEnd,$G132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2" s="2">
        <f>LET(id,$A132,code,UPPER(TRIM($D132)),rawStart,$F132,rawEnd,$G132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2" s="2">
        <f>LET(id,$A132,code,UPPER(TRIM($D132)),rawStart,$F132,rawEnd,$G132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2" s="2">
        <f>LET(id,$A132,code,UPPER(TRIM($D132)),rawStart,$F132,rawEnd,$G132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2" s="2">
        <f>LET(id,$A132,code,UPPER(TRIM($D132)),rawStart,$F132,rawEnd,$G132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2" s="2">
        <f>LET(id,$A132,code,UPPER(TRIM($D132)),rawStart,$F132,rawEnd,$G132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2" s="2">
        <f>LET(id,$A132,code,UPPER(TRIM($D132)),rawStart,$F132,rawEnd,$G132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2" s="2">
        <f>LET(id,$A132,code,UPPER(TRIM($D132)),rawStart,$F132,rawEnd,$G132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2" s="2">
        <f>LET(id,$A132,code,UPPER(TRIM($D132)),rawStart,$F132,rawEnd,$G132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2" s="2">
        <f>LET(id,$A132,code,UPPER(TRIM($D132)),rawStart,$F132,rawEnd,$G132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2" s="2">
        <f>LET(id,$A132,code,UPPER(TRIM($D132)),rawStart,$F132,rawEnd,$G132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2" s="2">
        <f>LET(id,$A132,code,UPPER(TRIM($D132)),rawStart,$F132,rawEnd,$G132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2" s="2">
        <f>LET(id,$A132,code,UPPER(TRIM($D132)),rawStart,$F132,rawEnd,$G132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2" s="2">
        <f>LET(id,$A132,code,UPPER(TRIM($D132)),rawStart,$F132,rawEnd,$G132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2" s="2">
        <f>LET(id,$A132,code,UPPER(TRIM($D132)),rawStart,$F132,rawEnd,$G132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2" s="2">
        <f>LET(id,$A132,code,UPPER(TRIM($D132)),rawStart,$F132,rawEnd,$G132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2" s="2">
        <f>LET(id,$A132,code,UPPER(TRIM($D132)),rawStart,$F132,rawEnd,$G132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2" s="2">
        <f>LET(id,$A132,code,UPPER(TRIM($D132)),rawStart,$F132,rawEnd,$G132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2" s="2">
        <f>LET(id,$A132,code,UPPER(TRIM($D132)),rawStart,$F132,rawEnd,$G132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2" s="2">
        <f>LET(id,$A132,code,UPPER(TRIM($D132)),rawStart,$F132,rawEnd,$G132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2" s="2">
        <f>LET(id,$A132,code,UPPER(TRIM($D132)),rawStart,$F132,rawEnd,$G132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32" s="2">
        <f>Calc_Engine!BD132</f>
        <v/>
      </c>
    </row>
    <row r="133">
      <c r="A133" s="2">
        <f>Calc_Engine!A133</f>
        <v/>
      </c>
      <c r="B133" s="2">
        <f>Calc_Engine!B133</f>
        <v/>
      </c>
      <c r="C133" s="2">
        <f>Calc_Engine!C133</f>
        <v/>
      </c>
      <c r="D133" s="2">
        <f>Calc_Engine!D133</f>
        <v/>
      </c>
      <c r="E133" s="4">
        <f>Calc_Engine!E133</f>
        <v/>
      </c>
      <c r="F133" s="5">
        <f>Calc_Engine!F133</f>
        <v/>
      </c>
      <c r="G133" s="5">
        <f>Calc_Engine!G133</f>
        <v/>
      </c>
      <c r="H133" s="2">
        <f>LET(id,$A133,code,UPPER(TRIM($D133)),rawStart,$F133,rawEnd,$G133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3" s="2">
        <f>LET(id,$A133,code,UPPER(TRIM($D133)),rawStart,$F133,rawEnd,$G133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3" s="2">
        <f>LET(id,$A133,code,UPPER(TRIM($D133)),rawStart,$F133,rawEnd,$G133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3" s="2">
        <f>LET(id,$A133,code,UPPER(TRIM($D133)),rawStart,$F133,rawEnd,$G133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3" s="2">
        <f>LET(id,$A133,code,UPPER(TRIM($D133)),rawStart,$F133,rawEnd,$G133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3" s="2">
        <f>LET(id,$A133,code,UPPER(TRIM($D133)),rawStart,$F133,rawEnd,$G133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3" s="2">
        <f>LET(id,$A133,code,UPPER(TRIM($D133)),rawStart,$F133,rawEnd,$G133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3" s="2">
        <f>LET(id,$A133,code,UPPER(TRIM($D133)),rawStart,$F133,rawEnd,$G133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3" s="2">
        <f>LET(id,$A133,code,UPPER(TRIM($D133)),rawStart,$F133,rawEnd,$G133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3" s="2">
        <f>LET(id,$A133,code,UPPER(TRIM($D133)),rawStart,$F133,rawEnd,$G133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3" s="2">
        <f>LET(id,$A133,code,UPPER(TRIM($D133)),rawStart,$F133,rawEnd,$G133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3" s="2">
        <f>LET(id,$A133,code,UPPER(TRIM($D133)),rawStart,$F133,rawEnd,$G133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3" s="2">
        <f>LET(id,$A133,code,UPPER(TRIM($D133)),rawStart,$F133,rawEnd,$G133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3" s="2">
        <f>LET(id,$A133,code,UPPER(TRIM($D133)),rawStart,$F133,rawEnd,$G133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3" s="2">
        <f>LET(id,$A133,code,UPPER(TRIM($D133)),rawStart,$F133,rawEnd,$G133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3" s="2">
        <f>LET(id,$A133,code,UPPER(TRIM($D133)),rawStart,$F133,rawEnd,$G133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3" s="2">
        <f>LET(id,$A133,code,UPPER(TRIM($D133)),rawStart,$F133,rawEnd,$G133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3" s="2">
        <f>LET(id,$A133,code,UPPER(TRIM($D133)),rawStart,$F133,rawEnd,$G133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3" s="2">
        <f>LET(id,$A133,code,UPPER(TRIM($D133)),rawStart,$F133,rawEnd,$G133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3" s="2">
        <f>LET(id,$A133,code,UPPER(TRIM($D133)),rawStart,$F133,rawEnd,$G133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3" s="2">
        <f>LET(id,$A133,code,UPPER(TRIM($D133)),rawStart,$F133,rawEnd,$G133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3" s="2">
        <f>LET(id,$A133,code,UPPER(TRIM($D133)),rawStart,$F133,rawEnd,$G133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3" s="2">
        <f>LET(id,$A133,code,UPPER(TRIM($D133)),rawStart,$F133,rawEnd,$G133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3" s="2">
        <f>LET(id,$A133,code,UPPER(TRIM($D133)),rawStart,$F133,rawEnd,$G133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3" s="2">
        <f>LET(id,$A133,code,UPPER(TRIM($D133)),rawStart,$F133,rawEnd,$G133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3" s="2">
        <f>LET(id,$A133,code,UPPER(TRIM($D133)),rawStart,$F133,rawEnd,$G133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3" s="2">
        <f>LET(id,$A133,code,UPPER(TRIM($D133)),rawStart,$F133,rawEnd,$G133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3" s="2">
        <f>LET(id,$A133,code,UPPER(TRIM($D133)),rawStart,$F133,rawEnd,$G133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3" s="2">
        <f>LET(id,$A133,code,UPPER(TRIM($D133)),rawStart,$F133,rawEnd,$G133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3" s="2">
        <f>LET(id,$A133,code,UPPER(TRIM($D133)),rawStart,$F133,rawEnd,$G133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3" s="2">
        <f>LET(id,$A133,code,UPPER(TRIM($D133)),rawStart,$F133,rawEnd,$G133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3" s="2">
        <f>LET(id,$A133,code,UPPER(TRIM($D133)),rawStart,$F133,rawEnd,$G133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3" s="2">
        <f>LET(id,$A133,code,UPPER(TRIM($D133)),rawStart,$F133,rawEnd,$G133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3" s="2">
        <f>LET(id,$A133,code,UPPER(TRIM($D133)),rawStart,$F133,rawEnd,$G133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3" s="2">
        <f>LET(id,$A133,code,UPPER(TRIM($D133)),rawStart,$F133,rawEnd,$G133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3" s="2">
        <f>LET(id,$A133,code,UPPER(TRIM($D133)),rawStart,$F133,rawEnd,$G133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3" s="2">
        <f>LET(id,$A133,code,UPPER(TRIM($D133)),rawStart,$F133,rawEnd,$G133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3" s="2">
        <f>LET(id,$A133,code,UPPER(TRIM($D133)),rawStart,$F133,rawEnd,$G133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3" s="2">
        <f>LET(id,$A133,code,UPPER(TRIM($D133)),rawStart,$F133,rawEnd,$G133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3" s="2">
        <f>LET(id,$A133,code,UPPER(TRIM($D133)),rawStart,$F133,rawEnd,$G133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3" s="2">
        <f>LET(id,$A133,code,UPPER(TRIM($D133)),rawStart,$F133,rawEnd,$G133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3" s="2">
        <f>LET(id,$A133,code,UPPER(TRIM($D133)),rawStart,$F133,rawEnd,$G133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3" s="2">
        <f>LET(id,$A133,code,UPPER(TRIM($D133)),rawStart,$F133,rawEnd,$G133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3" s="2">
        <f>LET(id,$A133,code,UPPER(TRIM($D133)),rawStart,$F133,rawEnd,$G133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3" s="2">
        <f>LET(id,$A133,code,UPPER(TRIM($D133)),rawStart,$F133,rawEnd,$G133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3" s="2">
        <f>LET(id,$A133,code,UPPER(TRIM($D133)),rawStart,$F133,rawEnd,$G133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3" s="2">
        <f>LET(id,$A133,code,UPPER(TRIM($D133)),rawStart,$F133,rawEnd,$G133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3" s="2">
        <f>LET(id,$A133,code,UPPER(TRIM($D133)),rawStart,$F133,rawEnd,$G133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33" s="2">
        <f>Calc_Engine!BD133</f>
        <v/>
      </c>
    </row>
    <row r="134">
      <c r="A134" s="2">
        <f>Calc_Engine!A134</f>
        <v/>
      </c>
      <c r="B134" s="2">
        <f>Calc_Engine!B134</f>
        <v/>
      </c>
      <c r="C134" s="2">
        <f>Calc_Engine!C134</f>
        <v/>
      </c>
      <c r="D134" s="2">
        <f>Calc_Engine!D134</f>
        <v/>
      </c>
      <c r="E134" s="4">
        <f>Calc_Engine!E134</f>
        <v/>
      </c>
      <c r="F134" s="5">
        <f>Calc_Engine!F134</f>
        <v/>
      </c>
      <c r="G134" s="5">
        <f>Calc_Engine!G134</f>
        <v/>
      </c>
      <c r="H134" s="2">
        <f>LET(id,$A134,code,UPPER(TRIM($D134)),rawStart,$F134,rawEnd,$G134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4" s="2">
        <f>LET(id,$A134,code,UPPER(TRIM($D134)),rawStart,$F134,rawEnd,$G134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4" s="2">
        <f>LET(id,$A134,code,UPPER(TRIM($D134)),rawStart,$F134,rawEnd,$G134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4" s="2">
        <f>LET(id,$A134,code,UPPER(TRIM($D134)),rawStart,$F134,rawEnd,$G134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4" s="2">
        <f>LET(id,$A134,code,UPPER(TRIM($D134)),rawStart,$F134,rawEnd,$G134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4" s="2">
        <f>LET(id,$A134,code,UPPER(TRIM($D134)),rawStart,$F134,rawEnd,$G134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4" s="2">
        <f>LET(id,$A134,code,UPPER(TRIM($D134)),rawStart,$F134,rawEnd,$G134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4" s="2">
        <f>LET(id,$A134,code,UPPER(TRIM($D134)),rawStart,$F134,rawEnd,$G134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4" s="2">
        <f>LET(id,$A134,code,UPPER(TRIM($D134)),rawStart,$F134,rawEnd,$G134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4" s="2">
        <f>LET(id,$A134,code,UPPER(TRIM($D134)),rawStart,$F134,rawEnd,$G134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4" s="2">
        <f>LET(id,$A134,code,UPPER(TRIM($D134)),rawStart,$F134,rawEnd,$G134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4" s="2">
        <f>LET(id,$A134,code,UPPER(TRIM($D134)),rawStart,$F134,rawEnd,$G134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4" s="2">
        <f>LET(id,$A134,code,UPPER(TRIM($D134)),rawStart,$F134,rawEnd,$G134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4" s="2">
        <f>LET(id,$A134,code,UPPER(TRIM($D134)),rawStart,$F134,rawEnd,$G134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4" s="2">
        <f>LET(id,$A134,code,UPPER(TRIM($D134)),rawStart,$F134,rawEnd,$G134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4" s="2">
        <f>LET(id,$A134,code,UPPER(TRIM($D134)),rawStart,$F134,rawEnd,$G134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4" s="2">
        <f>LET(id,$A134,code,UPPER(TRIM($D134)),rawStart,$F134,rawEnd,$G134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4" s="2">
        <f>LET(id,$A134,code,UPPER(TRIM($D134)),rawStart,$F134,rawEnd,$G134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4" s="2">
        <f>LET(id,$A134,code,UPPER(TRIM($D134)),rawStart,$F134,rawEnd,$G134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4" s="2">
        <f>LET(id,$A134,code,UPPER(TRIM($D134)),rawStart,$F134,rawEnd,$G134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4" s="2">
        <f>LET(id,$A134,code,UPPER(TRIM($D134)),rawStart,$F134,rawEnd,$G134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4" s="2">
        <f>LET(id,$A134,code,UPPER(TRIM($D134)),rawStart,$F134,rawEnd,$G134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4" s="2">
        <f>LET(id,$A134,code,UPPER(TRIM($D134)),rawStart,$F134,rawEnd,$G134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4" s="2">
        <f>LET(id,$A134,code,UPPER(TRIM($D134)),rawStart,$F134,rawEnd,$G134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4" s="2">
        <f>LET(id,$A134,code,UPPER(TRIM($D134)),rawStart,$F134,rawEnd,$G134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4" s="2">
        <f>LET(id,$A134,code,UPPER(TRIM($D134)),rawStart,$F134,rawEnd,$G134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4" s="2">
        <f>LET(id,$A134,code,UPPER(TRIM($D134)),rawStart,$F134,rawEnd,$G134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4" s="2">
        <f>LET(id,$A134,code,UPPER(TRIM($D134)),rawStart,$F134,rawEnd,$G134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4" s="2">
        <f>LET(id,$A134,code,UPPER(TRIM($D134)),rawStart,$F134,rawEnd,$G134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4" s="2">
        <f>LET(id,$A134,code,UPPER(TRIM($D134)),rawStart,$F134,rawEnd,$G134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4" s="2">
        <f>LET(id,$A134,code,UPPER(TRIM($D134)),rawStart,$F134,rawEnd,$G134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4" s="2">
        <f>LET(id,$A134,code,UPPER(TRIM($D134)),rawStart,$F134,rawEnd,$G134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4" s="2">
        <f>LET(id,$A134,code,UPPER(TRIM($D134)),rawStart,$F134,rawEnd,$G134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4" s="2">
        <f>LET(id,$A134,code,UPPER(TRIM($D134)),rawStart,$F134,rawEnd,$G134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4" s="2">
        <f>LET(id,$A134,code,UPPER(TRIM($D134)),rawStart,$F134,rawEnd,$G134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4" s="2">
        <f>LET(id,$A134,code,UPPER(TRIM($D134)),rawStart,$F134,rawEnd,$G134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4" s="2">
        <f>LET(id,$A134,code,UPPER(TRIM($D134)),rawStart,$F134,rawEnd,$G134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4" s="2">
        <f>LET(id,$A134,code,UPPER(TRIM($D134)),rawStart,$F134,rawEnd,$G134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4" s="2">
        <f>LET(id,$A134,code,UPPER(TRIM($D134)),rawStart,$F134,rawEnd,$G134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4" s="2">
        <f>LET(id,$A134,code,UPPER(TRIM($D134)),rawStart,$F134,rawEnd,$G134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4" s="2">
        <f>LET(id,$A134,code,UPPER(TRIM($D134)),rawStart,$F134,rawEnd,$G134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4" s="2">
        <f>LET(id,$A134,code,UPPER(TRIM($D134)),rawStart,$F134,rawEnd,$G134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4" s="2">
        <f>LET(id,$A134,code,UPPER(TRIM($D134)),rawStart,$F134,rawEnd,$G134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4" s="2">
        <f>LET(id,$A134,code,UPPER(TRIM($D134)),rawStart,$F134,rawEnd,$G134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4" s="2">
        <f>LET(id,$A134,code,UPPER(TRIM($D134)),rawStart,$F134,rawEnd,$G134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4" s="2">
        <f>LET(id,$A134,code,UPPER(TRIM($D134)),rawStart,$F134,rawEnd,$G134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4" s="2">
        <f>LET(id,$A134,code,UPPER(TRIM($D134)),rawStart,$F134,rawEnd,$G134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4" s="2">
        <f>LET(id,$A134,code,UPPER(TRIM($D134)),rawStart,$F134,rawEnd,$G134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34" s="2">
        <f>Calc_Engine!BD134</f>
        <v/>
      </c>
    </row>
    <row r="135">
      <c r="A135" s="2">
        <f>Calc_Engine!A135</f>
        <v/>
      </c>
      <c r="B135" s="2">
        <f>Calc_Engine!B135</f>
        <v/>
      </c>
      <c r="C135" s="2">
        <f>Calc_Engine!C135</f>
        <v/>
      </c>
      <c r="D135" s="2">
        <f>Calc_Engine!D135</f>
        <v/>
      </c>
      <c r="E135" s="4">
        <f>Calc_Engine!E135</f>
        <v/>
      </c>
      <c r="F135" s="5">
        <f>Calc_Engine!F135</f>
        <v/>
      </c>
      <c r="G135" s="5">
        <f>Calc_Engine!G135</f>
        <v/>
      </c>
      <c r="H135" s="2">
        <f>LET(id,$A135,code,UPPER(TRIM($D135)),rawStart,$F135,rawEnd,$G135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5" s="2">
        <f>LET(id,$A135,code,UPPER(TRIM($D135)),rawStart,$F135,rawEnd,$G135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5" s="2">
        <f>LET(id,$A135,code,UPPER(TRIM($D135)),rawStart,$F135,rawEnd,$G135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5" s="2">
        <f>LET(id,$A135,code,UPPER(TRIM($D135)),rawStart,$F135,rawEnd,$G135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5" s="2">
        <f>LET(id,$A135,code,UPPER(TRIM($D135)),rawStart,$F135,rawEnd,$G135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5" s="2">
        <f>LET(id,$A135,code,UPPER(TRIM($D135)),rawStart,$F135,rawEnd,$G135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5" s="2">
        <f>LET(id,$A135,code,UPPER(TRIM($D135)),rawStart,$F135,rawEnd,$G135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5" s="2">
        <f>LET(id,$A135,code,UPPER(TRIM($D135)),rawStart,$F135,rawEnd,$G135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5" s="2">
        <f>LET(id,$A135,code,UPPER(TRIM($D135)),rawStart,$F135,rawEnd,$G135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5" s="2">
        <f>LET(id,$A135,code,UPPER(TRIM($D135)),rawStart,$F135,rawEnd,$G135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5" s="2">
        <f>LET(id,$A135,code,UPPER(TRIM($D135)),rawStart,$F135,rawEnd,$G135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5" s="2">
        <f>LET(id,$A135,code,UPPER(TRIM($D135)),rawStart,$F135,rawEnd,$G135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5" s="2">
        <f>LET(id,$A135,code,UPPER(TRIM($D135)),rawStart,$F135,rawEnd,$G135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5" s="2">
        <f>LET(id,$A135,code,UPPER(TRIM($D135)),rawStart,$F135,rawEnd,$G135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5" s="2">
        <f>LET(id,$A135,code,UPPER(TRIM($D135)),rawStart,$F135,rawEnd,$G135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5" s="2">
        <f>LET(id,$A135,code,UPPER(TRIM($D135)),rawStart,$F135,rawEnd,$G135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5" s="2">
        <f>LET(id,$A135,code,UPPER(TRIM($D135)),rawStart,$F135,rawEnd,$G135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5" s="2">
        <f>LET(id,$A135,code,UPPER(TRIM($D135)),rawStart,$F135,rawEnd,$G135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5" s="2">
        <f>LET(id,$A135,code,UPPER(TRIM($D135)),rawStart,$F135,rawEnd,$G135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5" s="2">
        <f>LET(id,$A135,code,UPPER(TRIM($D135)),rawStart,$F135,rawEnd,$G135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5" s="2">
        <f>LET(id,$A135,code,UPPER(TRIM($D135)),rawStart,$F135,rawEnd,$G135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5" s="2">
        <f>LET(id,$A135,code,UPPER(TRIM($D135)),rawStart,$F135,rawEnd,$G135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5" s="2">
        <f>LET(id,$A135,code,UPPER(TRIM($D135)),rawStart,$F135,rawEnd,$G135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5" s="2">
        <f>LET(id,$A135,code,UPPER(TRIM($D135)),rawStart,$F135,rawEnd,$G135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5" s="2">
        <f>LET(id,$A135,code,UPPER(TRIM($D135)),rawStart,$F135,rawEnd,$G135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5" s="2">
        <f>LET(id,$A135,code,UPPER(TRIM($D135)),rawStart,$F135,rawEnd,$G135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5" s="2">
        <f>LET(id,$A135,code,UPPER(TRIM($D135)),rawStart,$F135,rawEnd,$G135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5" s="2">
        <f>LET(id,$A135,code,UPPER(TRIM($D135)),rawStart,$F135,rawEnd,$G135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5" s="2">
        <f>LET(id,$A135,code,UPPER(TRIM($D135)),rawStart,$F135,rawEnd,$G135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5" s="2">
        <f>LET(id,$A135,code,UPPER(TRIM($D135)),rawStart,$F135,rawEnd,$G135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5" s="2">
        <f>LET(id,$A135,code,UPPER(TRIM($D135)),rawStart,$F135,rawEnd,$G135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5" s="2">
        <f>LET(id,$A135,code,UPPER(TRIM($D135)),rawStart,$F135,rawEnd,$G135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5" s="2">
        <f>LET(id,$A135,code,UPPER(TRIM($D135)),rawStart,$F135,rawEnd,$G135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5" s="2">
        <f>LET(id,$A135,code,UPPER(TRIM($D135)),rawStart,$F135,rawEnd,$G135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5" s="2">
        <f>LET(id,$A135,code,UPPER(TRIM($D135)),rawStart,$F135,rawEnd,$G135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5" s="2">
        <f>LET(id,$A135,code,UPPER(TRIM($D135)),rawStart,$F135,rawEnd,$G135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5" s="2">
        <f>LET(id,$A135,code,UPPER(TRIM($D135)),rawStart,$F135,rawEnd,$G135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5" s="2">
        <f>LET(id,$A135,code,UPPER(TRIM($D135)),rawStart,$F135,rawEnd,$G135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5" s="2">
        <f>LET(id,$A135,code,UPPER(TRIM($D135)),rawStart,$F135,rawEnd,$G135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5" s="2">
        <f>LET(id,$A135,code,UPPER(TRIM($D135)),rawStart,$F135,rawEnd,$G135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5" s="2">
        <f>LET(id,$A135,code,UPPER(TRIM($D135)),rawStart,$F135,rawEnd,$G135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5" s="2">
        <f>LET(id,$A135,code,UPPER(TRIM($D135)),rawStart,$F135,rawEnd,$G135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5" s="2">
        <f>LET(id,$A135,code,UPPER(TRIM($D135)),rawStart,$F135,rawEnd,$G135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5" s="2">
        <f>LET(id,$A135,code,UPPER(TRIM($D135)),rawStart,$F135,rawEnd,$G135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5" s="2">
        <f>LET(id,$A135,code,UPPER(TRIM($D135)),rawStart,$F135,rawEnd,$G135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5" s="2">
        <f>LET(id,$A135,code,UPPER(TRIM($D135)),rawStart,$F135,rawEnd,$G135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5" s="2">
        <f>LET(id,$A135,code,UPPER(TRIM($D135)),rawStart,$F135,rawEnd,$G135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5" s="2">
        <f>LET(id,$A135,code,UPPER(TRIM($D135)),rawStart,$F135,rawEnd,$G135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35" s="2">
        <f>Calc_Engine!BD135</f>
        <v/>
      </c>
    </row>
    <row r="136">
      <c r="A136" s="2">
        <f>Calc_Engine!A136</f>
        <v/>
      </c>
      <c r="B136" s="2">
        <f>Calc_Engine!B136</f>
        <v/>
      </c>
      <c r="C136" s="2">
        <f>Calc_Engine!C136</f>
        <v/>
      </c>
      <c r="D136" s="2">
        <f>Calc_Engine!D136</f>
        <v/>
      </c>
      <c r="E136" s="4">
        <f>Calc_Engine!E136</f>
        <v/>
      </c>
      <c r="F136" s="5">
        <f>Calc_Engine!F136</f>
        <v/>
      </c>
      <c r="G136" s="5">
        <f>Calc_Engine!G136</f>
        <v/>
      </c>
      <c r="H136" s="2">
        <f>LET(id,$A136,code,UPPER(TRIM($D136)),rawStart,$F136,rawEnd,$G136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6" s="2">
        <f>LET(id,$A136,code,UPPER(TRIM($D136)),rawStart,$F136,rawEnd,$G136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6" s="2">
        <f>LET(id,$A136,code,UPPER(TRIM($D136)),rawStart,$F136,rawEnd,$G136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6" s="2">
        <f>LET(id,$A136,code,UPPER(TRIM($D136)),rawStart,$F136,rawEnd,$G136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6" s="2">
        <f>LET(id,$A136,code,UPPER(TRIM($D136)),rawStart,$F136,rawEnd,$G136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6" s="2">
        <f>LET(id,$A136,code,UPPER(TRIM($D136)),rawStart,$F136,rawEnd,$G136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6" s="2">
        <f>LET(id,$A136,code,UPPER(TRIM($D136)),rawStart,$F136,rawEnd,$G136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6" s="2">
        <f>LET(id,$A136,code,UPPER(TRIM($D136)),rawStart,$F136,rawEnd,$G136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6" s="2">
        <f>LET(id,$A136,code,UPPER(TRIM($D136)),rawStart,$F136,rawEnd,$G136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6" s="2">
        <f>LET(id,$A136,code,UPPER(TRIM($D136)),rawStart,$F136,rawEnd,$G136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6" s="2">
        <f>LET(id,$A136,code,UPPER(TRIM($D136)),rawStart,$F136,rawEnd,$G136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6" s="2">
        <f>LET(id,$A136,code,UPPER(TRIM($D136)),rawStart,$F136,rawEnd,$G136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6" s="2">
        <f>LET(id,$A136,code,UPPER(TRIM($D136)),rawStart,$F136,rawEnd,$G136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6" s="2">
        <f>LET(id,$A136,code,UPPER(TRIM($D136)),rawStart,$F136,rawEnd,$G136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6" s="2">
        <f>LET(id,$A136,code,UPPER(TRIM($D136)),rawStart,$F136,rawEnd,$G136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6" s="2">
        <f>LET(id,$A136,code,UPPER(TRIM($D136)),rawStart,$F136,rawEnd,$G136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6" s="2">
        <f>LET(id,$A136,code,UPPER(TRIM($D136)),rawStart,$F136,rawEnd,$G136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6" s="2">
        <f>LET(id,$A136,code,UPPER(TRIM($D136)),rawStart,$F136,rawEnd,$G136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6" s="2">
        <f>LET(id,$A136,code,UPPER(TRIM($D136)),rawStart,$F136,rawEnd,$G136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6" s="2">
        <f>LET(id,$A136,code,UPPER(TRIM($D136)),rawStart,$F136,rawEnd,$G136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6" s="2">
        <f>LET(id,$A136,code,UPPER(TRIM($D136)),rawStart,$F136,rawEnd,$G136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6" s="2">
        <f>LET(id,$A136,code,UPPER(TRIM($D136)),rawStart,$F136,rawEnd,$G136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6" s="2">
        <f>LET(id,$A136,code,UPPER(TRIM($D136)),rawStart,$F136,rawEnd,$G136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6" s="2">
        <f>LET(id,$A136,code,UPPER(TRIM($D136)),rawStart,$F136,rawEnd,$G136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6" s="2">
        <f>LET(id,$A136,code,UPPER(TRIM($D136)),rawStart,$F136,rawEnd,$G136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6" s="2">
        <f>LET(id,$A136,code,UPPER(TRIM($D136)),rawStart,$F136,rawEnd,$G136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6" s="2">
        <f>LET(id,$A136,code,UPPER(TRIM($D136)),rawStart,$F136,rawEnd,$G136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6" s="2">
        <f>LET(id,$A136,code,UPPER(TRIM($D136)),rawStart,$F136,rawEnd,$G136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6" s="2">
        <f>LET(id,$A136,code,UPPER(TRIM($D136)),rawStart,$F136,rawEnd,$G136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6" s="2">
        <f>LET(id,$A136,code,UPPER(TRIM($D136)),rawStart,$F136,rawEnd,$G136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6" s="2">
        <f>LET(id,$A136,code,UPPER(TRIM($D136)),rawStart,$F136,rawEnd,$G136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6" s="2">
        <f>LET(id,$A136,code,UPPER(TRIM($D136)),rawStart,$F136,rawEnd,$G136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6" s="2">
        <f>LET(id,$A136,code,UPPER(TRIM($D136)),rawStart,$F136,rawEnd,$G136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6" s="2">
        <f>LET(id,$A136,code,UPPER(TRIM($D136)),rawStart,$F136,rawEnd,$G136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6" s="2">
        <f>LET(id,$A136,code,UPPER(TRIM($D136)),rawStart,$F136,rawEnd,$G136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6" s="2">
        <f>LET(id,$A136,code,UPPER(TRIM($D136)),rawStart,$F136,rawEnd,$G136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6" s="2">
        <f>LET(id,$A136,code,UPPER(TRIM($D136)),rawStart,$F136,rawEnd,$G136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6" s="2">
        <f>LET(id,$A136,code,UPPER(TRIM($D136)),rawStart,$F136,rawEnd,$G136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6" s="2">
        <f>LET(id,$A136,code,UPPER(TRIM($D136)),rawStart,$F136,rawEnd,$G136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6" s="2">
        <f>LET(id,$A136,code,UPPER(TRIM($D136)),rawStart,$F136,rawEnd,$G136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6" s="2">
        <f>LET(id,$A136,code,UPPER(TRIM($D136)),rawStart,$F136,rawEnd,$G136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6" s="2">
        <f>LET(id,$A136,code,UPPER(TRIM($D136)),rawStart,$F136,rawEnd,$G136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6" s="2">
        <f>LET(id,$A136,code,UPPER(TRIM($D136)),rawStart,$F136,rawEnd,$G136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6" s="2">
        <f>LET(id,$A136,code,UPPER(TRIM($D136)),rawStart,$F136,rawEnd,$G136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6" s="2">
        <f>LET(id,$A136,code,UPPER(TRIM($D136)),rawStart,$F136,rawEnd,$G136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6" s="2">
        <f>LET(id,$A136,code,UPPER(TRIM($D136)),rawStart,$F136,rawEnd,$G136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6" s="2">
        <f>LET(id,$A136,code,UPPER(TRIM($D136)),rawStart,$F136,rawEnd,$G136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6" s="2">
        <f>LET(id,$A136,code,UPPER(TRIM($D136)),rawStart,$F136,rawEnd,$G136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36" s="2">
        <f>Calc_Engine!BD136</f>
        <v/>
      </c>
    </row>
    <row r="137">
      <c r="A137" s="2">
        <f>Calc_Engine!A137</f>
        <v/>
      </c>
      <c r="B137" s="2">
        <f>Calc_Engine!B137</f>
        <v/>
      </c>
      <c r="C137" s="2">
        <f>Calc_Engine!C137</f>
        <v/>
      </c>
      <c r="D137" s="2">
        <f>Calc_Engine!D137</f>
        <v/>
      </c>
      <c r="E137" s="4">
        <f>Calc_Engine!E137</f>
        <v/>
      </c>
      <c r="F137" s="5">
        <f>Calc_Engine!F137</f>
        <v/>
      </c>
      <c r="G137" s="5">
        <f>Calc_Engine!G137</f>
        <v/>
      </c>
      <c r="H137" s="2">
        <f>LET(id,$A137,code,UPPER(TRIM($D137)),rawStart,$F137,rawEnd,$G137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7" s="2">
        <f>LET(id,$A137,code,UPPER(TRIM($D137)),rawStart,$F137,rawEnd,$G137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7" s="2">
        <f>LET(id,$A137,code,UPPER(TRIM($D137)),rawStart,$F137,rawEnd,$G137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7" s="2">
        <f>LET(id,$A137,code,UPPER(TRIM($D137)),rawStart,$F137,rawEnd,$G137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7" s="2">
        <f>LET(id,$A137,code,UPPER(TRIM($D137)),rawStart,$F137,rawEnd,$G137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7" s="2">
        <f>LET(id,$A137,code,UPPER(TRIM($D137)),rawStart,$F137,rawEnd,$G137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7" s="2">
        <f>LET(id,$A137,code,UPPER(TRIM($D137)),rawStart,$F137,rawEnd,$G137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7" s="2">
        <f>LET(id,$A137,code,UPPER(TRIM($D137)),rawStart,$F137,rawEnd,$G137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7" s="2">
        <f>LET(id,$A137,code,UPPER(TRIM($D137)),rawStart,$F137,rawEnd,$G137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7" s="2">
        <f>LET(id,$A137,code,UPPER(TRIM($D137)),rawStart,$F137,rawEnd,$G137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7" s="2">
        <f>LET(id,$A137,code,UPPER(TRIM($D137)),rawStart,$F137,rawEnd,$G137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7" s="2">
        <f>LET(id,$A137,code,UPPER(TRIM($D137)),rawStart,$F137,rawEnd,$G137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7" s="2">
        <f>LET(id,$A137,code,UPPER(TRIM($D137)),rawStart,$F137,rawEnd,$G137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7" s="2">
        <f>LET(id,$A137,code,UPPER(TRIM($D137)),rawStart,$F137,rawEnd,$G137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7" s="2">
        <f>LET(id,$A137,code,UPPER(TRIM($D137)),rawStart,$F137,rawEnd,$G137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7" s="2">
        <f>LET(id,$A137,code,UPPER(TRIM($D137)),rawStart,$F137,rawEnd,$G137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7" s="2">
        <f>LET(id,$A137,code,UPPER(TRIM($D137)),rawStart,$F137,rawEnd,$G137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7" s="2">
        <f>LET(id,$A137,code,UPPER(TRIM($D137)),rawStart,$F137,rawEnd,$G137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7" s="2">
        <f>LET(id,$A137,code,UPPER(TRIM($D137)),rawStart,$F137,rawEnd,$G137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7" s="2">
        <f>LET(id,$A137,code,UPPER(TRIM($D137)),rawStart,$F137,rawEnd,$G137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7" s="2">
        <f>LET(id,$A137,code,UPPER(TRIM($D137)),rawStart,$F137,rawEnd,$G137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7" s="2">
        <f>LET(id,$A137,code,UPPER(TRIM($D137)),rawStart,$F137,rawEnd,$G137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7" s="2">
        <f>LET(id,$A137,code,UPPER(TRIM($D137)),rawStart,$F137,rawEnd,$G137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7" s="2">
        <f>LET(id,$A137,code,UPPER(TRIM($D137)),rawStart,$F137,rawEnd,$G137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7" s="2">
        <f>LET(id,$A137,code,UPPER(TRIM($D137)),rawStart,$F137,rawEnd,$G137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7" s="2">
        <f>LET(id,$A137,code,UPPER(TRIM($D137)),rawStart,$F137,rawEnd,$G137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7" s="2">
        <f>LET(id,$A137,code,UPPER(TRIM($D137)),rawStart,$F137,rawEnd,$G137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7" s="2">
        <f>LET(id,$A137,code,UPPER(TRIM($D137)),rawStart,$F137,rawEnd,$G137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7" s="2">
        <f>LET(id,$A137,code,UPPER(TRIM($D137)),rawStart,$F137,rawEnd,$G137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7" s="2">
        <f>LET(id,$A137,code,UPPER(TRIM($D137)),rawStart,$F137,rawEnd,$G137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7" s="2">
        <f>LET(id,$A137,code,UPPER(TRIM($D137)),rawStart,$F137,rawEnd,$G137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7" s="2">
        <f>LET(id,$A137,code,UPPER(TRIM($D137)),rawStart,$F137,rawEnd,$G137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7" s="2">
        <f>LET(id,$A137,code,UPPER(TRIM($D137)),rawStart,$F137,rawEnd,$G137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7" s="2">
        <f>LET(id,$A137,code,UPPER(TRIM($D137)),rawStart,$F137,rawEnd,$G137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7" s="2">
        <f>LET(id,$A137,code,UPPER(TRIM($D137)),rawStart,$F137,rawEnd,$G137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7" s="2">
        <f>LET(id,$A137,code,UPPER(TRIM($D137)),rawStart,$F137,rawEnd,$G137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7" s="2">
        <f>LET(id,$A137,code,UPPER(TRIM($D137)),rawStart,$F137,rawEnd,$G137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7" s="2">
        <f>LET(id,$A137,code,UPPER(TRIM($D137)),rawStart,$F137,rawEnd,$G137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7" s="2">
        <f>LET(id,$A137,code,UPPER(TRIM($D137)),rawStart,$F137,rawEnd,$G137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7" s="2">
        <f>LET(id,$A137,code,UPPER(TRIM($D137)),rawStart,$F137,rawEnd,$G137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7" s="2">
        <f>LET(id,$A137,code,UPPER(TRIM($D137)),rawStart,$F137,rawEnd,$G137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7" s="2">
        <f>LET(id,$A137,code,UPPER(TRIM($D137)),rawStart,$F137,rawEnd,$G137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7" s="2">
        <f>LET(id,$A137,code,UPPER(TRIM($D137)),rawStart,$F137,rawEnd,$G137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7" s="2">
        <f>LET(id,$A137,code,UPPER(TRIM($D137)),rawStart,$F137,rawEnd,$G137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7" s="2">
        <f>LET(id,$A137,code,UPPER(TRIM($D137)),rawStart,$F137,rawEnd,$G137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7" s="2">
        <f>LET(id,$A137,code,UPPER(TRIM($D137)),rawStart,$F137,rawEnd,$G137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7" s="2">
        <f>LET(id,$A137,code,UPPER(TRIM($D137)),rawStart,$F137,rawEnd,$G137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7" s="2">
        <f>LET(id,$A137,code,UPPER(TRIM($D137)),rawStart,$F137,rawEnd,$G137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37" s="2">
        <f>Calc_Engine!BD137</f>
        <v/>
      </c>
    </row>
    <row r="138">
      <c r="A138" s="2">
        <f>Calc_Engine!A138</f>
        <v/>
      </c>
      <c r="B138" s="2">
        <f>Calc_Engine!B138</f>
        <v/>
      </c>
      <c r="C138" s="2">
        <f>Calc_Engine!C138</f>
        <v/>
      </c>
      <c r="D138" s="2">
        <f>Calc_Engine!D138</f>
        <v/>
      </c>
      <c r="E138" s="4">
        <f>Calc_Engine!E138</f>
        <v/>
      </c>
      <c r="F138" s="5">
        <f>Calc_Engine!F138</f>
        <v/>
      </c>
      <c r="G138" s="5">
        <f>Calc_Engine!G138</f>
        <v/>
      </c>
      <c r="H138" s="2">
        <f>LET(id,$A138,code,UPPER(TRIM($D138)),rawStart,$F138,rawEnd,$G138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8" s="2">
        <f>LET(id,$A138,code,UPPER(TRIM($D138)),rawStart,$F138,rawEnd,$G138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8" s="2">
        <f>LET(id,$A138,code,UPPER(TRIM($D138)),rawStart,$F138,rawEnd,$G138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8" s="2">
        <f>LET(id,$A138,code,UPPER(TRIM($D138)),rawStart,$F138,rawEnd,$G138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8" s="2">
        <f>LET(id,$A138,code,UPPER(TRIM($D138)),rawStart,$F138,rawEnd,$G138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8" s="2">
        <f>LET(id,$A138,code,UPPER(TRIM($D138)),rawStart,$F138,rawEnd,$G138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8" s="2">
        <f>LET(id,$A138,code,UPPER(TRIM($D138)),rawStart,$F138,rawEnd,$G138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8" s="2">
        <f>LET(id,$A138,code,UPPER(TRIM($D138)),rawStart,$F138,rawEnd,$G138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8" s="2">
        <f>LET(id,$A138,code,UPPER(TRIM($D138)),rawStart,$F138,rawEnd,$G138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8" s="2">
        <f>LET(id,$A138,code,UPPER(TRIM($D138)),rawStart,$F138,rawEnd,$G138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8" s="2">
        <f>LET(id,$A138,code,UPPER(TRIM($D138)),rawStart,$F138,rawEnd,$G138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8" s="2">
        <f>LET(id,$A138,code,UPPER(TRIM($D138)),rawStart,$F138,rawEnd,$G138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8" s="2">
        <f>LET(id,$A138,code,UPPER(TRIM($D138)),rawStart,$F138,rawEnd,$G138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8" s="2">
        <f>LET(id,$A138,code,UPPER(TRIM($D138)),rawStart,$F138,rawEnd,$G138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8" s="2">
        <f>LET(id,$A138,code,UPPER(TRIM($D138)),rawStart,$F138,rawEnd,$G138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8" s="2">
        <f>LET(id,$A138,code,UPPER(TRIM($D138)),rawStart,$F138,rawEnd,$G138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8" s="2">
        <f>LET(id,$A138,code,UPPER(TRIM($D138)),rawStart,$F138,rawEnd,$G138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8" s="2">
        <f>LET(id,$A138,code,UPPER(TRIM($D138)),rawStart,$F138,rawEnd,$G138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8" s="2">
        <f>LET(id,$A138,code,UPPER(TRIM($D138)),rawStart,$F138,rawEnd,$G138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8" s="2">
        <f>LET(id,$A138,code,UPPER(TRIM($D138)),rawStart,$F138,rawEnd,$G138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8" s="2">
        <f>LET(id,$A138,code,UPPER(TRIM($D138)),rawStart,$F138,rawEnd,$G138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8" s="2">
        <f>LET(id,$A138,code,UPPER(TRIM($D138)),rawStart,$F138,rawEnd,$G138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8" s="2">
        <f>LET(id,$A138,code,UPPER(TRIM($D138)),rawStart,$F138,rawEnd,$G138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8" s="2">
        <f>LET(id,$A138,code,UPPER(TRIM($D138)),rawStart,$F138,rawEnd,$G138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8" s="2">
        <f>LET(id,$A138,code,UPPER(TRIM($D138)),rawStart,$F138,rawEnd,$G138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8" s="2">
        <f>LET(id,$A138,code,UPPER(TRIM($D138)),rawStart,$F138,rawEnd,$G138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8" s="2">
        <f>LET(id,$A138,code,UPPER(TRIM($D138)),rawStart,$F138,rawEnd,$G138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8" s="2">
        <f>LET(id,$A138,code,UPPER(TRIM($D138)),rawStart,$F138,rawEnd,$G138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8" s="2">
        <f>LET(id,$A138,code,UPPER(TRIM($D138)),rawStart,$F138,rawEnd,$G138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8" s="2">
        <f>LET(id,$A138,code,UPPER(TRIM($D138)),rawStart,$F138,rawEnd,$G138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8" s="2">
        <f>LET(id,$A138,code,UPPER(TRIM($D138)),rawStart,$F138,rawEnd,$G138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8" s="2">
        <f>LET(id,$A138,code,UPPER(TRIM($D138)),rawStart,$F138,rawEnd,$G138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8" s="2">
        <f>LET(id,$A138,code,UPPER(TRIM($D138)),rawStart,$F138,rawEnd,$G138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8" s="2">
        <f>LET(id,$A138,code,UPPER(TRIM($D138)),rawStart,$F138,rawEnd,$G138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8" s="2">
        <f>LET(id,$A138,code,UPPER(TRIM($D138)),rawStart,$F138,rawEnd,$G138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8" s="2">
        <f>LET(id,$A138,code,UPPER(TRIM($D138)),rawStart,$F138,rawEnd,$G138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8" s="2">
        <f>LET(id,$A138,code,UPPER(TRIM($D138)),rawStart,$F138,rawEnd,$G138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8" s="2">
        <f>LET(id,$A138,code,UPPER(TRIM($D138)),rawStart,$F138,rawEnd,$G138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8" s="2">
        <f>LET(id,$A138,code,UPPER(TRIM($D138)),rawStart,$F138,rawEnd,$G138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8" s="2">
        <f>LET(id,$A138,code,UPPER(TRIM($D138)),rawStart,$F138,rawEnd,$G138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8" s="2">
        <f>LET(id,$A138,code,UPPER(TRIM($D138)),rawStart,$F138,rawEnd,$G138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8" s="2">
        <f>LET(id,$A138,code,UPPER(TRIM($D138)),rawStart,$F138,rawEnd,$G138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8" s="2">
        <f>LET(id,$A138,code,UPPER(TRIM($D138)),rawStart,$F138,rawEnd,$G138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8" s="2">
        <f>LET(id,$A138,code,UPPER(TRIM($D138)),rawStart,$F138,rawEnd,$G138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8" s="2">
        <f>LET(id,$A138,code,UPPER(TRIM($D138)),rawStart,$F138,rawEnd,$G138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8" s="2">
        <f>LET(id,$A138,code,UPPER(TRIM($D138)),rawStart,$F138,rawEnd,$G138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8" s="2">
        <f>LET(id,$A138,code,UPPER(TRIM($D138)),rawStart,$F138,rawEnd,$G138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8" s="2">
        <f>LET(id,$A138,code,UPPER(TRIM($D138)),rawStart,$F138,rawEnd,$G138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38" s="2">
        <f>Calc_Engine!BD138</f>
        <v/>
      </c>
    </row>
    <row r="139">
      <c r="A139" s="2">
        <f>Calc_Engine!A139</f>
        <v/>
      </c>
      <c r="B139" s="2">
        <f>Calc_Engine!B139</f>
        <v/>
      </c>
      <c r="C139" s="2">
        <f>Calc_Engine!C139</f>
        <v/>
      </c>
      <c r="D139" s="2">
        <f>Calc_Engine!D139</f>
        <v/>
      </c>
      <c r="E139" s="4">
        <f>Calc_Engine!E139</f>
        <v/>
      </c>
      <c r="F139" s="5">
        <f>Calc_Engine!F139</f>
        <v/>
      </c>
      <c r="G139" s="5">
        <f>Calc_Engine!G139</f>
        <v/>
      </c>
      <c r="H139" s="2">
        <f>LET(id,$A139,code,UPPER(TRIM($D139)),rawStart,$F139,rawEnd,$G139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9" s="2">
        <f>LET(id,$A139,code,UPPER(TRIM($D139)),rawStart,$F139,rawEnd,$G139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9" s="2">
        <f>LET(id,$A139,code,UPPER(TRIM($D139)),rawStart,$F139,rawEnd,$G139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9" s="2">
        <f>LET(id,$A139,code,UPPER(TRIM($D139)),rawStart,$F139,rawEnd,$G139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9" s="2">
        <f>LET(id,$A139,code,UPPER(TRIM($D139)),rawStart,$F139,rawEnd,$G139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9" s="2">
        <f>LET(id,$A139,code,UPPER(TRIM($D139)),rawStart,$F139,rawEnd,$G139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9" s="2">
        <f>LET(id,$A139,code,UPPER(TRIM($D139)),rawStart,$F139,rawEnd,$G139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9" s="2">
        <f>LET(id,$A139,code,UPPER(TRIM($D139)),rawStart,$F139,rawEnd,$G139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9" s="2">
        <f>LET(id,$A139,code,UPPER(TRIM($D139)),rawStart,$F139,rawEnd,$G139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9" s="2">
        <f>LET(id,$A139,code,UPPER(TRIM($D139)),rawStart,$F139,rawEnd,$G139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9" s="2">
        <f>LET(id,$A139,code,UPPER(TRIM($D139)),rawStart,$F139,rawEnd,$G139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9" s="2">
        <f>LET(id,$A139,code,UPPER(TRIM($D139)),rawStart,$F139,rawEnd,$G139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9" s="2">
        <f>LET(id,$A139,code,UPPER(TRIM($D139)),rawStart,$F139,rawEnd,$G139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9" s="2">
        <f>LET(id,$A139,code,UPPER(TRIM($D139)),rawStart,$F139,rawEnd,$G139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9" s="2">
        <f>LET(id,$A139,code,UPPER(TRIM($D139)),rawStart,$F139,rawEnd,$G139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9" s="2">
        <f>LET(id,$A139,code,UPPER(TRIM($D139)),rawStart,$F139,rawEnd,$G139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9" s="2">
        <f>LET(id,$A139,code,UPPER(TRIM($D139)),rawStart,$F139,rawEnd,$G139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9" s="2">
        <f>LET(id,$A139,code,UPPER(TRIM($D139)),rawStart,$F139,rawEnd,$G139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9" s="2">
        <f>LET(id,$A139,code,UPPER(TRIM($D139)),rawStart,$F139,rawEnd,$G139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9" s="2">
        <f>LET(id,$A139,code,UPPER(TRIM($D139)),rawStart,$F139,rawEnd,$G139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9" s="2">
        <f>LET(id,$A139,code,UPPER(TRIM($D139)),rawStart,$F139,rawEnd,$G139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9" s="2">
        <f>LET(id,$A139,code,UPPER(TRIM($D139)),rawStart,$F139,rawEnd,$G139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9" s="2">
        <f>LET(id,$A139,code,UPPER(TRIM($D139)),rawStart,$F139,rawEnd,$G139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9" s="2">
        <f>LET(id,$A139,code,UPPER(TRIM($D139)),rawStart,$F139,rawEnd,$G139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9" s="2">
        <f>LET(id,$A139,code,UPPER(TRIM($D139)),rawStart,$F139,rawEnd,$G139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9" s="2">
        <f>LET(id,$A139,code,UPPER(TRIM($D139)),rawStart,$F139,rawEnd,$G139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9" s="2">
        <f>LET(id,$A139,code,UPPER(TRIM($D139)),rawStart,$F139,rawEnd,$G139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9" s="2">
        <f>LET(id,$A139,code,UPPER(TRIM($D139)),rawStart,$F139,rawEnd,$G139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9" s="2">
        <f>LET(id,$A139,code,UPPER(TRIM($D139)),rawStart,$F139,rawEnd,$G139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9" s="2">
        <f>LET(id,$A139,code,UPPER(TRIM($D139)),rawStart,$F139,rawEnd,$G139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9" s="2">
        <f>LET(id,$A139,code,UPPER(TRIM($D139)),rawStart,$F139,rawEnd,$G139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9" s="2">
        <f>LET(id,$A139,code,UPPER(TRIM($D139)),rawStart,$F139,rawEnd,$G139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9" s="2">
        <f>LET(id,$A139,code,UPPER(TRIM($D139)),rawStart,$F139,rawEnd,$G139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9" s="2">
        <f>LET(id,$A139,code,UPPER(TRIM($D139)),rawStart,$F139,rawEnd,$G139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9" s="2">
        <f>LET(id,$A139,code,UPPER(TRIM($D139)),rawStart,$F139,rawEnd,$G139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9" s="2">
        <f>LET(id,$A139,code,UPPER(TRIM($D139)),rawStart,$F139,rawEnd,$G139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9" s="2">
        <f>LET(id,$A139,code,UPPER(TRIM($D139)),rawStart,$F139,rawEnd,$G139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9" s="2">
        <f>LET(id,$A139,code,UPPER(TRIM($D139)),rawStart,$F139,rawEnd,$G139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9" s="2">
        <f>LET(id,$A139,code,UPPER(TRIM($D139)),rawStart,$F139,rawEnd,$G139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9" s="2">
        <f>LET(id,$A139,code,UPPER(TRIM($D139)),rawStart,$F139,rawEnd,$G139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9" s="2">
        <f>LET(id,$A139,code,UPPER(TRIM($D139)),rawStart,$F139,rawEnd,$G139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9" s="2">
        <f>LET(id,$A139,code,UPPER(TRIM($D139)),rawStart,$F139,rawEnd,$G139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9" s="2">
        <f>LET(id,$A139,code,UPPER(TRIM($D139)),rawStart,$F139,rawEnd,$G139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9" s="2">
        <f>LET(id,$A139,code,UPPER(TRIM($D139)),rawStart,$F139,rawEnd,$G139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9" s="2">
        <f>LET(id,$A139,code,UPPER(TRIM($D139)),rawStart,$F139,rawEnd,$G139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9" s="2">
        <f>LET(id,$A139,code,UPPER(TRIM($D139)),rawStart,$F139,rawEnd,$G139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9" s="2">
        <f>LET(id,$A139,code,UPPER(TRIM($D139)),rawStart,$F139,rawEnd,$G139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9" s="2">
        <f>LET(id,$A139,code,UPPER(TRIM($D139)),rawStart,$F139,rawEnd,$G139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39" s="2">
        <f>Calc_Engine!BD139</f>
        <v/>
      </c>
    </row>
    <row r="140">
      <c r="A140" s="2">
        <f>Calc_Engine!A140</f>
        <v/>
      </c>
      <c r="B140" s="2">
        <f>Calc_Engine!B140</f>
        <v/>
      </c>
      <c r="C140" s="2">
        <f>Calc_Engine!C140</f>
        <v/>
      </c>
      <c r="D140" s="2">
        <f>Calc_Engine!D140</f>
        <v/>
      </c>
      <c r="E140" s="4">
        <f>Calc_Engine!E140</f>
        <v/>
      </c>
      <c r="F140" s="5">
        <f>Calc_Engine!F140</f>
        <v/>
      </c>
      <c r="G140" s="5">
        <f>Calc_Engine!G140</f>
        <v/>
      </c>
      <c r="H140" s="2">
        <f>LET(id,$A140,code,UPPER(TRIM($D140)),rawStart,$F140,rawEnd,$G140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0" s="2">
        <f>LET(id,$A140,code,UPPER(TRIM($D140)),rawStart,$F140,rawEnd,$G140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0" s="2">
        <f>LET(id,$A140,code,UPPER(TRIM($D140)),rawStart,$F140,rawEnd,$G140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0" s="2">
        <f>LET(id,$A140,code,UPPER(TRIM($D140)),rawStart,$F140,rawEnd,$G140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0" s="2">
        <f>LET(id,$A140,code,UPPER(TRIM($D140)),rawStart,$F140,rawEnd,$G140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0" s="2">
        <f>LET(id,$A140,code,UPPER(TRIM($D140)),rawStart,$F140,rawEnd,$G140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0" s="2">
        <f>LET(id,$A140,code,UPPER(TRIM($D140)),rawStart,$F140,rawEnd,$G140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0" s="2">
        <f>LET(id,$A140,code,UPPER(TRIM($D140)),rawStart,$F140,rawEnd,$G140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0" s="2">
        <f>LET(id,$A140,code,UPPER(TRIM($D140)),rawStart,$F140,rawEnd,$G140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0" s="2">
        <f>LET(id,$A140,code,UPPER(TRIM($D140)),rawStart,$F140,rawEnd,$G140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0" s="2">
        <f>LET(id,$A140,code,UPPER(TRIM($D140)),rawStart,$F140,rawEnd,$G140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0" s="2">
        <f>LET(id,$A140,code,UPPER(TRIM($D140)),rawStart,$F140,rawEnd,$G140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0" s="2">
        <f>LET(id,$A140,code,UPPER(TRIM($D140)),rawStart,$F140,rawEnd,$G140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0" s="2">
        <f>LET(id,$A140,code,UPPER(TRIM($D140)),rawStart,$F140,rawEnd,$G140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0" s="2">
        <f>LET(id,$A140,code,UPPER(TRIM($D140)),rawStart,$F140,rawEnd,$G140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0" s="2">
        <f>LET(id,$A140,code,UPPER(TRIM($D140)),rawStart,$F140,rawEnd,$G140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0" s="2">
        <f>LET(id,$A140,code,UPPER(TRIM($D140)),rawStart,$F140,rawEnd,$G140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0" s="2">
        <f>LET(id,$A140,code,UPPER(TRIM($D140)),rawStart,$F140,rawEnd,$G140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0" s="2">
        <f>LET(id,$A140,code,UPPER(TRIM($D140)),rawStart,$F140,rawEnd,$G140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0" s="2">
        <f>LET(id,$A140,code,UPPER(TRIM($D140)),rawStart,$F140,rawEnd,$G140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0" s="2">
        <f>LET(id,$A140,code,UPPER(TRIM($D140)),rawStart,$F140,rawEnd,$G140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0" s="2">
        <f>LET(id,$A140,code,UPPER(TRIM($D140)),rawStart,$F140,rawEnd,$G140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0" s="2">
        <f>LET(id,$A140,code,UPPER(TRIM($D140)),rawStart,$F140,rawEnd,$G140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0" s="2">
        <f>LET(id,$A140,code,UPPER(TRIM($D140)),rawStart,$F140,rawEnd,$G140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0" s="2">
        <f>LET(id,$A140,code,UPPER(TRIM($D140)),rawStart,$F140,rawEnd,$G140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0" s="2">
        <f>LET(id,$A140,code,UPPER(TRIM($D140)),rawStart,$F140,rawEnd,$G140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0" s="2">
        <f>LET(id,$A140,code,UPPER(TRIM($D140)),rawStart,$F140,rawEnd,$G140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0" s="2">
        <f>LET(id,$A140,code,UPPER(TRIM($D140)),rawStart,$F140,rawEnd,$G140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0" s="2">
        <f>LET(id,$A140,code,UPPER(TRIM($D140)),rawStart,$F140,rawEnd,$G140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0" s="2">
        <f>LET(id,$A140,code,UPPER(TRIM($D140)),rawStart,$F140,rawEnd,$G140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0" s="2">
        <f>LET(id,$A140,code,UPPER(TRIM($D140)),rawStart,$F140,rawEnd,$G140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0" s="2">
        <f>LET(id,$A140,code,UPPER(TRIM($D140)),rawStart,$F140,rawEnd,$G140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0" s="2">
        <f>LET(id,$A140,code,UPPER(TRIM($D140)),rawStart,$F140,rawEnd,$G140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0" s="2">
        <f>LET(id,$A140,code,UPPER(TRIM($D140)),rawStart,$F140,rawEnd,$G140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0" s="2">
        <f>LET(id,$A140,code,UPPER(TRIM($D140)),rawStart,$F140,rawEnd,$G140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0" s="2">
        <f>LET(id,$A140,code,UPPER(TRIM($D140)),rawStart,$F140,rawEnd,$G140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0" s="2">
        <f>LET(id,$A140,code,UPPER(TRIM($D140)),rawStart,$F140,rawEnd,$G140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0" s="2">
        <f>LET(id,$A140,code,UPPER(TRIM($D140)),rawStart,$F140,rawEnd,$G140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0" s="2">
        <f>LET(id,$A140,code,UPPER(TRIM($D140)),rawStart,$F140,rawEnd,$G140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0" s="2">
        <f>LET(id,$A140,code,UPPER(TRIM($D140)),rawStart,$F140,rawEnd,$G140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0" s="2">
        <f>LET(id,$A140,code,UPPER(TRIM($D140)),rawStart,$F140,rawEnd,$G140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0" s="2">
        <f>LET(id,$A140,code,UPPER(TRIM($D140)),rawStart,$F140,rawEnd,$G140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0" s="2">
        <f>LET(id,$A140,code,UPPER(TRIM($D140)),rawStart,$F140,rawEnd,$G140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0" s="2">
        <f>LET(id,$A140,code,UPPER(TRIM($D140)),rawStart,$F140,rawEnd,$G140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0" s="2">
        <f>LET(id,$A140,code,UPPER(TRIM($D140)),rawStart,$F140,rawEnd,$G140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0" s="2">
        <f>LET(id,$A140,code,UPPER(TRIM($D140)),rawStart,$F140,rawEnd,$G140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0" s="2">
        <f>LET(id,$A140,code,UPPER(TRIM($D140)),rawStart,$F140,rawEnd,$G140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0" s="2">
        <f>LET(id,$A140,code,UPPER(TRIM($D140)),rawStart,$F140,rawEnd,$G140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40" s="2">
        <f>Calc_Engine!BD140</f>
        <v/>
      </c>
    </row>
    <row r="141">
      <c r="A141" s="2">
        <f>Calc_Engine!A141</f>
        <v/>
      </c>
      <c r="B141" s="2">
        <f>Calc_Engine!B141</f>
        <v/>
      </c>
      <c r="C141" s="2">
        <f>Calc_Engine!C141</f>
        <v/>
      </c>
      <c r="D141" s="2">
        <f>Calc_Engine!D141</f>
        <v/>
      </c>
      <c r="E141" s="4">
        <f>Calc_Engine!E141</f>
        <v/>
      </c>
      <c r="F141" s="5">
        <f>Calc_Engine!F141</f>
        <v/>
      </c>
      <c r="G141" s="5">
        <f>Calc_Engine!G141</f>
        <v/>
      </c>
      <c r="H141" s="2">
        <f>LET(id,$A141,code,UPPER(TRIM($D141)),rawStart,$F141,rawEnd,$G141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1" s="2">
        <f>LET(id,$A141,code,UPPER(TRIM($D141)),rawStart,$F141,rawEnd,$G141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1" s="2">
        <f>LET(id,$A141,code,UPPER(TRIM($D141)),rawStart,$F141,rawEnd,$G141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1" s="2">
        <f>LET(id,$A141,code,UPPER(TRIM($D141)),rawStart,$F141,rawEnd,$G141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1" s="2">
        <f>LET(id,$A141,code,UPPER(TRIM($D141)),rawStart,$F141,rawEnd,$G141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1" s="2">
        <f>LET(id,$A141,code,UPPER(TRIM($D141)),rawStart,$F141,rawEnd,$G141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1" s="2">
        <f>LET(id,$A141,code,UPPER(TRIM($D141)),rawStart,$F141,rawEnd,$G141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1" s="2">
        <f>LET(id,$A141,code,UPPER(TRIM($D141)),rawStart,$F141,rawEnd,$G141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1" s="2">
        <f>LET(id,$A141,code,UPPER(TRIM($D141)),rawStart,$F141,rawEnd,$G141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1" s="2">
        <f>LET(id,$A141,code,UPPER(TRIM($D141)),rawStart,$F141,rawEnd,$G141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1" s="2">
        <f>LET(id,$A141,code,UPPER(TRIM($D141)),rawStart,$F141,rawEnd,$G141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1" s="2">
        <f>LET(id,$A141,code,UPPER(TRIM($D141)),rawStart,$F141,rawEnd,$G141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1" s="2">
        <f>LET(id,$A141,code,UPPER(TRIM($D141)),rawStart,$F141,rawEnd,$G141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1" s="2">
        <f>LET(id,$A141,code,UPPER(TRIM($D141)),rawStart,$F141,rawEnd,$G141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1" s="2">
        <f>LET(id,$A141,code,UPPER(TRIM($D141)),rawStart,$F141,rawEnd,$G141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1" s="2">
        <f>LET(id,$A141,code,UPPER(TRIM($D141)),rawStart,$F141,rawEnd,$G141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1" s="2">
        <f>LET(id,$A141,code,UPPER(TRIM($D141)),rawStart,$F141,rawEnd,$G141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1" s="2">
        <f>LET(id,$A141,code,UPPER(TRIM($D141)),rawStart,$F141,rawEnd,$G141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1" s="2">
        <f>LET(id,$A141,code,UPPER(TRIM($D141)),rawStart,$F141,rawEnd,$G141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1" s="2">
        <f>LET(id,$A141,code,UPPER(TRIM($D141)),rawStart,$F141,rawEnd,$G141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1" s="2">
        <f>LET(id,$A141,code,UPPER(TRIM($D141)),rawStart,$F141,rawEnd,$G141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1" s="2">
        <f>LET(id,$A141,code,UPPER(TRIM($D141)),rawStart,$F141,rawEnd,$G141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1" s="2">
        <f>LET(id,$A141,code,UPPER(TRIM($D141)),rawStart,$F141,rawEnd,$G141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1" s="2">
        <f>LET(id,$A141,code,UPPER(TRIM($D141)),rawStart,$F141,rawEnd,$G141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1" s="2">
        <f>LET(id,$A141,code,UPPER(TRIM($D141)),rawStart,$F141,rawEnd,$G141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1" s="2">
        <f>LET(id,$A141,code,UPPER(TRIM($D141)),rawStart,$F141,rawEnd,$G141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1" s="2">
        <f>LET(id,$A141,code,UPPER(TRIM($D141)),rawStart,$F141,rawEnd,$G141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1" s="2">
        <f>LET(id,$A141,code,UPPER(TRIM($D141)),rawStart,$F141,rawEnd,$G141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1" s="2">
        <f>LET(id,$A141,code,UPPER(TRIM($D141)),rawStart,$F141,rawEnd,$G141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1" s="2">
        <f>LET(id,$A141,code,UPPER(TRIM($D141)),rawStart,$F141,rawEnd,$G141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1" s="2">
        <f>LET(id,$A141,code,UPPER(TRIM($D141)),rawStart,$F141,rawEnd,$G141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1" s="2">
        <f>LET(id,$A141,code,UPPER(TRIM($D141)),rawStart,$F141,rawEnd,$G141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1" s="2">
        <f>LET(id,$A141,code,UPPER(TRIM($D141)),rawStart,$F141,rawEnd,$G141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1" s="2">
        <f>LET(id,$A141,code,UPPER(TRIM($D141)),rawStart,$F141,rawEnd,$G141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1" s="2">
        <f>LET(id,$A141,code,UPPER(TRIM($D141)),rawStart,$F141,rawEnd,$G141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1" s="2">
        <f>LET(id,$A141,code,UPPER(TRIM($D141)),rawStart,$F141,rawEnd,$G141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1" s="2">
        <f>LET(id,$A141,code,UPPER(TRIM($D141)),rawStart,$F141,rawEnd,$G141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1" s="2">
        <f>LET(id,$A141,code,UPPER(TRIM($D141)),rawStart,$F141,rawEnd,$G141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1" s="2">
        <f>LET(id,$A141,code,UPPER(TRIM($D141)),rawStart,$F141,rawEnd,$G141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1" s="2">
        <f>LET(id,$A141,code,UPPER(TRIM($D141)),rawStart,$F141,rawEnd,$G141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1" s="2">
        <f>LET(id,$A141,code,UPPER(TRIM($D141)),rawStart,$F141,rawEnd,$G141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1" s="2">
        <f>LET(id,$A141,code,UPPER(TRIM($D141)),rawStart,$F141,rawEnd,$G141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1" s="2">
        <f>LET(id,$A141,code,UPPER(TRIM($D141)),rawStart,$F141,rawEnd,$G141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1" s="2">
        <f>LET(id,$A141,code,UPPER(TRIM($D141)),rawStart,$F141,rawEnd,$G141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1" s="2">
        <f>LET(id,$A141,code,UPPER(TRIM($D141)),rawStart,$F141,rawEnd,$G141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1" s="2">
        <f>LET(id,$A141,code,UPPER(TRIM($D141)),rawStart,$F141,rawEnd,$G141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1" s="2">
        <f>LET(id,$A141,code,UPPER(TRIM($D141)),rawStart,$F141,rawEnd,$G141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1" s="2">
        <f>LET(id,$A141,code,UPPER(TRIM($D141)),rawStart,$F141,rawEnd,$G141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41" s="2">
        <f>Calc_Engine!BD141</f>
        <v/>
      </c>
    </row>
    <row r="142">
      <c r="A142" s="2">
        <f>Calc_Engine!A142</f>
        <v/>
      </c>
      <c r="B142" s="2">
        <f>Calc_Engine!B142</f>
        <v/>
      </c>
      <c r="C142" s="2">
        <f>Calc_Engine!C142</f>
        <v/>
      </c>
      <c r="D142" s="2">
        <f>Calc_Engine!D142</f>
        <v/>
      </c>
      <c r="E142" s="4">
        <f>Calc_Engine!E142</f>
        <v/>
      </c>
      <c r="F142" s="5">
        <f>Calc_Engine!F142</f>
        <v/>
      </c>
      <c r="G142" s="5">
        <f>Calc_Engine!G142</f>
        <v/>
      </c>
      <c r="H142" s="2">
        <f>LET(id,$A142,code,UPPER(TRIM($D142)),rawStart,$F142,rawEnd,$G142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2" s="2">
        <f>LET(id,$A142,code,UPPER(TRIM($D142)),rawStart,$F142,rawEnd,$G142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2" s="2">
        <f>LET(id,$A142,code,UPPER(TRIM($D142)),rawStart,$F142,rawEnd,$G142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2" s="2">
        <f>LET(id,$A142,code,UPPER(TRIM($D142)),rawStart,$F142,rawEnd,$G142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2" s="2">
        <f>LET(id,$A142,code,UPPER(TRIM($D142)),rawStart,$F142,rawEnd,$G142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2" s="2">
        <f>LET(id,$A142,code,UPPER(TRIM($D142)),rawStart,$F142,rawEnd,$G142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2" s="2">
        <f>LET(id,$A142,code,UPPER(TRIM($D142)),rawStart,$F142,rawEnd,$G142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2" s="2">
        <f>LET(id,$A142,code,UPPER(TRIM($D142)),rawStart,$F142,rawEnd,$G142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2" s="2">
        <f>LET(id,$A142,code,UPPER(TRIM($D142)),rawStart,$F142,rawEnd,$G142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2" s="2">
        <f>LET(id,$A142,code,UPPER(TRIM($D142)),rawStart,$F142,rawEnd,$G142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2" s="2">
        <f>LET(id,$A142,code,UPPER(TRIM($D142)),rawStart,$F142,rawEnd,$G142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2" s="2">
        <f>LET(id,$A142,code,UPPER(TRIM($D142)),rawStart,$F142,rawEnd,$G142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2" s="2">
        <f>LET(id,$A142,code,UPPER(TRIM($D142)),rawStart,$F142,rawEnd,$G142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2" s="2">
        <f>LET(id,$A142,code,UPPER(TRIM($D142)),rawStart,$F142,rawEnd,$G142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2" s="2">
        <f>LET(id,$A142,code,UPPER(TRIM($D142)),rawStart,$F142,rawEnd,$G142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2" s="2">
        <f>LET(id,$A142,code,UPPER(TRIM($D142)),rawStart,$F142,rawEnd,$G142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2" s="2">
        <f>LET(id,$A142,code,UPPER(TRIM($D142)),rawStart,$F142,rawEnd,$G142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2" s="2">
        <f>LET(id,$A142,code,UPPER(TRIM($D142)),rawStart,$F142,rawEnd,$G142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2" s="2">
        <f>LET(id,$A142,code,UPPER(TRIM($D142)),rawStart,$F142,rawEnd,$G142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2" s="2">
        <f>LET(id,$A142,code,UPPER(TRIM($D142)),rawStart,$F142,rawEnd,$G142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2" s="2">
        <f>LET(id,$A142,code,UPPER(TRIM($D142)),rawStart,$F142,rawEnd,$G142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2" s="2">
        <f>LET(id,$A142,code,UPPER(TRIM($D142)),rawStart,$F142,rawEnd,$G142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2" s="2">
        <f>LET(id,$A142,code,UPPER(TRIM($D142)),rawStart,$F142,rawEnd,$G142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2" s="2">
        <f>LET(id,$A142,code,UPPER(TRIM($D142)),rawStart,$F142,rawEnd,$G142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2" s="2">
        <f>LET(id,$A142,code,UPPER(TRIM($D142)),rawStart,$F142,rawEnd,$G142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2" s="2">
        <f>LET(id,$A142,code,UPPER(TRIM($D142)),rawStart,$F142,rawEnd,$G142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2" s="2">
        <f>LET(id,$A142,code,UPPER(TRIM($D142)),rawStart,$F142,rawEnd,$G142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2" s="2">
        <f>LET(id,$A142,code,UPPER(TRIM($D142)),rawStart,$F142,rawEnd,$G142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2" s="2">
        <f>LET(id,$A142,code,UPPER(TRIM($D142)),rawStart,$F142,rawEnd,$G142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2" s="2">
        <f>LET(id,$A142,code,UPPER(TRIM($D142)),rawStart,$F142,rawEnd,$G142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2" s="2">
        <f>LET(id,$A142,code,UPPER(TRIM($D142)),rawStart,$F142,rawEnd,$G142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2" s="2">
        <f>LET(id,$A142,code,UPPER(TRIM($D142)),rawStart,$F142,rawEnd,$G142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2" s="2">
        <f>LET(id,$A142,code,UPPER(TRIM($D142)),rawStart,$F142,rawEnd,$G142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2" s="2">
        <f>LET(id,$A142,code,UPPER(TRIM($D142)),rawStart,$F142,rawEnd,$G142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2" s="2">
        <f>LET(id,$A142,code,UPPER(TRIM($D142)),rawStart,$F142,rawEnd,$G142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2" s="2">
        <f>LET(id,$A142,code,UPPER(TRIM($D142)),rawStart,$F142,rawEnd,$G142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2" s="2">
        <f>LET(id,$A142,code,UPPER(TRIM($D142)),rawStart,$F142,rawEnd,$G142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2" s="2">
        <f>LET(id,$A142,code,UPPER(TRIM($D142)),rawStart,$F142,rawEnd,$G142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2" s="2">
        <f>LET(id,$A142,code,UPPER(TRIM($D142)),rawStart,$F142,rawEnd,$G142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2" s="2">
        <f>LET(id,$A142,code,UPPER(TRIM($D142)),rawStart,$F142,rawEnd,$G142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2" s="2">
        <f>LET(id,$A142,code,UPPER(TRIM($D142)),rawStart,$F142,rawEnd,$G142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2" s="2">
        <f>LET(id,$A142,code,UPPER(TRIM($D142)),rawStart,$F142,rawEnd,$G142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2" s="2">
        <f>LET(id,$A142,code,UPPER(TRIM($D142)),rawStart,$F142,rawEnd,$G142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2" s="2">
        <f>LET(id,$A142,code,UPPER(TRIM($D142)),rawStart,$F142,rawEnd,$G142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2" s="2">
        <f>LET(id,$A142,code,UPPER(TRIM($D142)),rawStart,$F142,rawEnd,$G142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2" s="2">
        <f>LET(id,$A142,code,UPPER(TRIM($D142)),rawStart,$F142,rawEnd,$G142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2" s="2">
        <f>LET(id,$A142,code,UPPER(TRIM($D142)),rawStart,$F142,rawEnd,$G142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2" s="2">
        <f>LET(id,$A142,code,UPPER(TRIM($D142)),rawStart,$F142,rawEnd,$G142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42" s="2">
        <f>Calc_Engine!BD142</f>
        <v/>
      </c>
    </row>
    <row r="143">
      <c r="A143" s="2">
        <f>Calc_Engine!A143</f>
        <v/>
      </c>
      <c r="B143" s="2">
        <f>Calc_Engine!B143</f>
        <v/>
      </c>
      <c r="C143" s="2">
        <f>Calc_Engine!C143</f>
        <v/>
      </c>
      <c r="D143" s="2">
        <f>Calc_Engine!D143</f>
        <v/>
      </c>
      <c r="E143" s="4">
        <f>Calc_Engine!E143</f>
        <v/>
      </c>
      <c r="F143" s="5">
        <f>Calc_Engine!F143</f>
        <v/>
      </c>
      <c r="G143" s="5">
        <f>Calc_Engine!G143</f>
        <v/>
      </c>
      <c r="H143" s="2">
        <f>LET(id,$A143,code,UPPER(TRIM($D143)),rawStart,$F143,rawEnd,$G143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3" s="2">
        <f>LET(id,$A143,code,UPPER(TRIM($D143)),rawStart,$F143,rawEnd,$G143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3" s="2">
        <f>LET(id,$A143,code,UPPER(TRIM($D143)),rawStart,$F143,rawEnd,$G143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3" s="2">
        <f>LET(id,$A143,code,UPPER(TRIM($D143)),rawStart,$F143,rawEnd,$G143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3" s="2">
        <f>LET(id,$A143,code,UPPER(TRIM($D143)),rawStart,$F143,rawEnd,$G143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3" s="2">
        <f>LET(id,$A143,code,UPPER(TRIM($D143)),rawStart,$F143,rawEnd,$G143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3" s="2">
        <f>LET(id,$A143,code,UPPER(TRIM($D143)),rawStart,$F143,rawEnd,$G143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3" s="2">
        <f>LET(id,$A143,code,UPPER(TRIM($D143)),rawStart,$F143,rawEnd,$G143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3" s="2">
        <f>LET(id,$A143,code,UPPER(TRIM($D143)),rawStart,$F143,rawEnd,$G143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3" s="2">
        <f>LET(id,$A143,code,UPPER(TRIM($D143)),rawStart,$F143,rawEnd,$G143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3" s="2">
        <f>LET(id,$A143,code,UPPER(TRIM($D143)),rawStart,$F143,rawEnd,$G143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3" s="2">
        <f>LET(id,$A143,code,UPPER(TRIM($D143)),rawStart,$F143,rawEnd,$G143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3" s="2">
        <f>LET(id,$A143,code,UPPER(TRIM($D143)),rawStart,$F143,rawEnd,$G143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3" s="2">
        <f>LET(id,$A143,code,UPPER(TRIM($D143)),rawStart,$F143,rawEnd,$G143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3" s="2">
        <f>LET(id,$A143,code,UPPER(TRIM($D143)),rawStart,$F143,rawEnd,$G143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3" s="2">
        <f>LET(id,$A143,code,UPPER(TRIM($D143)),rawStart,$F143,rawEnd,$G143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3" s="2">
        <f>LET(id,$A143,code,UPPER(TRIM($D143)),rawStart,$F143,rawEnd,$G143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3" s="2">
        <f>LET(id,$A143,code,UPPER(TRIM($D143)),rawStart,$F143,rawEnd,$G143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3" s="2">
        <f>LET(id,$A143,code,UPPER(TRIM($D143)),rawStart,$F143,rawEnd,$G143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3" s="2">
        <f>LET(id,$A143,code,UPPER(TRIM($D143)),rawStart,$F143,rawEnd,$G143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3" s="2">
        <f>LET(id,$A143,code,UPPER(TRIM($D143)),rawStart,$F143,rawEnd,$G143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3" s="2">
        <f>LET(id,$A143,code,UPPER(TRIM($D143)),rawStart,$F143,rawEnd,$G143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3" s="2">
        <f>LET(id,$A143,code,UPPER(TRIM($D143)),rawStart,$F143,rawEnd,$G143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3" s="2">
        <f>LET(id,$A143,code,UPPER(TRIM($D143)),rawStart,$F143,rawEnd,$G143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3" s="2">
        <f>LET(id,$A143,code,UPPER(TRIM($D143)),rawStart,$F143,rawEnd,$G143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3" s="2">
        <f>LET(id,$A143,code,UPPER(TRIM($D143)),rawStart,$F143,rawEnd,$G143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3" s="2">
        <f>LET(id,$A143,code,UPPER(TRIM($D143)),rawStart,$F143,rawEnd,$G143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3" s="2">
        <f>LET(id,$A143,code,UPPER(TRIM($D143)),rawStart,$F143,rawEnd,$G143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3" s="2">
        <f>LET(id,$A143,code,UPPER(TRIM($D143)),rawStart,$F143,rawEnd,$G143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3" s="2">
        <f>LET(id,$A143,code,UPPER(TRIM($D143)),rawStart,$F143,rawEnd,$G143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3" s="2">
        <f>LET(id,$A143,code,UPPER(TRIM($D143)),rawStart,$F143,rawEnd,$G143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3" s="2">
        <f>LET(id,$A143,code,UPPER(TRIM($D143)),rawStart,$F143,rawEnd,$G143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3" s="2">
        <f>LET(id,$A143,code,UPPER(TRIM($D143)),rawStart,$F143,rawEnd,$G143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3" s="2">
        <f>LET(id,$A143,code,UPPER(TRIM($D143)),rawStart,$F143,rawEnd,$G143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3" s="2">
        <f>LET(id,$A143,code,UPPER(TRIM($D143)),rawStart,$F143,rawEnd,$G143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3" s="2">
        <f>LET(id,$A143,code,UPPER(TRIM($D143)),rawStart,$F143,rawEnd,$G143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3" s="2">
        <f>LET(id,$A143,code,UPPER(TRIM($D143)),rawStart,$F143,rawEnd,$G143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3" s="2">
        <f>LET(id,$A143,code,UPPER(TRIM($D143)),rawStart,$F143,rawEnd,$G143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3" s="2">
        <f>LET(id,$A143,code,UPPER(TRIM($D143)),rawStart,$F143,rawEnd,$G143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3" s="2">
        <f>LET(id,$A143,code,UPPER(TRIM($D143)),rawStart,$F143,rawEnd,$G143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3" s="2">
        <f>LET(id,$A143,code,UPPER(TRIM($D143)),rawStart,$F143,rawEnd,$G143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3" s="2">
        <f>LET(id,$A143,code,UPPER(TRIM($D143)),rawStart,$F143,rawEnd,$G143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3" s="2">
        <f>LET(id,$A143,code,UPPER(TRIM($D143)),rawStart,$F143,rawEnd,$G143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3" s="2">
        <f>LET(id,$A143,code,UPPER(TRIM($D143)),rawStart,$F143,rawEnd,$G143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3" s="2">
        <f>LET(id,$A143,code,UPPER(TRIM($D143)),rawStart,$F143,rawEnd,$G143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3" s="2">
        <f>LET(id,$A143,code,UPPER(TRIM($D143)),rawStart,$F143,rawEnd,$G143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3" s="2">
        <f>LET(id,$A143,code,UPPER(TRIM($D143)),rawStart,$F143,rawEnd,$G143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3" s="2">
        <f>LET(id,$A143,code,UPPER(TRIM($D143)),rawStart,$F143,rawEnd,$G143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43" s="2">
        <f>Calc_Engine!BD143</f>
        <v/>
      </c>
    </row>
    <row r="144">
      <c r="A144" s="2">
        <f>Calc_Engine!A144</f>
        <v/>
      </c>
      <c r="B144" s="2">
        <f>Calc_Engine!B144</f>
        <v/>
      </c>
      <c r="C144" s="2">
        <f>Calc_Engine!C144</f>
        <v/>
      </c>
      <c r="D144" s="2">
        <f>Calc_Engine!D144</f>
        <v/>
      </c>
      <c r="E144" s="4">
        <f>Calc_Engine!E144</f>
        <v/>
      </c>
      <c r="F144" s="5">
        <f>Calc_Engine!F144</f>
        <v/>
      </c>
      <c r="G144" s="5">
        <f>Calc_Engine!G144</f>
        <v/>
      </c>
      <c r="H144" s="2">
        <f>LET(id,$A144,code,UPPER(TRIM($D144)),rawStart,$F144,rawEnd,$G144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4" s="2">
        <f>LET(id,$A144,code,UPPER(TRIM($D144)),rawStart,$F144,rawEnd,$G144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4" s="2">
        <f>LET(id,$A144,code,UPPER(TRIM($D144)),rawStart,$F144,rawEnd,$G144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4" s="2">
        <f>LET(id,$A144,code,UPPER(TRIM($D144)),rawStart,$F144,rawEnd,$G144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4" s="2">
        <f>LET(id,$A144,code,UPPER(TRIM($D144)),rawStart,$F144,rawEnd,$G144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4" s="2">
        <f>LET(id,$A144,code,UPPER(TRIM($D144)),rawStart,$F144,rawEnd,$G144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4" s="2">
        <f>LET(id,$A144,code,UPPER(TRIM($D144)),rawStart,$F144,rawEnd,$G144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4" s="2">
        <f>LET(id,$A144,code,UPPER(TRIM($D144)),rawStart,$F144,rawEnd,$G144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4" s="2">
        <f>LET(id,$A144,code,UPPER(TRIM($D144)),rawStart,$F144,rawEnd,$G144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4" s="2">
        <f>LET(id,$A144,code,UPPER(TRIM($D144)),rawStart,$F144,rawEnd,$G144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4" s="2">
        <f>LET(id,$A144,code,UPPER(TRIM($D144)),rawStart,$F144,rawEnd,$G144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4" s="2">
        <f>LET(id,$A144,code,UPPER(TRIM($D144)),rawStart,$F144,rawEnd,$G144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4" s="2">
        <f>LET(id,$A144,code,UPPER(TRIM($D144)),rawStart,$F144,rawEnd,$G144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4" s="2">
        <f>LET(id,$A144,code,UPPER(TRIM($D144)),rawStart,$F144,rawEnd,$G144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4" s="2">
        <f>LET(id,$A144,code,UPPER(TRIM($D144)),rawStart,$F144,rawEnd,$G144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4" s="2">
        <f>LET(id,$A144,code,UPPER(TRIM($D144)),rawStart,$F144,rawEnd,$G144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4" s="2">
        <f>LET(id,$A144,code,UPPER(TRIM($D144)),rawStart,$F144,rawEnd,$G144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4" s="2">
        <f>LET(id,$A144,code,UPPER(TRIM($D144)),rawStart,$F144,rawEnd,$G144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4" s="2">
        <f>LET(id,$A144,code,UPPER(TRIM($D144)),rawStart,$F144,rawEnd,$G144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4" s="2">
        <f>LET(id,$A144,code,UPPER(TRIM($D144)),rawStart,$F144,rawEnd,$G144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4" s="2">
        <f>LET(id,$A144,code,UPPER(TRIM($D144)),rawStart,$F144,rawEnd,$G144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4" s="2">
        <f>LET(id,$A144,code,UPPER(TRIM($D144)),rawStart,$F144,rawEnd,$G144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4" s="2">
        <f>LET(id,$A144,code,UPPER(TRIM($D144)),rawStart,$F144,rawEnd,$G144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4" s="2">
        <f>LET(id,$A144,code,UPPER(TRIM($D144)),rawStart,$F144,rawEnd,$G144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4" s="2">
        <f>LET(id,$A144,code,UPPER(TRIM($D144)),rawStart,$F144,rawEnd,$G144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4" s="2">
        <f>LET(id,$A144,code,UPPER(TRIM($D144)),rawStart,$F144,rawEnd,$G144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4" s="2">
        <f>LET(id,$A144,code,UPPER(TRIM($D144)),rawStart,$F144,rawEnd,$G144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4" s="2">
        <f>LET(id,$A144,code,UPPER(TRIM($D144)),rawStart,$F144,rawEnd,$G144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4" s="2">
        <f>LET(id,$A144,code,UPPER(TRIM($D144)),rawStart,$F144,rawEnd,$G144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4" s="2">
        <f>LET(id,$A144,code,UPPER(TRIM($D144)),rawStart,$F144,rawEnd,$G144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4" s="2">
        <f>LET(id,$A144,code,UPPER(TRIM($D144)),rawStart,$F144,rawEnd,$G144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4" s="2">
        <f>LET(id,$A144,code,UPPER(TRIM($D144)),rawStart,$F144,rawEnd,$G144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4" s="2">
        <f>LET(id,$A144,code,UPPER(TRIM($D144)),rawStart,$F144,rawEnd,$G144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4" s="2">
        <f>LET(id,$A144,code,UPPER(TRIM($D144)),rawStart,$F144,rawEnd,$G144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4" s="2">
        <f>LET(id,$A144,code,UPPER(TRIM($D144)),rawStart,$F144,rawEnd,$G144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4" s="2">
        <f>LET(id,$A144,code,UPPER(TRIM($D144)),rawStart,$F144,rawEnd,$G144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4" s="2">
        <f>LET(id,$A144,code,UPPER(TRIM($D144)),rawStart,$F144,rawEnd,$G144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4" s="2">
        <f>LET(id,$A144,code,UPPER(TRIM($D144)),rawStart,$F144,rawEnd,$G144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4" s="2">
        <f>LET(id,$A144,code,UPPER(TRIM($D144)),rawStart,$F144,rawEnd,$G144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4" s="2">
        <f>LET(id,$A144,code,UPPER(TRIM($D144)),rawStart,$F144,rawEnd,$G144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4" s="2">
        <f>LET(id,$A144,code,UPPER(TRIM($D144)),rawStart,$F144,rawEnd,$G144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4" s="2">
        <f>LET(id,$A144,code,UPPER(TRIM($D144)),rawStart,$F144,rawEnd,$G144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4" s="2">
        <f>LET(id,$A144,code,UPPER(TRIM($D144)),rawStart,$F144,rawEnd,$G144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4" s="2">
        <f>LET(id,$A144,code,UPPER(TRIM($D144)),rawStart,$F144,rawEnd,$G144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4" s="2">
        <f>LET(id,$A144,code,UPPER(TRIM($D144)),rawStart,$F144,rawEnd,$G144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4" s="2">
        <f>LET(id,$A144,code,UPPER(TRIM($D144)),rawStart,$F144,rawEnd,$G144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4" s="2">
        <f>LET(id,$A144,code,UPPER(TRIM($D144)),rawStart,$F144,rawEnd,$G144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4" s="2">
        <f>LET(id,$A144,code,UPPER(TRIM($D144)),rawStart,$F144,rawEnd,$G144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44" s="2">
        <f>Calc_Engine!BD144</f>
        <v/>
      </c>
    </row>
    <row r="145">
      <c r="A145" s="2">
        <f>Calc_Engine!A145</f>
        <v/>
      </c>
      <c r="B145" s="2">
        <f>Calc_Engine!B145</f>
        <v/>
      </c>
      <c r="C145" s="2">
        <f>Calc_Engine!C145</f>
        <v/>
      </c>
      <c r="D145" s="2">
        <f>Calc_Engine!D145</f>
        <v/>
      </c>
      <c r="E145" s="4">
        <f>Calc_Engine!E145</f>
        <v/>
      </c>
      <c r="F145" s="5">
        <f>Calc_Engine!F145</f>
        <v/>
      </c>
      <c r="G145" s="5">
        <f>Calc_Engine!G145</f>
        <v/>
      </c>
      <c r="H145" s="2">
        <f>LET(id,$A145,code,UPPER(TRIM($D145)),rawStart,$F145,rawEnd,$G145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5" s="2">
        <f>LET(id,$A145,code,UPPER(TRIM($D145)),rawStart,$F145,rawEnd,$G145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5" s="2">
        <f>LET(id,$A145,code,UPPER(TRIM($D145)),rawStart,$F145,rawEnd,$G145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5" s="2">
        <f>LET(id,$A145,code,UPPER(TRIM($D145)),rawStart,$F145,rawEnd,$G145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5" s="2">
        <f>LET(id,$A145,code,UPPER(TRIM($D145)),rawStart,$F145,rawEnd,$G145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5" s="2">
        <f>LET(id,$A145,code,UPPER(TRIM($D145)),rawStart,$F145,rawEnd,$G145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5" s="2">
        <f>LET(id,$A145,code,UPPER(TRIM($D145)),rawStart,$F145,rawEnd,$G145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5" s="2">
        <f>LET(id,$A145,code,UPPER(TRIM($D145)),rawStart,$F145,rawEnd,$G145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5" s="2">
        <f>LET(id,$A145,code,UPPER(TRIM($D145)),rawStart,$F145,rawEnd,$G145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5" s="2">
        <f>LET(id,$A145,code,UPPER(TRIM($D145)),rawStart,$F145,rawEnd,$G145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5" s="2">
        <f>LET(id,$A145,code,UPPER(TRIM($D145)),rawStart,$F145,rawEnd,$G145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5" s="2">
        <f>LET(id,$A145,code,UPPER(TRIM($D145)),rawStart,$F145,rawEnd,$G145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5" s="2">
        <f>LET(id,$A145,code,UPPER(TRIM($D145)),rawStart,$F145,rawEnd,$G145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5" s="2">
        <f>LET(id,$A145,code,UPPER(TRIM($D145)),rawStart,$F145,rawEnd,$G145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5" s="2">
        <f>LET(id,$A145,code,UPPER(TRIM($D145)),rawStart,$F145,rawEnd,$G145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5" s="2">
        <f>LET(id,$A145,code,UPPER(TRIM($D145)),rawStart,$F145,rawEnd,$G145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5" s="2">
        <f>LET(id,$A145,code,UPPER(TRIM($D145)),rawStart,$F145,rawEnd,$G145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5" s="2">
        <f>LET(id,$A145,code,UPPER(TRIM($D145)),rawStart,$F145,rawEnd,$G145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5" s="2">
        <f>LET(id,$A145,code,UPPER(TRIM($D145)),rawStart,$F145,rawEnd,$G145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5" s="2">
        <f>LET(id,$A145,code,UPPER(TRIM($D145)),rawStart,$F145,rawEnd,$G145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5" s="2">
        <f>LET(id,$A145,code,UPPER(TRIM($D145)),rawStart,$F145,rawEnd,$G145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5" s="2">
        <f>LET(id,$A145,code,UPPER(TRIM($D145)),rawStart,$F145,rawEnd,$G145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5" s="2">
        <f>LET(id,$A145,code,UPPER(TRIM($D145)),rawStart,$F145,rawEnd,$G145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5" s="2">
        <f>LET(id,$A145,code,UPPER(TRIM($D145)),rawStart,$F145,rawEnd,$G145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5" s="2">
        <f>LET(id,$A145,code,UPPER(TRIM($D145)),rawStart,$F145,rawEnd,$G145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5" s="2">
        <f>LET(id,$A145,code,UPPER(TRIM($D145)),rawStart,$F145,rawEnd,$G145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5" s="2">
        <f>LET(id,$A145,code,UPPER(TRIM($D145)),rawStart,$F145,rawEnd,$G145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5" s="2">
        <f>LET(id,$A145,code,UPPER(TRIM($D145)),rawStart,$F145,rawEnd,$G145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5" s="2">
        <f>LET(id,$A145,code,UPPER(TRIM($D145)),rawStart,$F145,rawEnd,$G145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5" s="2">
        <f>LET(id,$A145,code,UPPER(TRIM($D145)),rawStart,$F145,rawEnd,$G145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5" s="2">
        <f>LET(id,$A145,code,UPPER(TRIM($D145)),rawStart,$F145,rawEnd,$G145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5" s="2">
        <f>LET(id,$A145,code,UPPER(TRIM($D145)),rawStart,$F145,rawEnd,$G145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5" s="2">
        <f>LET(id,$A145,code,UPPER(TRIM($D145)),rawStart,$F145,rawEnd,$G145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5" s="2">
        <f>LET(id,$A145,code,UPPER(TRIM($D145)),rawStart,$F145,rawEnd,$G145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5" s="2">
        <f>LET(id,$A145,code,UPPER(TRIM($D145)),rawStart,$F145,rawEnd,$G145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5" s="2">
        <f>LET(id,$A145,code,UPPER(TRIM($D145)),rawStart,$F145,rawEnd,$G145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5" s="2">
        <f>LET(id,$A145,code,UPPER(TRIM($D145)),rawStart,$F145,rawEnd,$G145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5" s="2">
        <f>LET(id,$A145,code,UPPER(TRIM($D145)),rawStart,$F145,rawEnd,$G145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5" s="2">
        <f>LET(id,$A145,code,UPPER(TRIM($D145)),rawStart,$F145,rawEnd,$G145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5" s="2">
        <f>LET(id,$A145,code,UPPER(TRIM($D145)),rawStart,$F145,rawEnd,$G145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5" s="2">
        <f>LET(id,$A145,code,UPPER(TRIM($D145)),rawStart,$F145,rawEnd,$G145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5" s="2">
        <f>LET(id,$A145,code,UPPER(TRIM($D145)),rawStart,$F145,rawEnd,$G145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5" s="2">
        <f>LET(id,$A145,code,UPPER(TRIM($D145)),rawStart,$F145,rawEnd,$G145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5" s="2">
        <f>LET(id,$A145,code,UPPER(TRIM($D145)),rawStart,$F145,rawEnd,$G145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5" s="2">
        <f>LET(id,$A145,code,UPPER(TRIM($D145)),rawStart,$F145,rawEnd,$G145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5" s="2">
        <f>LET(id,$A145,code,UPPER(TRIM($D145)),rawStart,$F145,rawEnd,$G145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5" s="2">
        <f>LET(id,$A145,code,UPPER(TRIM($D145)),rawStart,$F145,rawEnd,$G145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5" s="2">
        <f>LET(id,$A145,code,UPPER(TRIM($D145)),rawStart,$F145,rawEnd,$G145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45" s="2">
        <f>Calc_Engine!BD145</f>
        <v/>
      </c>
    </row>
    <row r="146">
      <c r="A146" s="2">
        <f>Calc_Engine!A146</f>
        <v/>
      </c>
      <c r="B146" s="2">
        <f>Calc_Engine!B146</f>
        <v/>
      </c>
      <c r="C146" s="2">
        <f>Calc_Engine!C146</f>
        <v/>
      </c>
      <c r="D146" s="2">
        <f>Calc_Engine!D146</f>
        <v/>
      </c>
      <c r="E146" s="4">
        <f>Calc_Engine!E146</f>
        <v/>
      </c>
      <c r="F146" s="5">
        <f>Calc_Engine!F146</f>
        <v/>
      </c>
      <c r="G146" s="5">
        <f>Calc_Engine!G146</f>
        <v/>
      </c>
      <c r="H146" s="2">
        <f>LET(id,$A146,code,UPPER(TRIM($D146)),rawStart,$F146,rawEnd,$G146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6" s="2">
        <f>LET(id,$A146,code,UPPER(TRIM($D146)),rawStart,$F146,rawEnd,$G146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6" s="2">
        <f>LET(id,$A146,code,UPPER(TRIM($D146)),rawStart,$F146,rawEnd,$G146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6" s="2">
        <f>LET(id,$A146,code,UPPER(TRIM($D146)),rawStart,$F146,rawEnd,$G146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6" s="2">
        <f>LET(id,$A146,code,UPPER(TRIM($D146)),rawStart,$F146,rawEnd,$G146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6" s="2">
        <f>LET(id,$A146,code,UPPER(TRIM($D146)),rawStart,$F146,rawEnd,$G146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6" s="2">
        <f>LET(id,$A146,code,UPPER(TRIM($D146)),rawStart,$F146,rawEnd,$G146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6" s="2">
        <f>LET(id,$A146,code,UPPER(TRIM($D146)),rawStart,$F146,rawEnd,$G146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6" s="2">
        <f>LET(id,$A146,code,UPPER(TRIM($D146)),rawStart,$F146,rawEnd,$G146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6" s="2">
        <f>LET(id,$A146,code,UPPER(TRIM($D146)),rawStart,$F146,rawEnd,$G146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6" s="2">
        <f>LET(id,$A146,code,UPPER(TRIM($D146)),rawStart,$F146,rawEnd,$G146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6" s="2">
        <f>LET(id,$A146,code,UPPER(TRIM($D146)),rawStart,$F146,rawEnd,$G146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6" s="2">
        <f>LET(id,$A146,code,UPPER(TRIM($D146)),rawStart,$F146,rawEnd,$G146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6" s="2">
        <f>LET(id,$A146,code,UPPER(TRIM($D146)),rawStart,$F146,rawEnd,$G146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6" s="2">
        <f>LET(id,$A146,code,UPPER(TRIM($D146)),rawStart,$F146,rawEnd,$G146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6" s="2">
        <f>LET(id,$A146,code,UPPER(TRIM($D146)),rawStart,$F146,rawEnd,$G146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6" s="2">
        <f>LET(id,$A146,code,UPPER(TRIM($D146)),rawStart,$F146,rawEnd,$G146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6" s="2">
        <f>LET(id,$A146,code,UPPER(TRIM($D146)),rawStart,$F146,rawEnd,$G146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6" s="2">
        <f>LET(id,$A146,code,UPPER(TRIM($D146)),rawStart,$F146,rawEnd,$G146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6" s="2">
        <f>LET(id,$A146,code,UPPER(TRIM($D146)),rawStart,$F146,rawEnd,$G146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6" s="2">
        <f>LET(id,$A146,code,UPPER(TRIM($D146)),rawStart,$F146,rawEnd,$G146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6" s="2">
        <f>LET(id,$A146,code,UPPER(TRIM($D146)),rawStart,$F146,rawEnd,$G146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6" s="2">
        <f>LET(id,$A146,code,UPPER(TRIM($D146)),rawStart,$F146,rawEnd,$G146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6" s="2">
        <f>LET(id,$A146,code,UPPER(TRIM($D146)),rawStart,$F146,rawEnd,$G146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6" s="2">
        <f>LET(id,$A146,code,UPPER(TRIM($D146)),rawStart,$F146,rawEnd,$G146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6" s="2">
        <f>LET(id,$A146,code,UPPER(TRIM($D146)),rawStart,$F146,rawEnd,$G146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6" s="2">
        <f>LET(id,$A146,code,UPPER(TRIM($D146)),rawStart,$F146,rawEnd,$G146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6" s="2">
        <f>LET(id,$A146,code,UPPER(TRIM($D146)),rawStart,$F146,rawEnd,$G146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6" s="2">
        <f>LET(id,$A146,code,UPPER(TRIM($D146)),rawStart,$F146,rawEnd,$G146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6" s="2">
        <f>LET(id,$A146,code,UPPER(TRIM($D146)),rawStart,$F146,rawEnd,$G146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6" s="2">
        <f>LET(id,$A146,code,UPPER(TRIM($D146)),rawStart,$F146,rawEnd,$G146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6" s="2">
        <f>LET(id,$A146,code,UPPER(TRIM($D146)),rawStart,$F146,rawEnd,$G146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6" s="2">
        <f>LET(id,$A146,code,UPPER(TRIM($D146)),rawStart,$F146,rawEnd,$G146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6" s="2">
        <f>LET(id,$A146,code,UPPER(TRIM($D146)),rawStart,$F146,rawEnd,$G146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6" s="2">
        <f>LET(id,$A146,code,UPPER(TRIM($D146)),rawStart,$F146,rawEnd,$G146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6" s="2">
        <f>LET(id,$A146,code,UPPER(TRIM($D146)),rawStart,$F146,rawEnd,$G146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6" s="2">
        <f>LET(id,$A146,code,UPPER(TRIM($D146)),rawStart,$F146,rawEnd,$G146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6" s="2">
        <f>LET(id,$A146,code,UPPER(TRIM($D146)),rawStart,$F146,rawEnd,$G146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6" s="2">
        <f>LET(id,$A146,code,UPPER(TRIM($D146)),rawStart,$F146,rawEnd,$G146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6" s="2">
        <f>LET(id,$A146,code,UPPER(TRIM($D146)),rawStart,$F146,rawEnd,$G146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6" s="2">
        <f>LET(id,$A146,code,UPPER(TRIM($D146)),rawStart,$F146,rawEnd,$G146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6" s="2">
        <f>LET(id,$A146,code,UPPER(TRIM($D146)),rawStart,$F146,rawEnd,$G146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6" s="2">
        <f>LET(id,$A146,code,UPPER(TRIM($D146)),rawStart,$F146,rawEnd,$G146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6" s="2">
        <f>LET(id,$A146,code,UPPER(TRIM($D146)),rawStart,$F146,rawEnd,$G146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6" s="2">
        <f>LET(id,$A146,code,UPPER(TRIM($D146)),rawStart,$F146,rawEnd,$G146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6" s="2">
        <f>LET(id,$A146,code,UPPER(TRIM($D146)),rawStart,$F146,rawEnd,$G146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6" s="2">
        <f>LET(id,$A146,code,UPPER(TRIM($D146)),rawStart,$F146,rawEnd,$G146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6" s="2">
        <f>LET(id,$A146,code,UPPER(TRIM($D146)),rawStart,$F146,rawEnd,$G146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46" s="2">
        <f>Calc_Engine!BD146</f>
        <v/>
      </c>
    </row>
    <row r="147">
      <c r="A147" s="2">
        <f>Calc_Engine!A147</f>
        <v/>
      </c>
      <c r="B147" s="2">
        <f>Calc_Engine!B147</f>
        <v/>
      </c>
      <c r="C147" s="2">
        <f>Calc_Engine!C147</f>
        <v/>
      </c>
      <c r="D147" s="2">
        <f>Calc_Engine!D147</f>
        <v/>
      </c>
      <c r="E147" s="4">
        <f>Calc_Engine!E147</f>
        <v/>
      </c>
      <c r="F147" s="5">
        <f>Calc_Engine!F147</f>
        <v/>
      </c>
      <c r="G147" s="5">
        <f>Calc_Engine!G147</f>
        <v/>
      </c>
      <c r="H147" s="2">
        <f>LET(id,$A147,code,UPPER(TRIM($D147)),rawStart,$F147,rawEnd,$G147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7" s="2">
        <f>LET(id,$A147,code,UPPER(TRIM($D147)),rawStart,$F147,rawEnd,$G147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7" s="2">
        <f>LET(id,$A147,code,UPPER(TRIM($D147)),rawStart,$F147,rawEnd,$G147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7" s="2">
        <f>LET(id,$A147,code,UPPER(TRIM($D147)),rawStart,$F147,rawEnd,$G147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7" s="2">
        <f>LET(id,$A147,code,UPPER(TRIM($D147)),rawStart,$F147,rawEnd,$G147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7" s="2">
        <f>LET(id,$A147,code,UPPER(TRIM($D147)),rawStart,$F147,rawEnd,$G147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7" s="2">
        <f>LET(id,$A147,code,UPPER(TRIM($D147)),rawStart,$F147,rawEnd,$G147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7" s="2">
        <f>LET(id,$A147,code,UPPER(TRIM($D147)),rawStart,$F147,rawEnd,$G147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7" s="2">
        <f>LET(id,$A147,code,UPPER(TRIM($D147)),rawStart,$F147,rawEnd,$G147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7" s="2">
        <f>LET(id,$A147,code,UPPER(TRIM($D147)),rawStart,$F147,rawEnd,$G147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7" s="2">
        <f>LET(id,$A147,code,UPPER(TRIM($D147)),rawStart,$F147,rawEnd,$G147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7" s="2">
        <f>LET(id,$A147,code,UPPER(TRIM($D147)),rawStart,$F147,rawEnd,$G147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7" s="2">
        <f>LET(id,$A147,code,UPPER(TRIM($D147)),rawStart,$F147,rawEnd,$G147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7" s="2">
        <f>LET(id,$A147,code,UPPER(TRIM($D147)),rawStart,$F147,rawEnd,$G147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7" s="2">
        <f>LET(id,$A147,code,UPPER(TRIM($D147)),rawStart,$F147,rawEnd,$G147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7" s="2">
        <f>LET(id,$A147,code,UPPER(TRIM($D147)),rawStart,$F147,rawEnd,$G147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7" s="2">
        <f>LET(id,$A147,code,UPPER(TRIM($D147)),rawStart,$F147,rawEnd,$G147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7" s="2">
        <f>LET(id,$A147,code,UPPER(TRIM($D147)),rawStart,$F147,rawEnd,$G147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7" s="2">
        <f>LET(id,$A147,code,UPPER(TRIM($D147)),rawStart,$F147,rawEnd,$G147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7" s="2">
        <f>LET(id,$A147,code,UPPER(TRIM($D147)),rawStart,$F147,rawEnd,$G147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7" s="2">
        <f>LET(id,$A147,code,UPPER(TRIM($D147)),rawStart,$F147,rawEnd,$G147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7" s="2">
        <f>LET(id,$A147,code,UPPER(TRIM($D147)),rawStart,$F147,rawEnd,$G147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7" s="2">
        <f>LET(id,$A147,code,UPPER(TRIM($D147)),rawStart,$F147,rawEnd,$G147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7" s="2">
        <f>LET(id,$A147,code,UPPER(TRIM($D147)),rawStart,$F147,rawEnd,$G147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7" s="2">
        <f>LET(id,$A147,code,UPPER(TRIM($D147)),rawStart,$F147,rawEnd,$G147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7" s="2">
        <f>LET(id,$A147,code,UPPER(TRIM($D147)),rawStart,$F147,rawEnd,$G147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7" s="2">
        <f>LET(id,$A147,code,UPPER(TRIM($D147)),rawStart,$F147,rawEnd,$G147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7" s="2">
        <f>LET(id,$A147,code,UPPER(TRIM($D147)),rawStart,$F147,rawEnd,$G147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7" s="2">
        <f>LET(id,$A147,code,UPPER(TRIM($D147)),rawStart,$F147,rawEnd,$G147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7" s="2">
        <f>LET(id,$A147,code,UPPER(TRIM($D147)),rawStart,$F147,rawEnd,$G147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7" s="2">
        <f>LET(id,$A147,code,UPPER(TRIM($D147)),rawStart,$F147,rawEnd,$G147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7" s="2">
        <f>LET(id,$A147,code,UPPER(TRIM($D147)),rawStart,$F147,rawEnd,$G147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7" s="2">
        <f>LET(id,$A147,code,UPPER(TRIM($D147)),rawStart,$F147,rawEnd,$G147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7" s="2">
        <f>LET(id,$A147,code,UPPER(TRIM($D147)),rawStart,$F147,rawEnd,$G147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7" s="2">
        <f>LET(id,$A147,code,UPPER(TRIM($D147)),rawStart,$F147,rawEnd,$G147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7" s="2">
        <f>LET(id,$A147,code,UPPER(TRIM($D147)),rawStart,$F147,rawEnd,$G147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7" s="2">
        <f>LET(id,$A147,code,UPPER(TRIM($D147)),rawStart,$F147,rawEnd,$G147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7" s="2">
        <f>LET(id,$A147,code,UPPER(TRIM($D147)),rawStart,$F147,rawEnd,$G147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7" s="2">
        <f>LET(id,$A147,code,UPPER(TRIM($D147)),rawStart,$F147,rawEnd,$G147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7" s="2">
        <f>LET(id,$A147,code,UPPER(TRIM($D147)),rawStart,$F147,rawEnd,$G147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7" s="2">
        <f>LET(id,$A147,code,UPPER(TRIM($D147)),rawStart,$F147,rawEnd,$G147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7" s="2">
        <f>LET(id,$A147,code,UPPER(TRIM($D147)),rawStart,$F147,rawEnd,$G147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7" s="2">
        <f>LET(id,$A147,code,UPPER(TRIM($D147)),rawStart,$F147,rawEnd,$G147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7" s="2">
        <f>LET(id,$A147,code,UPPER(TRIM($D147)),rawStart,$F147,rawEnd,$G147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7" s="2">
        <f>LET(id,$A147,code,UPPER(TRIM($D147)),rawStart,$F147,rawEnd,$G147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7" s="2">
        <f>LET(id,$A147,code,UPPER(TRIM($D147)),rawStart,$F147,rawEnd,$G147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7" s="2">
        <f>LET(id,$A147,code,UPPER(TRIM($D147)),rawStart,$F147,rawEnd,$G147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7" s="2">
        <f>LET(id,$A147,code,UPPER(TRIM($D147)),rawStart,$F147,rawEnd,$G147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47" s="2">
        <f>Calc_Engine!BD147</f>
        <v/>
      </c>
    </row>
    <row r="148">
      <c r="A148" s="2">
        <f>Calc_Engine!A148</f>
        <v/>
      </c>
      <c r="B148" s="2">
        <f>Calc_Engine!B148</f>
        <v/>
      </c>
      <c r="C148" s="2">
        <f>Calc_Engine!C148</f>
        <v/>
      </c>
      <c r="D148" s="2">
        <f>Calc_Engine!D148</f>
        <v/>
      </c>
      <c r="E148" s="4">
        <f>Calc_Engine!E148</f>
        <v/>
      </c>
      <c r="F148" s="5">
        <f>Calc_Engine!F148</f>
        <v/>
      </c>
      <c r="G148" s="5">
        <f>Calc_Engine!G148</f>
        <v/>
      </c>
      <c r="H148" s="2">
        <f>LET(id,$A148,code,UPPER(TRIM($D148)),rawStart,$F148,rawEnd,$G148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8" s="2">
        <f>LET(id,$A148,code,UPPER(TRIM($D148)),rawStart,$F148,rawEnd,$G148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8" s="2">
        <f>LET(id,$A148,code,UPPER(TRIM($D148)),rawStart,$F148,rawEnd,$G148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8" s="2">
        <f>LET(id,$A148,code,UPPER(TRIM($D148)),rawStart,$F148,rawEnd,$G148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8" s="2">
        <f>LET(id,$A148,code,UPPER(TRIM($D148)),rawStart,$F148,rawEnd,$G148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8" s="2">
        <f>LET(id,$A148,code,UPPER(TRIM($D148)),rawStart,$F148,rawEnd,$G148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8" s="2">
        <f>LET(id,$A148,code,UPPER(TRIM($D148)),rawStart,$F148,rawEnd,$G148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8" s="2">
        <f>LET(id,$A148,code,UPPER(TRIM($D148)),rawStart,$F148,rawEnd,$G148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8" s="2">
        <f>LET(id,$A148,code,UPPER(TRIM($D148)),rawStart,$F148,rawEnd,$G148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8" s="2">
        <f>LET(id,$A148,code,UPPER(TRIM($D148)),rawStart,$F148,rawEnd,$G148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8" s="2">
        <f>LET(id,$A148,code,UPPER(TRIM($D148)),rawStart,$F148,rawEnd,$G148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8" s="2">
        <f>LET(id,$A148,code,UPPER(TRIM($D148)),rawStart,$F148,rawEnd,$G148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8" s="2">
        <f>LET(id,$A148,code,UPPER(TRIM($D148)),rawStart,$F148,rawEnd,$G148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8" s="2">
        <f>LET(id,$A148,code,UPPER(TRIM($D148)),rawStart,$F148,rawEnd,$G148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8" s="2">
        <f>LET(id,$A148,code,UPPER(TRIM($D148)),rawStart,$F148,rawEnd,$G148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8" s="2">
        <f>LET(id,$A148,code,UPPER(TRIM($D148)),rawStart,$F148,rawEnd,$G148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8" s="2">
        <f>LET(id,$A148,code,UPPER(TRIM($D148)),rawStart,$F148,rawEnd,$G148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8" s="2">
        <f>LET(id,$A148,code,UPPER(TRIM($D148)),rawStart,$F148,rawEnd,$G148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8" s="2">
        <f>LET(id,$A148,code,UPPER(TRIM($D148)),rawStart,$F148,rawEnd,$G148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8" s="2">
        <f>LET(id,$A148,code,UPPER(TRIM($D148)),rawStart,$F148,rawEnd,$G148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8" s="2">
        <f>LET(id,$A148,code,UPPER(TRIM($D148)),rawStart,$F148,rawEnd,$G148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8" s="2">
        <f>LET(id,$A148,code,UPPER(TRIM($D148)),rawStart,$F148,rawEnd,$G148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8" s="2">
        <f>LET(id,$A148,code,UPPER(TRIM($D148)),rawStart,$F148,rawEnd,$G148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8" s="2">
        <f>LET(id,$A148,code,UPPER(TRIM($D148)),rawStart,$F148,rawEnd,$G148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8" s="2">
        <f>LET(id,$A148,code,UPPER(TRIM($D148)),rawStart,$F148,rawEnd,$G148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8" s="2">
        <f>LET(id,$A148,code,UPPER(TRIM($D148)),rawStart,$F148,rawEnd,$G148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8" s="2">
        <f>LET(id,$A148,code,UPPER(TRIM($D148)),rawStart,$F148,rawEnd,$G148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8" s="2">
        <f>LET(id,$A148,code,UPPER(TRIM($D148)),rawStart,$F148,rawEnd,$G148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8" s="2">
        <f>LET(id,$A148,code,UPPER(TRIM($D148)),rawStart,$F148,rawEnd,$G148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8" s="2">
        <f>LET(id,$A148,code,UPPER(TRIM($D148)),rawStart,$F148,rawEnd,$G148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8" s="2">
        <f>LET(id,$A148,code,UPPER(TRIM($D148)),rawStart,$F148,rawEnd,$G148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8" s="2">
        <f>LET(id,$A148,code,UPPER(TRIM($D148)),rawStart,$F148,rawEnd,$G148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8" s="2">
        <f>LET(id,$A148,code,UPPER(TRIM($D148)),rawStart,$F148,rawEnd,$G148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8" s="2">
        <f>LET(id,$A148,code,UPPER(TRIM($D148)),rawStart,$F148,rawEnd,$G148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8" s="2">
        <f>LET(id,$A148,code,UPPER(TRIM($D148)),rawStart,$F148,rawEnd,$G148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8" s="2">
        <f>LET(id,$A148,code,UPPER(TRIM($D148)),rawStart,$F148,rawEnd,$G148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8" s="2">
        <f>LET(id,$A148,code,UPPER(TRIM($D148)),rawStart,$F148,rawEnd,$G148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8" s="2">
        <f>LET(id,$A148,code,UPPER(TRIM($D148)),rawStart,$F148,rawEnd,$G148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8" s="2">
        <f>LET(id,$A148,code,UPPER(TRIM($D148)),rawStart,$F148,rawEnd,$G148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8" s="2">
        <f>LET(id,$A148,code,UPPER(TRIM($D148)),rawStart,$F148,rawEnd,$G148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8" s="2">
        <f>LET(id,$A148,code,UPPER(TRIM($D148)),rawStart,$F148,rawEnd,$G148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8" s="2">
        <f>LET(id,$A148,code,UPPER(TRIM($D148)),rawStart,$F148,rawEnd,$G148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8" s="2">
        <f>LET(id,$A148,code,UPPER(TRIM($D148)),rawStart,$F148,rawEnd,$G148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8" s="2">
        <f>LET(id,$A148,code,UPPER(TRIM($D148)),rawStart,$F148,rawEnd,$G148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8" s="2">
        <f>LET(id,$A148,code,UPPER(TRIM($D148)),rawStart,$F148,rawEnd,$G148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8" s="2">
        <f>LET(id,$A148,code,UPPER(TRIM($D148)),rawStart,$F148,rawEnd,$G148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8" s="2">
        <f>LET(id,$A148,code,UPPER(TRIM($D148)),rawStart,$F148,rawEnd,$G148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8" s="2">
        <f>LET(id,$A148,code,UPPER(TRIM($D148)),rawStart,$F148,rawEnd,$G148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48" s="2">
        <f>Calc_Engine!BD148</f>
        <v/>
      </c>
    </row>
    <row r="149">
      <c r="A149" s="2">
        <f>Calc_Engine!A149</f>
        <v/>
      </c>
      <c r="B149" s="2">
        <f>Calc_Engine!B149</f>
        <v/>
      </c>
      <c r="C149" s="2">
        <f>Calc_Engine!C149</f>
        <v/>
      </c>
      <c r="D149" s="2">
        <f>Calc_Engine!D149</f>
        <v/>
      </c>
      <c r="E149" s="4">
        <f>Calc_Engine!E149</f>
        <v/>
      </c>
      <c r="F149" s="5">
        <f>Calc_Engine!F149</f>
        <v/>
      </c>
      <c r="G149" s="5">
        <f>Calc_Engine!G149</f>
        <v/>
      </c>
      <c r="H149" s="2">
        <f>LET(id,$A149,code,UPPER(TRIM($D149)),rawStart,$F149,rawEnd,$G149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9" s="2">
        <f>LET(id,$A149,code,UPPER(TRIM($D149)),rawStart,$F149,rawEnd,$G149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9" s="2">
        <f>LET(id,$A149,code,UPPER(TRIM($D149)),rawStart,$F149,rawEnd,$G149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9" s="2">
        <f>LET(id,$A149,code,UPPER(TRIM($D149)),rawStart,$F149,rawEnd,$G149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9" s="2">
        <f>LET(id,$A149,code,UPPER(TRIM($D149)),rawStart,$F149,rawEnd,$G149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9" s="2">
        <f>LET(id,$A149,code,UPPER(TRIM($D149)),rawStart,$F149,rawEnd,$G149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9" s="2">
        <f>LET(id,$A149,code,UPPER(TRIM($D149)),rawStart,$F149,rawEnd,$G149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9" s="2">
        <f>LET(id,$A149,code,UPPER(TRIM($D149)),rawStart,$F149,rawEnd,$G149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9" s="2">
        <f>LET(id,$A149,code,UPPER(TRIM($D149)),rawStart,$F149,rawEnd,$G149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9" s="2">
        <f>LET(id,$A149,code,UPPER(TRIM($D149)),rawStart,$F149,rawEnd,$G149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9" s="2">
        <f>LET(id,$A149,code,UPPER(TRIM($D149)),rawStart,$F149,rawEnd,$G149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9" s="2">
        <f>LET(id,$A149,code,UPPER(TRIM($D149)),rawStart,$F149,rawEnd,$G149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9" s="2">
        <f>LET(id,$A149,code,UPPER(TRIM($D149)),rawStart,$F149,rawEnd,$G149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9" s="2">
        <f>LET(id,$A149,code,UPPER(TRIM($D149)),rawStart,$F149,rawEnd,$G149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9" s="2">
        <f>LET(id,$A149,code,UPPER(TRIM($D149)),rawStart,$F149,rawEnd,$G149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9" s="2">
        <f>LET(id,$A149,code,UPPER(TRIM($D149)),rawStart,$F149,rawEnd,$G149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9" s="2">
        <f>LET(id,$A149,code,UPPER(TRIM($D149)),rawStart,$F149,rawEnd,$G149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9" s="2">
        <f>LET(id,$A149,code,UPPER(TRIM($D149)),rawStart,$F149,rawEnd,$G149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9" s="2">
        <f>LET(id,$A149,code,UPPER(TRIM($D149)),rawStart,$F149,rawEnd,$G149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9" s="2">
        <f>LET(id,$A149,code,UPPER(TRIM($D149)),rawStart,$F149,rawEnd,$G149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9" s="2">
        <f>LET(id,$A149,code,UPPER(TRIM($D149)),rawStart,$F149,rawEnd,$G149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9" s="2">
        <f>LET(id,$A149,code,UPPER(TRIM($D149)),rawStart,$F149,rawEnd,$G149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9" s="2">
        <f>LET(id,$A149,code,UPPER(TRIM($D149)),rawStart,$F149,rawEnd,$G149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9" s="2">
        <f>LET(id,$A149,code,UPPER(TRIM($D149)),rawStart,$F149,rawEnd,$G149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9" s="2">
        <f>LET(id,$A149,code,UPPER(TRIM($D149)),rawStart,$F149,rawEnd,$G149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9" s="2">
        <f>LET(id,$A149,code,UPPER(TRIM($D149)),rawStart,$F149,rawEnd,$G149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9" s="2">
        <f>LET(id,$A149,code,UPPER(TRIM($D149)),rawStart,$F149,rawEnd,$G149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9" s="2">
        <f>LET(id,$A149,code,UPPER(TRIM($D149)),rawStart,$F149,rawEnd,$G149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9" s="2">
        <f>LET(id,$A149,code,UPPER(TRIM($D149)),rawStart,$F149,rawEnd,$G149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9" s="2">
        <f>LET(id,$A149,code,UPPER(TRIM($D149)),rawStart,$F149,rawEnd,$G149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9" s="2">
        <f>LET(id,$A149,code,UPPER(TRIM($D149)),rawStart,$F149,rawEnd,$G149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9" s="2">
        <f>LET(id,$A149,code,UPPER(TRIM($D149)),rawStart,$F149,rawEnd,$G149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9" s="2">
        <f>LET(id,$A149,code,UPPER(TRIM($D149)),rawStart,$F149,rawEnd,$G149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9" s="2">
        <f>LET(id,$A149,code,UPPER(TRIM($D149)),rawStart,$F149,rawEnd,$G149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9" s="2">
        <f>LET(id,$A149,code,UPPER(TRIM($D149)),rawStart,$F149,rawEnd,$G149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9" s="2">
        <f>LET(id,$A149,code,UPPER(TRIM($D149)),rawStart,$F149,rawEnd,$G149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9" s="2">
        <f>LET(id,$A149,code,UPPER(TRIM($D149)),rawStart,$F149,rawEnd,$G149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9" s="2">
        <f>LET(id,$A149,code,UPPER(TRIM($D149)),rawStart,$F149,rawEnd,$G149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9" s="2">
        <f>LET(id,$A149,code,UPPER(TRIM($D149)),rawStart,$F149,rawEnd,$G149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9" s="2">
        <f>LET(id,$A149,code,UPPER(TRIM($D149)),rawStart,$F149,rawEnd,$G149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9" s="2">
        <f>LET(id,$A149,code,UPPER(TRIM($D149)),rawStart,$F149,rawEnd,$G149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9" s="2">
        <f>LET(id,$A149,code,UPPER(TRIM($D149)),rawStart,$F149,rawEnd,$G149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9" s="2">
        <f>LET(id,$A149,code,UPPER(TRIM($D149)),rawStart,$F149,rawEnd,$G149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9" s="2">
        <f>LET(id,$A149,code,UPPER(TRIM($D149)),rawStart,$F149,rawEnd,$G149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9" s="2">
        <f>LET(id,$A149,code,UPPER(TRIM($D149)),rawStart,$F149,rawEnd,$G149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9" s="2">
        <f>LET(id,$A149,code,UPPER(TRIM($D149)),rawStart,$F149,rawEnd,$G149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9" s="2">
        <f>LET(id,$A149,code,UPPER(TRIM($D149)),rawStart,$F149,rawEnd,$G149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9" s="2">
        <f>LET(id,$A149,code,UPPER(TRIM($D149)),rawStart,$F149,rawEnd,$G149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49" s="2">
        <f>Calc_Engine!BD149</f>
        <v/>
      </c>
    </row>
    <row r="150">
      <c r="A150" s="2">
        <f>Calc_Engine!A150</f>
        <v/>
      </c>
      <c r="B150" s="2">
        <f>Calc_Engine!B150</f>
        <v/>
      </c>
      <c r="C150" s="2">
        <f>Calc_Engine!C150</f>
        <v/>
      </c>
      <c r="D150" s="2">
        <f>Calc_Engine!D150</f>
        <v/>
      </c>
      <c r="E150" s="4">
        <f>Calc_Engine!E150</f>
        <v/>
      </c>
      <c r="F150" s="5">
        <f>Calc_Engine!F150</f>
        <v/>
      </c>
      <c r="G150" s="5">
        <f>Calc_Engine!G150</f>
        <v/>
      </c>
      <c r="H150" s="2">
        <f>LET(id,$A150,code,UPPER(TRIM($D150)),rawStart,$F150,rawEnd,$G150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0" s="2">
        <f>LET(id,$A150,code,UPPER(TRIM($D150)),rawStart,$F150,rawEnd,$G150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0" s="2">
        <f>LET(id,$A150,code,UPPER(TRIM($D150)),rawStart,$F150,rawEnd,$G150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0" s="2">
        <f>LET(id,$A150,code,UPPER(TRIM($D150)),rawStart,$F150,rawEnd,$G150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0" s="2">
        <f>LET(id,$A150,code,UPPER(TRIM($D150)),rawStart,$F150,rawEnd,$G150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0" s="2">
        <f>LET(id,$A150,code,UPPER(TRIM($D150)),rawStart,$F150,rawEnd,$G150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0" s="2">
        <f>LET(id,$A150,code,UPPER(TRIM($D150)),rawStart,$F150,rawEnd,$G150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0" s="2">
        <f>LET(id,$A150,code,UPPER(TRIM($D150)),rawStart,$F150,rawEnd,$G150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0" s="2">
        <f>LET(id,$A150,code,UPPER(TRIM($D150)),rawStart,$F150,rawEnd,$G150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0" s="2">
        <f>LET(id,$A150,code,UPPER(TRIM($D150)),rawStart,$F150,rawEnd,$G150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0" s="2">
        <f>LET(id,$A150,code,UPPER(TRIM($D150)),rawStart,$F150,rawEnd,$G150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0" s="2">
        <f>LET(id,$A150,code,UPPER(TRIM($D150)),rawStart,$F150,rawEnd,$G150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0" s="2">
        <f>LET(id,$A150,code,UPPER(TRIM($D150)),rawStart,$F150,rawEnd,$G150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0" s="2">
        <f>LET(id,$A150,code,UPPER(TRIM($D150)),rawStart,$F150,rawEnd,$G150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0" s="2">
        <f>LET(id,$A150,code,UPPER(TRIM($D150)),rawStart,$F150,rawEnd,$G150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0" s="2">
        <f>LET(id,$A150,code,UPPER(TRIM($D150)),rawStart,$F150,rawEnd,$G150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0" s="2">
        <f>LET(id,$A150,code,UPPER(TRIM($D150)),rawStart,$F150,rawEnd,$G150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0" s="2">
        <f>LET(id,$A150,code,UPPER(TRIM($D150)),rawStart,$F150,rawEnd,$G150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0" s="2">
        <f>LET(id,$A150,code,UPPER(TRIM($D150)),rawStart,$F150,rawEnd,$G150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0" s="2">
        <f>LET(id,$A150,code,UPPER(TRIM($D150)),rawStart,$F150,rawEnd,$G150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0" s="2">
        <f>LET(id,$A150,code,UPPER(TRIM($D150)),rawStart,$F150,rawEnd,$G150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0" s="2">
        <f>LET(id,$A150,code,UPPER(TRIM($D150)),rawStart,$F150,rawEnd,$G150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0" s="2">
        <f>LET(id,$A150,code,UPPER(TRIM($D150)),rawStart,$F150,rawEnd,$G150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0" s="2">
        <f>LET(id,$A150,code,UPPER(TRIM($D150)),rawStart,$F150,rawEnd,$G150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0" s="2">
        <f>LET(id,$A150,code,UPPER(TRIM($D150)),rawStart,$F150,rawEnd,$G150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0" s="2">
        <f>LET(id,$A150,code,UPPER(TRIM($D150)),rawStart,$F150,rawEnd,$G150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0" s="2">
        <f>LET(id,$A150,code,UPPER(TRIM($D150)),rawStart,$F150,rawEnd,$G150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0" s="2">
        <f>LET(id,$A150,code,UPPER(TRIM($D150)),rawStart,$F150,rawEnd,$G150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0" s="2">
        <f>LET(id,$A150,code,UPPER(TRIM($D150)),rawStart,$F150,rawEnd,$G150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0" s="2">
        <f>LET(id,$A150,code,UPPER(TRIM($D150)),rawStart,$F150,rawEnd,$G150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0" s="2">
        <f>LET(id,$A150,code,UPPER(TRIM($D150)),rawStart,$F150,rawEnd,$G150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0" s="2">
        <f>LET(id,$A150,code,UPPER(TRIM($D150)),rawStart,$F150,rawEnd,$G150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0" s="2">
        <f>LET(id,$A150,code,UPPER(TRIM($D150)),rawStart,$F150,rawEnd,$G150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0" s="2">
        <f>LET(id,$A150,code,UPPER(TRIM($D150)),rawStart,$F150,rawEnd,$G150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0" s="2">
        <f>LET(id,$A150,code,UPPER(TRIM($D150)),rawStart,$F150,rawEnd,$G150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0" s="2">
        <f>LET(id,$A150,code,UPPER(TRIM($D150)),rawStart,$F150,rawEnd,$G150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0" s="2">
        <f>LET(id,$A150,code,UPPER(TRIM($D150)),rawStart,$F150,rawEnd,$G150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0" s="2">
        <f>LET(id,$A150,code,UPPER(TRIM($D150)),rawStart,$F150,rawEnd,$G150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0" s="2">
        <f>LET(id,$A150,code,UPPER(TRIM($D150)),rawStart,$F150,rawEnd,$G150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0" s="2">
        <f>LET(id,$A150,code,UPPER(TRIM($D150)),rawStart,$F150,rawEnd,$G150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0" s="2">
        <f>LET(id,$A150,code,UPPER(TRIM($D150)),rawStart,$F150,rawEnd,$G150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0" s="2">
        <f>LET(id,$A150,code,UPPER(TRIM($D150)),rawStart,$F150,rawEnd,$G150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0" s="2">
        <f>LET(id,$A150,code,UPPER(TRIM($D150)),rawStart,$F150,rawEnd,$G150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0" s="2">
        <f>LET(id,$A150,code,UPPER(TRIM($D150)),rawStart,$F150,rawEnd,$G150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0" s="2">
        <f>LET(id,$A150,code,UPPER(TRIM($D150)),rawStart,$F150,rawEnd,$G150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0" s="2">
        <f>LET(id,$A150,code,UPPER(TRIM($D150)),rawStart,$F150,rawEnd,$G150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0" s="2">
        <f>LET(id,$A150,code,UPPER(TRIM($D150)),rawStart,$F150,rawEnd,$G150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0" s="2">
        <f>LET(id,$A150,code,UPPER(TRIM($D150)),rawStart,$F150,rawEnd,$G150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50" s="2">
        <f>Calc_Engine!BD150</f>
        <v/>
      </c>
    </row>
    <row r="151">
      <c r="A151" s="2">
        <f>Calc_Engine!A151</f>
        <v/>
      </c>
      <c r="B151" s="2">
        <f>Calc_Engine!B151</f>
        <v/>
      </c>
      <c r="C151" s="2">
        <f>Calc_Engine!C151</f>
        <v/>
      </c>
      <c r="D151" s="2">
        <f>Calc_Engine!D151</f>
        <v/>
      </c>
      <c r="E151" s="4">
        <f>Calc_Engine!E151</f>
        <v/>
      </c>
      <c r="F151" s="5">
        <f>Calc_Engine!F151</f>
        <v/>
      </c>
      <c r="G151" s="5">
        <f>Calc_Engine!G151</f>
        <v/>
      </c>
      <c r="H151" s="2">
        <f>LET(id,$A151,code,UPPER(TRIM($D151)),rawStart,$F151,rawEnd,$G151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1" s="2">
        <f>LET(id,$A151,code,UPPER(TRIM($D151)),rawStart,$F151,rawEnd,$G151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1" s="2">
        <f>LET(id,$A151,code,UPPER(TRIM($D151)),rawStart,$F151,rawEnd,$G151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1" s="2">
        <f>LET(id,$A151,code,UPPER(TRIM($D151)),rawStart,$F151,rawEnd,$G151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1" s="2">
        <f>LET(id,$A151,code,UPPER(TRIM($D151)),rawStart,$F151,rawEnd,$G151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1" s="2">
        <f>LET(id,$A151,code,UPPER(TRIM($D151)),rawStart,$F151,rawEnd,$G151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1" s="2">
        <f>LET(id,$A151,code,UPPER(TRIM($D151)),rawStart,$F151,rawEnd,$G151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1" s="2">
        <f>LET(id,$A151,code,UPPER(TRIM($D151)),rawStart,$F151,rawEnd,$G151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1" s="2">
        <f>LET(id,$A151,code,UPPER(TRIM($D151)),rawStart,$F151,rawEnd,$G151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1" s="2">
        <f>LET(id,$A151,code,UPPER(TRIM($D151)),rawStart,$F151,rawEnd,$G151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1" s="2">
        <f>LET(id,$A151,code,UPPER(TRIM($D151)),rawStart,$F151,rawEnd,$G151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1" s="2">
        <f>LET(id,$A151,code,UPPER(TRIM($D151)),rawStart,$F151,rawEnd,$G151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1" s="2">
        <f>LET(id,$A151,code,UPPER(TRIM($D151)),rawStart,$F151,rawEnd,$G151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1" s="2">
        <f>LET(id,$A151,code,UPPER(TRIM($D151)),rawStart,$F151,rawEnd,$G151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1" s="2">
        <f>LET(id,$A151,code,UPPER(TRIM($D151)),rawStart,$F151,rawEnd,$G151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1" s="2">
        <f>LET(id,$A151,code,UPPER(TRIM($D151)),rawStart,$F151,rawEnd,$G151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1" s="2">
        <f>LET(id,$A151,code,UPPER(TRIM($D151)),rawStart,$F151,rawEnd,$G151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1" s="2">
        <f>LET(id,$A151,code,UPPER(TRIM($D151)),rawStart,$F151,rawEnd,$G151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1" s="2">
        <f>LET(id,$A151,code,UPPER(TRIM($D151)),rawStart,$F151,rawEnd,$G151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1" s="2">
        <f>LET(id,$A151,code,UPPER(TRIM($D151)),rawStart,$F151,rawEnd,$G151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1" s="2">
        <f>LET(id,$A151,code,UPPER(TRIM($D151)),rawStart,$F151,rawEnd,$G151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1" s="2">
        <f>LET(id,$A151,code,UPPER(TRIM($D151)),rawStart,$F151,rawEnd,$G151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1" s="2">
        <f>LET(id,$A151,code,UPPER(TRIM($D151)),rawStart,$F151,rawEnd,$G151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1" s="2">
        <f>LET(id,$A151,code,UPPER(TRIM($D151)),rawStart,$F151,rawEnd,$G151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1" s="2">
        <f>LET(id,$A151,code,UPPER(TRIM($D151)),rawStart,$F151,rawEnd,$G151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1" s="2">
        <f>LET(id,$A151,code,UPPER(TRIM($D151)),rawStart,$F151,rawEnd,$G151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1" s="2">
        <f>LET(id,$A151,code,UPPER(TRIM($D151)),rawStart,$F151,rawEnd,$G151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1" s="2">
        <f>LET(id,$A151,code,UPPER(TRIM($D151)),rawStart,$F151,rawEnd,$G151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1" s="2">
        <f>LET(id,$A151,code,UPPER(TRIM($D151)),rawStart,$F151,rawEnd,$G151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1" s="2">
        <f>LET(id,$A151,code,UPPER(TRIM($D151)),rawStart,$F151,rawEnd,$G151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1" s="2">
        <f>LET(id,$A151,code,UPPER(TRIM($D151)),rawStart,$F151,rawEnd,$G151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1" s="2">
        <f>LET(id,$A151,code,UPPER(TRIM($D151)),rawStart,$F151,rawEnd,$G151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1" s="2">
        <f>LET(id,$A151,code,UPPER(TRIM($D151)),rawStart,$F151,rawEnd,$G151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1" s="2">
        <f>LET(id,$A151,code,UPPER(TRIM($D151)),rawStart,$F151,rawEnd,$G151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1" s="2">
        <f>LET(id,$A151,code,UPPER(TRIM($D151)),rawStart,$F151,rawEnd,$G151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1" s="2">
        <f>LET(id,$A151,code,UPPER(TRIM($D151)),rawStart,$F151,rawEnd,$G151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1" s="2">
        <f>LET(id,$A151,code,UPPER(TRIM($D151)),rawStart,$F151,rawEnd,$G151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1" s="2">
        <f>LET(id,$A151,code,UPPER(TRIM($D151)),rawStart,$F151,rawEnd,$G151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1" s="2">
        <f>LET(id,$A151,code,UPPER(TRIM($D151)),rawStart,$F151,rawEnd,$G151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1" s="2">
        <f>LET(id,$A151,code,UPPER(TRIM($D151)),rawStart,$F151,rawEnd,$G151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1" s="2">
        <f>LET(id,$A151,code,UPPER(TRIM($D151)),rawStart,$F151,rawEnd,$G151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1" s="2">
        <f>LET(id,$A151,code,UPPER(TRIM($D151)),rawStart,$F151,rawEnd,$G151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1" s="2">
        <f>LET(id,$A151,code,UPPER(TRIM($D151)),rawStart,$F151,rawEnd,$G151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1" s="2">
        <f>LET(id,$A151,code,UPPER(TRIM($D151)),rawStart,$F151,rawEnd,$G151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1" s="2">
        <f>LET(id,$A151,code,UPPER(TRIM($D151)),rawStart,$F151,rawEnd,$G151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1" s="2">
        <f>LET(id,$A151,code,UPPER(TRIM($D151)),rawStart,$F151,rawEnd,$G151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1" s="2">
        <f>LET(id,$A151,code,UPPER(TRIM($D151)),rawStart,$F151,rawEnd,$G151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1" s="2">
        <f>LET(id,$A151,code,UPPER(TRIM($D151)),rawStart,$F151,rawEnd,$G151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51" s="2">
        <f>Calc_Engine!BD151</f>
        <v/>
      </c>
    </row>
    <row r="152">
      <c r="A152" s="2">
        <f>Calc_Engine!A152</f>
        <v/>
      </c>
      <c r="B152" s="2">
        <f>Calc_Engine!B152</f>
        <v/>
      </c>
      <c r="C152" s="2">
        <f>Calc_Engine!C152</f>
        <v/>
      </c>
      <c r="D152" s="2">
        <f>Calc_Engine!D152</f>
        <v/>
      </c>
      <c r="E152" s="4">
        <f>Calc_Engine!E152</f>
        <v/>
      </c>
      <c r="F152" s="5">
        <f>Calc_Engine!F152</f>
        <v/>
      </c>
      <c r="G152" s="5">
        <f>Calc_Engine!G152</f>
        <v/>
      </c>
      <c r="H152" s="2">
        <f>LET(id,$A152,code,UPPER(TRIM($D152)),rawStart,$F152,rawEnd,$G152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2" s="2">
        <f>LET(id,$A152,code,UPPER(TRIM($D152)),rawStart,$F152,rawEnd,$G152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2" s="2">
        <f>LET(id,$A152,code,UPPER(TRIM($D152)),rawStart,$F152,rawEnd,$G152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2" s="2">
        <f>LET(id,$A152,code,UPPER(TRIM($D152)),rawStart,$F152,rawEnd,$G152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2" s="2">
        <f>LET(id,$A152,code,UPPER(TRIM($D152)),rawStart,$F152,rawEnd,$G152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2" s="2">
        <f>LET(id,$A152,code,UPPER(TRIM($D152)),rawStart,$F152,rawEnd,$G152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2" s="2">
        <f>LET(id,$A152,code,UPPER(TRIM($D152)),rawStart,$F152,rawEnd,$G152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2" s="2">
        <f>LET(id,$A152,code,UPPER(TRIM($D152)),rawStart,$F152,rawEnd,$G152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2" s="2">
        <f>LET(id,$A152,code,UPPER(TRIM($D152)),rawStart,$F152,rawEnd,$G152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2" s="2">
        <f>LET(id,$A152,code,UPPER(TRIM($D152)),rawStart,$F152,rawEnd,$G152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2" s="2">
        <f>LET(id,$A152,code,UPPER(TRIM($D152)),rawStart,$F152,rawEnd,$G152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2" s="2">
        <f>LET(id,$A152,code,UPPER(TRIM($D152)),rawStart,$F152,rawEnd,$G152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2" s="2">
        <f>LET(id,$A152,code,UPPER(TRIM($D152)),rawStart,$F152,rawEnd,$G152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2" s="2">
        <f>LET(id,$A152,code,UPPER(TRIM($D152)),rawStart,$F152,rawEnd,$G152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2" s="2">
        <f>LET(id,$A152,code,UPPER(TRIM($D152)),rawStart,$F152,rawEnd,$G152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2" s="2">
        <f>LET(id,$A152,code,UPPER(TRIM($D152)),rawStart,$F152,rawEnd,$G152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2" s="2">
        <f>LET(id,$A152,code,UPPER(TRIM($D152)),rawStart,$F152,rawEnd,$G152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2" s="2">
        <f>LET(id,$A152,code,UPPER(TRIM($D152)),rawStart,$F152,rawEnd,$G152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2" s="2">
        <f>LET(id,$A152,code,UPPER(TRIM($D152)),rawStart,$F152,rawEnd,$G152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2" s="2">
        <f>LET(id,$A152,code,UPPER(TRIM($D152)),rawStart,$F152,rawEnd,$G152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2" s="2">
        <f>LET(id,$A152,code,UPPER(TRIM($D152)),rawStart,$F152,rawEnd,$G152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2" s="2">
        <f>LET(id,$A152,code,UPPER(TRIM($D152)),rawStart,$F152,rawEnd,$G152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2" s="2">
        <f>LET(id,$A152,code,UPPER(TRIM($D152)),rawStart,$F152,rawEnd,$G152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2" s="2">
        <f>LET(id,$A152,code,UPPER(TRIM($D152)),rawStart,$F152,rawEnd,$G152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2" s="2">
        <f>LET(id,$A152,code,UPPER(TRIM($D152)),rawStart,$F152,rawEnd,$G152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2" s="2">
        <f>LET(id,$A152,code,UPPER(TRIM($D152)),rawStart,$F152,rawEnd,$G152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2" s="2">
        <f>LET(id,$A152,code,UPPER(TRIM($D152)),rawStart,$F152,rawEnd,$G152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2" s="2">
        <f>LET(id,$A152,code,UPPER(TRIM($D152)),rawStart,$F152,rawEnd,$G152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2" s="2">
        <f>LET(id,$A152,code,UPPER(TRIM($D152)),rawStart,$F152,rawEnd,$G152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2" s="2">
        <f>LET(id,$A152,code,UPPER(TRIM($D152)),rawStart,$F152,rawEnd,$G152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2" s="2">
        <f>LET(id,$A152,code,UPPER(TRIM($D152)),rawStart,$F152,rawEnd,$G152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2" s="2">
        <f>LET(id,$A152,code,UPPER(TRIM($D152)),rawStart,$F152,rawEnd,$G152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2" s="2">
        <f>LET(id,$A152,code,UPPER(TRIM($D152)),rawStart,$F152,rawEnd,$G152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2" s="2">
        <f>LET(id,$A152,code,UPPER(TRIM($D152)),rawStart,$F152,rawEnd,$G152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2" s="2">
        <f>LET(id,$A152,code,UPPER(TRIM($D152)),rawStart,$F152,rawEnd,$G152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2" s="2">
        <f>LET(id,$A152,code,UPPER(TRIM($D152)),rawStart,$F152,rawEnd,$G152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2" s="2">
        <f>LET(id,$A152,code,UPPER(TRIM($D152)),rawStart,$F152,rawEnd,$G152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2" s="2">
        <f>LET(id,$A152,code,UPPER(TRIM($D152)),rawStart,$F152,rawEnd,$G152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2" s="2">
        <f>LET(id,$A152,code,UPPER(TRIM($D152)),rawStart,$F152,rawEnd,$G152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2" s="2">
        <f>LET(id,$A152,code,UPPER(TRIM($D152)),rawStart,$F152,rawEnd,$G152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2" s="2">
        <f>LET(id,$A152,code,UPPER(TRIM($D152)),rawStart,$F152,rawEnd,$G152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2" s="2">
        <f>LET(id,$A152,code,UPPER(TRIM($D152)),rawStart,$F152,rawEnd,$G152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2" s="2">
        <f>LET(id,$A152,code,UPPER(TRIM($D152)),rawStart,$F152,rawEnd,$G152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2" s="2">
        <f>LET(id,$A152,code,UPPER(TRIM($D152)),rawStart,$F152,rawEnd,$G152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2" s="2">
        <f>LET(id,$A152,code,UPPER(TRIM($D152)),rawStart,$F152,rawEnd,$G152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2" s="2">
        <f>LET(id,$A152,code,UPPER(TRIM($D152)),rawStart,$F152,rawEnd,$G152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2" s="2">
        <f>LET(id,$A152,code,UPPER(TRIM($D152)),rawStart,$F152,rawEnd,$G152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2" s="2">
        <f>LET(id,$A152,code,UPPER(TRIM($D152)),rawStart,$F152,rawEnd,$G152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52" s="2">
        <f>Calc_Engine!BD152</f>
        <v/>
      </c>
    </row>
    <row r="153">
      <c r="A153" s="2">
        <f>Calc_Engine!A153</f>
        <v/>
      </c>
      <c r="B153" s="2">
        <f>Calc_Engine!B153</f>
        <v/>
      </c>
      <c r="C153" s="2">
        <f>Calc_Engine!C153</f>
        <v/>
      </c>
      <c r="D153" s="2">
        <f>Calc_Engine!D153</f>
        <v/>
      </c>
      <c r="E153" s="4">
        <f>Calc_Engine!E153</f>
        <v/>
      </c>
      <c r="F153" s="5">
        <f>Calc_Engine!F153</f>
        <v/>
      </c>
      <c r="G153" s="5">
        <f>Calc_Engine!G153</f>
        <v/>
      </c>
      <c r="H153" s="2">
        <f>LET(id,$A153,code,UPPER(TRIM($D153)),rawStart,$F153,rawEnd,$G153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3" s="2">
        <f>LET(id,$A153,code,UPPER(TRIM($D153)),rawStart,$F153,rawEnd,$G153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3" s="2">
        <f>LET(id,$A153,code,UPPER(TRIM($D153)),rawStart,$F153,rawEnd,$G153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3" s="2">
        <f>LET(id,$A153,code,UPPER(TRIM($D153)),rawStart,$F153,rawEnd,$G153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3" s="2">
        <f>LET(id,$A153,code,UPPER(TRIM($D153)),rawStart,$F153,rawEnd,$G153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3" s="2">
        <f>LET(id,$A153,code,UPPER(TRIM($D153)),rawStart,$F153,rawEnd,$G153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3" s="2">
        <f>LET(id,$A153,code,UPPER(TRIM($D153)),rawStart,$F153,rawEnd,$G153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3" s="2">
        <f>LET(id,$A153,code,UPPER(TRIM($D153)),rawStart,$F153,rawEnd,$G153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3" s="2">
        <f>LET(id,$A153,code,UPPER(TRIM($D153)),rawStart,$F153,rawEnd,$G153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3" s="2">
        <f>LET(id,$A153,code,UPPER(TRIM($D153)),rawStart,$F153,rawEnd,$G153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3" s="2">
        <f>LET(id,$A153,code,UPPER(TRIM($D153)),rawStart,$F153,rawEnd,$G153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3" s="2">
        <f>LET(id,$A153,code,UPPER(TRIM($D153)),rawStart,$F153,rawEnd,$G153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3" s="2">
        <f>LET(id,$A153,code,UPPER(TRIM($D153)),rawStart,$F153,rawEnd,$G153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3" s="2">
        <f>LET(id,$A153,code,UPPER(TRIM($D153)),rawStart,$F153,rawEnd,$G153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3" s="2">
        <f>LET(id,$A153,code,UPPER(TRIM($D153)),rawStart,$F153,rawEnd,$G153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3" s="2">
        <f>LET(id,$A153,code,UPPER(TRIM($D153)),rawStart,$F153,rawEnd,$G153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3" s="2">
        <f>LET(id,$A153,code,UPPER(TRIM($D153)),rawStart,$F153,rawEnd,$G153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3" s="2">
        <f>LET(id,$A153,code,UPPER(TRIM($D153)),rawStart,$F153,rawEnd,$G153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3" s="2">
        <f>LET(id,$A153,code,UPPER(TRIM($D153)),rawStart,$F153,rawEnd,$G153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3" s="2">
        <f>LET(id,$A153,code,UPPER(TRIM($D153)),rawStart,$F153,rawEnd,$G153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3" s="2">
        <f>LET(id,$A153,code,UPPER(TRIM($D153)),rawStart,$F153,rawEnd,$G153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3" s="2">
        <f>LET(id,$A153,code,UPPER(TRIM($D153)),rawStart,$F153,rawEnd,$G153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3" s="2">
        <f>LET(id,$A153,code,UPPER(TRIM($D153)),rawStart,$F153,rawEnd,$G153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3" s="2">
        <f>LET(id,$A153,code,UPPER(TRIM($D153)),rawStart,$F153,rawEnd,$G153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3" s="2">
        <f>LET(id,$A153,code,UPPER(TRIM($D153)),rawStart,$F153,rawEnd,$G153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3" s="2">
        <f>LET(id,$A153,code,UPPER(TRIM($D153)),rawStart,$F153,rawEnd,$G153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3" s="2">
        <f>LET(id,$A153,code,UPPER(TRIM($D153)),rawStart,$F153,rawEnd,$G153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3" s="2">
        <f>LET(id,$A153,code,UPPER(TRIM($D153)),rawStart,$F153,rawEnd,$G153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3" s="2">
        <f>LET(id,$A153,code,UPPER(TRIM($D153)),rawStart,$F153,rawEnd,$G153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3" s="2">
        <f>LET(id,$A153,code,UPPER(TRIM($D153)),rawStart,$F153,rawEnd,$G153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3" s="2">
        <f>LET(id,$A153,code,UPPER(TRIM($D153)),rawStart,$F153,rawEnd,$G153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3" s="2">
        <f>LET(id,$A153,code,UPPER(TRIM($D153)),rawStart,$F153,rawEnd,$G153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3" s="2">
        <f>LET(id,$A153,code,UPPER(TRIM($D153)),rawStart,$F153,rawEnd,$G153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3" s="2">
        <f>LET(id,$A153,code,UPPER(TRIM($D153)),rawStart,$F153,rawEnd,$G153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3" s="2">
        <f>LET(id,$A153,code,UPPER(TRIM($D153)),rawStart,$F153,rawEnd,$G153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3" s="2">
        <f>LET(id,$A153,code,UPPER(TRIM($D153)),rawStart,$F153,rawEnd,$G153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3" s="2">
        <f>LET(id,$A153,code,UPPER(TRIM($D153)),rawStart,$F153,rawEnd,$G153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3" s="2">
        <f>LET(id,$A153,code,UPPER(TRIM($D153)),rawStart,$F153,rawEnd,$G153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3" s="2">
        <f>LET(id,$A153,code,UPPER(TRIM($D153)),rawStart,$F153,rawEnd,$G153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3" s="2">
        <f>LET(id,$A153,code,UPPER(TRIM($D153)),rawStart,$F153,rawEnd,$G153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3" s="2">
        <f>LET(id,$A153,code,UPPER(TRIM($D153)),rawStart,$F153,rawEnd,$G153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3" s="2">
        <f>LET(id,$A153,code,UPPER(TRIM($D153)),rawStart,$F153,rawEnd,$G153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3" s="2">
        <f>LET(id,$A153,code,UPPER(TRIM($D153)),rawStart,$F153,rawEnd,$G153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3" s="2">
        <f>LET(id,$A153,code,UPPER(TRIM($D153)),rawStart,$F153,rawEnd,$G153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3" s="2">
        <f>LET(id,$A153,code,UPPER(TRIM($D153)),rawStart,$F153,rawEnd,$G153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3" s="2">
        <f>LET(id,$A153,code,UPPER(TRIM($D153)),rawStart,$F153,rawEnd,$G153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3" s="2">
        <f>LET(id,$A153,code,UPPER(TRIM($D153)),rawStart,$F153,rawEnd,$G153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3" s="2">
        <f>LET(id,$A153,code,UPPER(TRIM($D153)),rawStart,$F153,rawEnd,$G153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53" s="2">
        <f>Calc_Engine!BD153</f>
        <v/>
      </c>
    </row>
    <row r="154">
      <c r="A154" s="2">
        <f>Calc_Engine!A154</f>
        <v/>
      </c>
      <c r="B154" s="2">
        <f>Calc_Engine!B154</f>
        <v/>
      </c>
      <c r="C154" s="2">
        <f>Calc_Engine!C154</f>
        <v/>
      </c>
      <c r="D154" s="2">
        <f>Calc_Engine!D154</f>
        <v/>
      </c>
      <c r="E154" s="4">
        <f>Calc_Engine!E154</f>
        <v/>
      </c>
      <c r="F154" s="5">
        <f>Calc_Engine!F154</f>
        <v/>
      </c>
      <c r="G154" s="5">
        <f>Calc_Engine!G154</f>
        <v/>
      </c>
      <c r="H154" s="2">
        <f>LET(id,$A154,code,UPPER(TRIM($D154)),rawStart,$F154,rawEnd,$G154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4" s="2">
        <f>LET(id,$A154,code,UPPER(TRIM($D154)),rawStart,$F154,rawEnd,$G154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4" s="2">
        <f>LET(id,$A154,code,UPPER(TRIM($D154)),rawStart,$F154,rawEnd,$G154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4" s="2">
        <f>LET(id,$A154,code,UPPER(TRIM($D154)),rawStart,$F154,rawEnd,$G154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4" s="2">
        <f>LET(id,$A154,code,UPPER(TRIM($D154)),rawStart,$F154,rawEnd,$G154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4" s="2">
        <f>LET(id,$A154,code,UPPER(TRIM($D154)),rawStart,$F154,rawEnd,$G154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4" s="2">
        <f>LET(id,$A154,code,UPPER(TRIM($D154)),rawStart,$F154,rawEnd,$G154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4" s="2">
        <f>LET(id,$A154,code,UPPER(TRIM($D154)),rawStart,$F154,rawEnd,$G154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4" s="2">
        <f>LET(id,$A154,code,UPPER(TRIM($D154)),rawStart,$F154,rawEnd,$G154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4" s="2">
        <f>LET(id,$A154,code,UPPER(TRIM($D154)),rawStart,$F154,rawEnd,$G154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4" s="2">
        <f>LET(id,$A154,code,UPPER(TRIM($D154)),rawStart,$F154,rawEnd,$G154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4" s="2">
        <f>LET(id,$A154,code,UPPER(TRIM($D154)),rawStart,$F154,rawEnd,$G154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4" s="2">
        <f>LET(id,$A154,code,UPPER(TRIM($D154)),rawStart,$F154,rawEnd,$G154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4" s="2">
        <f>LET(id,$A154,code,UPPER(TRIM($D154)),rawStart,$F154,rawEnd,$G154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4" s="2">
        <f>LET(id,$A154,code,UPPER(TRIM($D154)),rawStart,$F154,rawEnd,$G154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4" s="2">
        <f>LET(id,$A154,code,UPPER(TRIM($D154)),rawStart,$F154,rawEnd,$G154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4" s="2">
        <f>LET(id,$A154,code,UPPER(TRIM($D154)),rawStart,$F154,rawEnd,$G154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4" s="2">
        <f>LET(id,$A154,code,UPPER(TRIM($D154)),rawStart,$F154,rawEnd,$G154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4" s="2">
        <f>LET(id,$A154,code,UPPER(TRIM($D154)),rawStart,$F154,rawEnd,$G154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4" s="2">
        <f>LET(id,$A154,code,UPPER(TRIM($D154)),rawStart,$F154,rawEnd,$G154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4" s="2">
        <f>LET(id,$A154,code,UPPER(TRIM($D154)),rawStart,$F154,rawEnd,$G154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4" s="2">
        <f>LET(id,$A154,code,UPPER(TRIM($D154)),rawStart,$F154,rawEnd,$G154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4" s="2">
        <f>LET(id,$A154,code,UPPER(TRIM($D154)),rawStart,$F154,rawEnd,$G154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4" s="2">
        <f>LET(id,$A154,code,UPPER(TRIM($D154)),rawStart,$F154,rawEnd,$G154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4" s="2">
        <f>LET(id,$A154,code,UPPER(TRIM($D154)),rawStart,$F154,rawEnd,$G154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4" s="2">
        <f>LET(id,$A154,code,UPPER(TRIM($D154)),rawStart,$F154,rawEnd,$G154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4" s="2">
        <f>LET(id,$A154,code,UPPER(TRIM($D154)),rawStart,$F154,rawEnd,$G154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4" s="2">
        <f>LET(id,$A154,code,UPPER(TRIM($D154)),rawStart,$F154,rawEnd,$G154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4" s="2">
        <f>LET(id,$A154,code,UPPER(TRIM($D154)),rawStart,$F154,rawEnd,$G154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4" s="2">
        <f>LET(id,$A154,code,UPPER(TRIM($D154)),rawStart,$F154,rawEnd,$G154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4" s="2">
        <f>LET(id,$A154,code,UPPER(TRIM($D154)),rawStart,$F154,rawEnd,$G154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4" s="2">
        <f>LET(id,$A154,code,UPPER(TRIM($D154)),rawStart,$F154,rawEnd,$G154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4" s="2">
        <f>LET(id,$A154,code,UPPER(TRIM($D154)),rawStart,$F154,rawEnd,$G154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4" s="2">
        <f>LET(id,$A154,code,UPPER(TRIM($D154)),rawStart,$F154,rawEnd,$G154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4" s="2">
        <f>LET(id,$A154,code,UPPER(TRIM($D154)),rawStart,$F154,rawEnd,$G154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4" s="2">
        <f>LET(id,$A154,code,UPPER(TRIM($D154)),rawStart,$F154,rawEnd,$G154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4" s="2">
        <f>LET(id,$A154,code,UPPER(TRIM($D154)),rawStart,$F154,rawEnd,$G154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4" s="2">
        <f>LET(id,$A154,code,UPPER(TRIM($D154)),rawStart,$F154,rawEnd,$G154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4" s="2">
        <f>LET(id,$A154,code,UPPER(TRIM($D154)),rawStart,$F154,rawEnd,$G154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4" s="2">
        <f>LET(id,$A154,code,UPPER(TRIM($D154)),rawStart,$F154,rawEnd,$G154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4" s="2">
        <f>LET(id,$A154,code,UPPER(TRIM($D154)),rawStart,$F154,rawEnd,$G154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4" s="2">
        <f>LET(id,$A154,code,UPPER(TRIM($D154)),rawStart,$F154,rawEnd,$G154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4" s="2">
        <f>LET(id,$A154,code,UPPER(TRIM($D154)),rawStart,$F154,rawEnd,$G154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4" s="2">
        <f>LET(id,$A154,code,UPPER(TRIM($D154)),rawStart,$F154,rawEnd,$G154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4" s="2">
        <f>LET(id,$A154,code,UPPER(TRIM($D154)),rawStart,$F154,rawEnd,$G154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4" s="2">
        <f>LET(id,$A154,code,UPPER(TRIM($D154)),rawStart,$F154,rawEnd,$G154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4" s="2">
        <f>LET(id,$A154,code,UPPER(TRIM($D154)),rawStart,$F154,rawEnd,$G154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4" s="2">
        <f>LET(id,$A154,code,UPPER(TRIM($D154)),rawStart,$F154,rawEnd,$G154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54" s="2">
        <f>Calc_Engine!BD154</f>
        <v/>
      </c>
    </row>
    <row r="155">
      <c r="A155" s="2">
        <f>Calc_Engine!A155</f>
        <v/>
      </c>
      <c r="B155" s="2">
        <f>Calc_Engine!B155</f>
        <v/>
      </c>
      <c r="C155" s="2">
        <f>Calc_Engine!C155</f>
        <v/>
      </c>
      <c r="D155" s="2">
        <f>Calc_Engine!D155</f>
        <v/>
      </c>
      <c r="E155" s="4">
        <f>Calc_Engine!E155</f>
        <v/>
      </c>
      <c r="F155" s="5">
        <f>Calc_Engine!F155</f>
        <v/>
      </c>
      <c r="G155" s="5">
        <f>Calc_Engine!G155</f>
        <v/>
      </c>
      <c r="H155" s="2">
        <f>LET(id,$A155,code,UPPER(TRIM($D155)),rawStart,$F155,rawEnd,$G155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5" s="2">
        <f>LET(id,$A155,code,UPPER(TRIM($D155)),rawStart,$F155,rawEnd,$G155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5" s="2">
        <f>LET(id,$A155,code,UPPER(TRIM($D155)),rawStart,$F155,rawEnd,$G155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5" s="2">
        <f>LET(id,$A155,code,UPPER(TRIM($D155)),rawStart,$F155,rawEnd,$G155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5" s="2">
        <f>LET(id,$A155,code,UPPER(TRIM($D155)),rawStart,$F155,rawEnd,$G155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5" s="2">
        <f>LET(id,$A155,code,UPPER(TRIM($D155)),rawStart,$F155,rawEnd,$G155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5" s="2">
        <f>LET(id,$A155,code,UPPER(TRIM($D155)),rawStart,$F155,rawEnd,$G155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5" s="2">
        <f>LET(id,$A155,code,UPPER(TRIM($D155)),rawStart,$F155,rawEnd,$G155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5" s="2">
        <f>LET(id,$A155,code,UPPER(TRIM($D155)),rawStart,$F155,rawEnd,$G155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5" s="2">
        <f>LET(id,$A155,code,UPPER(TRIM($D155)),rawStart,$F155,rawEnd,$G155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5" s="2">
        <f>LET(id,$A155,code,UPPER(TRIM($D155)),rawStart,$F155,rawEnd,$G155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5" s="2">
        <f>LET(id,$A155,code,UPPER(TRIM($D155)),rawStart,$F155,rawEnd,$G155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5" s="2">
        <f>LET(id,$A155,code,UPPER(TRIM($D155)),rawStart,$F155,rawEnd,$G155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5" s="2">
        <f>LET(id,$A155,code,UPPER(TRIM($D155)),rawStart,$F155,rawEnd,$G155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5" s="2">
        <f>LET(id,$A155,code,UPPER(TRIM($D155)),rawStart,$F155,rawEnd,$G155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5" s="2">
        <f>LET(id,$A155,code,UPPER(TRIM($D155)),rawStart,$F155,rawEnd,$G155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5" s="2">
        <f>LET(id,$A155,code,UPPER(TRIM($D155)),rawStart,$F155,rawEnd,$G155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5" s="2">
        <f>LET(id,$A155,code,UPPER(TRIM($D155)),rawStart,$F155,rawEnd,$G155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5" s="2">
        <f>LET(id,$A155,code,UPPER(TRIM($D155)),rawStart,$F155,rawEnd,$G155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5" s="2">
        <f>LET(id,$A155,code,UPPER(TRIM($D155)),rawStart,$F155,rawEnd,$G155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5" s="2">
        <f>LET(id,$A155,code,UPPER(TRIM($D155)),rawStart,$F155,rawEnd,$G155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5" s="2">
        <f>LET(id,$A155,code,UPPER(TRIM($D155)),rawStart,$F155,rawEnd,$G155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5" s="2">
        <f>LET(id,$A155,code,UPPER(TRIM($D155)),rawStart,$F155,rawEnd,$G155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5" s="2">
        <f>LET(id,$A155,code,UPPER(TRIM($D155)),rawStart,$F155,rawEnd,$G155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5" s="2">
        <f>LET(id,$A155,code,UPPER(TRIM($D155)),rawStart,$F155,rawEnd,$G155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5" s="2">
        <f>LET(id,$A155,code,UPPER(TRIM($D155)),rawStart,$F155,rawEnd,$G155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5" s="2">
        <f>LET(id,$A155,code,UPPER(TRIM($D155)),rawStart,$F155,rawEnd,$G155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5" s="2">
        <f>LET(id,$A155,code,UPPER(TRIM($D155)),rawStart,$F155,rawEnd,$G155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5" s="2">
        <f>LET(id,$A155,code,UPPER(TRIM($D155)),rawStart,$F155,rawEnd,$G155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5" s="2">
        <f>LET(id,$A155,code,UPPER(TRIM($D155)),rawStart,$F155,rawEnd,$G155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5" s="2">
        <f>LET(id,$A155,code,UPPER(TRIM($D155)),rawStart,$F155,rawEnd,$G155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5" s="2">
        <f>LET(id,$A155,code,UPPER(TRIM($D155)),rawStart,$F155,rawEnd,$G155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5" s="2">
        <f>LET(id,$A155,code,UPPER(TRIM($D155)),rawStart,$F155,rawEnd,$G155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5" s="2">
        <f>LET(id,$A155,code,UPPER(TRIM($D155)),rawStart,$F155,rawEnd,$G155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5" s="2">
        <f>LET(id,$A155,code,UPPER(TRIM($D155)),rawStart,$F155,rawEnd,$G155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5" s="2">
        <f>LET(id,$A155,code,UPPER(TRIM($D155)),rawStart,$F155,rawEnd,$G155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5" s="2">
        <f>LET(id,$A155,code,UPPER(TRIM($D155)),rawStart,$F155,rawEnd,$G155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5" s="2">
        <f>LET(id,$A155,code,UPPER(TRIM($D155)),rawStart,$F155,rawEnd,$G155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5" s="2">
        <f>LET(id,$A155,code,UPPER(TRIM($D155)),rawStart,$F155,rawEnd,$G155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5" s="2">
        <f>LET(id,$A155,code,UPPER(TRIM($D155)),rawStart,$F155,rawEnd,$G155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5" s="2">
        <f>LET(id,$A155,code,UPPER(TRIM($D155)),rawStart,$F155,rawEnd,$G155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5" s="2">
        <f>LET(id,$A155,code,UPPER(TRIM($D155)),rawStart,$F155,rawEnd,$G155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5" s="2">
        <f>LET(id,$A155,code,UPPER(TRIM($D155)),rawStart,$F155,rawEnd,$G155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5" s="2">
        <f>LET(id,$A155,code,UPPER(TRIM($D155)),rawStart,$F155,rawEnd,$G155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5" s="2">
        <f>LET(id,$A155,code,UPPER(TRIM($D155)),rawStart,$F155,rawEnd,$G155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5" s="2">
        <f>LET(id,$A155,code,UPPER(TRIM($D155)),rawStart,$F155,rawEnd,$G155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5" s="2">
        <f>LET(id,$A155,code,UPPER(TRIM($D155)),rawStart,$F155,rawEnd,$G155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5" s="2">
        <f>LET(id,$A155,code,UPPER(TRIM($D155)),rawStart,$F155,rawEnd,$G155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55" s="2">
        <f>Calc_Engine!BD155</f>
        <v/>
      </c>
    </row>
    <row r="156">
      <c r="A156" s="2">
        <f>Calc_Engine!A156</f>
        <v/>
      </c>
      <c r="B156" s="2">
        <f>Calc_Engine!B156</f>
        <v/>
      </c>
      <c r="C156" s="2">
        <f>Calc_Engine!C156</f>
        <v/>
      </c>
      <c r="D156" s="2">
        <f>Calc_Engine!D156</f>
        <v/>
      </c>
      <c r="E156" s="4">
        <f>Calc_Engine!E156</f>
        <v/>
      </c>
      <c r="F156" s="5">
        <f>Calc_Engine!F156</f>
        <v/>
      </c>
      <c r="G156" s="5">
        <f>Calc_Engine!G156</f>
        <v/>
      </c>
      <c r="H156" s="2">
        <f>LET(id,$A156,code,UPPER(TRIM($D156)),rawStart,$F156,rawEnd,$G156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6" s="2">
        <f>LET(id,$A156,code,UPPER(TRIM($D156)),rawStart,$F156,rawEnd,$G156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6" s="2">
        <f>LET(id,$A156,code,UPPER(TRIM($D156)),rawStart,$F156,rawEnd,$G156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6" s="2">
        <f>LET(id,$A156,code,UPPER(TRIM($D156)),rawStart,$F156,rawEnd,$G156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6" s="2">
        <f>LET(id,$A156,code,UPPER(TRIM($D156)),rawStart,$F156,rawEnd,$G156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6" s="2">
        <f>LET(id,$A156,code,UPPER(TRIM($D156)),rawStart,$F156,rawEnd,$G156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6" s="2">
        <f>LET(id,$A156,code,UPPER(TRIM($D156)),rawStart,$F156,rawEnd,$G156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6" s="2">
        <f>LET(id,$A156,code,UPPER(TRIM($D156)),rawStart,$F156,rawEnd,$G156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6" s="2">
        <f>LET(id,$A156,code,UPPER(TRIM($D156)),rawStart,$F156,rawEnd,$G156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6" s="2">
        <f>LET(id,$A156,code,UPPER(TRIM($D156)),rawStart,$F156,rawEnd,$G156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6" s="2">
        <f>LET(id,$A156,code,UPPER(TRIM($D156)),rawStart,$F156,rawEnd,$G156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6" s="2">
        <f>LET(id,$A156,code,UPPER(TRIM($D156)),rawStart,$F156,rawEnd,$G156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6" s="2">
        <f>LET(id,$A156,code,UPPER(TRIM($D156)),rawStart,$F156,rawEnd,$G156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6" s="2">
        <f>LET(id,$A156,code,UPPER(TRIM($D156)),rawStart,$F156,rawEnd,$G156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6" s="2">
        <f>LET(id,$A156,code,UPPER(TRIM($D156)),rawStart,$F156,rawEnd,$G156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6" s="2">
        <f>LET(id,$A156,code,UPPER(TRIM($D156)),rawStart,$F156,rawEnd,$G156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6" s="2">
        <f>LET(id,$A156,code,UPPER(TRIM($D156)),rawStart,$F156,rawEnd,$G156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6" s="2">
        <f>LET(id,$A156,code,UPPER(TRIM($D156)),rawStart,$F156,rawEnd,$G156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6" s="2">
        <f>LET(id,$A156,code,UPPER(TRIM($D156)),rawStart,$F156,rawEnd,$G156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6" s="2">
        <f>LET(id,$A156,code,UPPER(TRIM($D156)),rawStart,$F156,rawEnd,$G156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6" s="2">
        <f>LET(id,$A156,code,UPPER(TRIM($D156)),rawStart,$F156,rawEnd,$G156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6" s="2">
        <f>LET(id,$A156,code,UPPER(TRIM($D156)),rawStart,$F156,rawEnd,$G156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6" s="2">
        <f>LET(id,$A156,code,UPPER(TRIM($D156)),rawStart,$F156,rawEnd,$G156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6" s="2">
        <f>LET(id,$A156,code,UPPER(TRIM($D156)),rawStart,$F156,rawEnd,$G156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6" s="2">
        <f>LET(id,$A156,code,UPPER(TRIM($D156)),rawStart,$F156,rawEnd,$G156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6" s="2">
        <f>LET(id,$A156,code,UPPER(TRIM($D156)),rawStart,$F156,rawEnd,$G156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6" s="2">
        <f>LET(id,$A156,code,UPPER(TRIM($D156)),rawStart,$F156,rawEnd,$G156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6" s="2">
        <f>LET(id,$A156,code,UPPER(TRIM($D156)),rawStart,$F156,rawEnd,$G156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6" s="2">
        <f>LET(id,$A156,code,UPPER(TRIM($D156)),rawStart,$F156,rawEnd,$G156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6" s="2">
        <f>LET(id,$A156,code,UPPER(TRIM($D156)),rawStart,$F156,rawEnd,$G156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6" s="2">
        <f>LET(id,$A156,code,UPPER(TRIM($D156)),rawStart,$F156,rawEnd,$G156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6" s="2">
        <f>LET(id,$A156,code,UPPER(TRIM($D156)),rawStart,$F156,rawEnd,$G156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6" s="2">
        <f>LET(id,$A156,code,UPPER(TRIM($D156)),rawStart,$F156,rawEnd,$G156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6" s="2">
        <f>LET(id,$A156,code,UPPER(TRIM($D156)),rawStart,$F156,rawEnd,$G156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6" s="2">
        <f>LET(id,$A156,code,UPPER(TRIM($D156)),rawStart,$F156,rawEnd,$G156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6" s="2">
        <f>LET(id,$A156,code,UPPER(TRIM($D156)),rawStart,$F156,rawEnd,$G156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6" s="2">
        <f>LET(id,$A156,code,UPPER(TRIM($D156)),rawStart,$F156,rawEnd,$G156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6" s="2">
        <f>LET(id,$A156,code,UPPER(TRIM($D156)),rawStart,$F156,rawEnd,$G156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6" s="2">
        <f>LET(id,$A156,code,UPPER(TRIM($D156)),rawStart,$F156,rawEnd,$G156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6" s="2">
        <f>LET(id,$A156,code,UPPER(TRIM($D156)),rawStart,$F156,rawEnd,$G156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6" s="2">
        <f>LET(id,$A156,code,UPPER(TRIM($D156)),rawStart,$F156,rawEnd,$G156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6" s="2">
        <f>LET(id,$A156,code,UPPER(TRIM($D156)),rawStart,$F156,rawEnd,$G156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6" s="2">
        <f>LET(id,$A156,code,UPPER(TRIM($D156)),rawStart,$F156,rawEnd,$G156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6" s="2">
        <f>LET(id,$A156,code,UPPER(TRIM($D156)),rawStart,$F156,rawEnd,$G156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6" s="2">
        <f>LET(id,$A156,code,UPPER(TRIM($D156)),rawStart,$F156,rawEnd,$G156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6" s="2">
        <f>LET(id,$A156,code,UPPER(TRIM($D156)),rawStart,$F156,rawEnd,$G156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6" s="2">
        <f>LET(id,$A156,code,UPPER(TRIM($D156)),rawStart,$F156,rawEnd,$G156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6" s="2">
        <f>LET(id,$A156,code,UPPER(TRIM($D156)),rawStart,$F156,rawEnd,$G156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56" s="2">
        <f>Calc_Engine!BD156</f>
        <v/>
      </c>
    </row>
    <row r="157">
      <c r="A157" s="2">
        <f>Calc_Engine!A157</f>
        <v/>
      </c>
      <c r="B157" s="2">
        <f>Calc_Engine!B157</f>
        <v/>
      </c>
      <c r="C157" s="2">
        <f>Calc_Engine!C157</f>
        <v/>
      </c>
      <c r="D157" s="2">
        <f>Calc_Engine!D157</f>
        <v/>
      </c>
      <c r="E157" s="4">
        <f>Calc_Engine!E157</f>
        <v/>
      </c>
      <c r="F157" s="5">
        <f>Calc_Engine!F157</f>
        <v/>
      </c>
      <c r="G157" s="5">
        <f>Calc_Engine!G157</f>
        <v/>
      </c>
      <c r="H157" s="2">
        <f>LET(id,$A157,code,UPPER(TRIM($D157)),rawStart,$F157,rawEnd,$G157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7" s="2">
        <f>LET(id,$A157,code,UPPER(TRIM($D157)),rawStart,$F157,rawEnd,$G157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7" s="2">
        <f>LET(id,$A157,code,UPPER(TRIM($D157)),rawStart,$F157,rawEnd,$G157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7" s="2">
        <f>LET(id,$A157,code,UPPER(TRIM($D157)),rawStart,$F157,rawEnd,$G157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7" s="2">
        <f>LET(id,$A157,code,UPPER(TRIM($D157)),rawStart,$F157,rawEnd,$G157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7" s="2">
        <f>LET(id,$A157,code,UPPER(TRIM($D157)),rawStart,$F157,rawEnd,$G157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7" s="2">
        <f>LET(id,$A157,code,UPPER(TRIM($D157)),rawStart,$F157,rawEnd,$G157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7" s="2">
        <f>LET(id,$A157,code,UPPER(TRIM($D157)),rawStart,$F157,rawEnd,$G157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7" s="2">
        <f>LET(id,$A157,code,UPPER(TRIM($D157)),rawStart,$F157,rawEnd,$G157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7" s="2">
        <f>LET(id,$A157,code,UPPER(TRIM($D157)),rawStart,$F157,rawEnd,$G157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7" s="2">
        <f>LET(id,$A157,code,UPPER(TRIM($D157)),rawStart,$F157,rawEnd,$G157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7" s="2">
        <f>LET(id,$A157,code,UPPER(TRIM($D157)),rawStart,$F157,rawEnd,$G157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7" s="2">
        <f>LET(id,$A157,code,UPPER(TRIM($D157)),rawStart,$F157,rawEnd,$G157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7" s="2">
        <f>LET(id,$A157,code,UPPER(TRIM($D157)),rawStart,$F157,rawEnd,$G157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7" s="2">
        <f>LET(id,$A157,code,UPPER(TRIM($D157)),rawStart,$F157,rawEnd,$G157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7" s="2">
        <f>LET(id,$A157,code,UPPER(TRIM($D157)),rawStart,$F157,rawEnd,$G157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7" s="2">
        <f>LET(id,$A157,code,UPPER(TRIM($D157)),rawStart,$F157,rawEnd,$G157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7" s="2">
        <f>LET(id,$A157,code,UPPER(TRIM($D157)),rawStart,$F157,rawEnd,$G157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7" s="2">
        <f>LET(id,$A157,code,UPPER(TRIM($D157)),rawStart,$F157,rawEnd,$G157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7" s="2">
        <f>LET(id,$A157,code,UPPER(TRIM($D157)),rawStart,$F157,rawEnd,$G157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7" s="2">
        <f>LET(id,$A157,code,UPPER(TRIM($D157)),rawStart,$F157,rawEnd,$G157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7" s="2">
        <f>LET(id,$A157,code,UPPER(TRIM($D157)),rawStart,$F157,rawEnd,$G157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7" s="2">
        <f>LET(id,$A157,code,UPPER(TRIM($D157)),rawStart,$F157,rawEnd,$G157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7" s="2">
        <f>LET(id,$A157,code,UPPER(TRIM($D157)),rawStart,$F157,rawEnd,$G157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7" s="2">
        <f>LET(id,$A157,code,UPPER(TRIM($D157)),rawStart,$F157,rawEnd,$G157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7" s="2">
        <f>LET(id,$A157,code,UPPER(TRIM($D157)),rawStart,$F157,rawEnd,$G157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7" s="2">
        <f>LET(id,$A157,code,UPPER(TRIM($D157)),rawStart,$F157,rawEnd,$G157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7" s="2">
        <f>LET(id,$A157,code,UPPER(TRIM($D157)),rawStart,$F157,rawEnd,$G157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7" s="2">
        <f>LET(id,$A157,code,UPPER(TRIM($D157)),rawStart,$F157,rawEnd,$G157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7" s="2">
        <f>LET(id,$A157,code,UPPER(TRIM($D157)),rawStart,$F157,rawEnd,$G157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7" s="2">
        <f>LET(id,$A157,code,UPPER(TRIM($D157)),rawStart,$F157,rawEnd,$G157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7" s="2">
        <f>LET(id,$A157,code,UPPER(TRIM($D157)),rawStart,$F157,rawEnd,$G157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7" s="2">
        <f>LET(id,$A157,code,UPPER(TRIM($D157)),rawStart,$F157,rawEnd,$G157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7" s="2">
        <f>LET(id,$A157,code,UPPER(TRIM($D157)),rawStart,$F157,rawEnd,$G157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7" s="2">
        <f>LET(id,$A157,code,UPPER(TRIM($D157)),rawStart,$F157,rawEnd,$G157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7" s="2">
        <f>LET(id,$A157,code,UPPER(TRIM($D157)),rawStart,$F157,rawEnd,$G157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7" s="2">
        <f>LET(id,$A157,code,UPPER(TRIM($D157)),rawStart,$F157,rawEnd,$G157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7" s="2">
        <f>LET(id,$A157,code,UPPER(TRIM($D157)),rawStart,$F157,rawEnd,$G157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7" s="2">
        <f>LET(id,$A157,code,UPPER(TRIM($D157)),rawStart,$F157,rawEnd,$G157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7" s="2">
        <f>LET(id,$A157,code,UPPER(TRIM($D157)),rawStart,$F157,rawEnd,$G157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7" s="2">
        <f>LET(id,$A157,code,UPPER(TRIM($D157)),rawStart,$F157,rawEnd,$G157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7" s="2">
        <f>LET(id,$A157,code,UPPER(TRIM($D157)),rawStart,$F157,rawEnd,$G157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7" s="2">
        <f>LET(id,$A157,code,UPPER(TRIM($D157)),rawStart,$F157,rawEnd,$G157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7" s="2">
        <f>LET(id,$A157,code,UPPER(TRIM($D157)),rawStart,$F157,rawEnd,$G157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7" s="2">
        <f>LET(id,$A157,code,UPPER(TRIM($D157)),rawStart,$F157,rawEnd,$G157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7" s="2">
        <f>LET(id,$A157,code,UPPER(TRIM($D157)),rawStart,$F157,rawEnd,$G157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7" s="2">
        <f>LET(id,$A157,code,UPPER(TRIM($D157)),rawStart,$F157,rawEnd,$G157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7" s="2">
        <f>LET(id,$A157,code,UPPER(TRIM($D157)),rawStart,$F157,rawEnd,$G157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57" s="2">
        <f>Calc_Engine!BD157</f>
        <v/>
      </c>
    </row>
    <row r="158">
      <c r="A158" s="2">
        <f>Calc_Engine!A158</f>
        <v/>
      </c>
      <c r="B158" s="2">
        <f>Calc_Engine!B158</f>
        <v/>
      </c>
      <c r="C158" s="2">
        <f>Calc_Engine!C158</f>
        <v/>
      </c>
      <c r="D158" s="2">
        <f>Calc_Engine!D158</f>
        <v/>
      </c>
      <c r="E158" s="4">
        <f>Calc_Engine!E158</f>
        <v/>
      </c>
      <c r="F158" s="5">
        <f>Calc_Engine!F158</f>
        <v/>
      </c>
      <c r="G158" s="5">
        <f>Calc_Engine!G158</f>
        <v/>
      </c>
      <c r="H158" s="2">
        <f>LET(id,$A158,code,UPPER(TRIM($D158)),rawStart,$F158,rawEnd,$G158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8" s="2">
        <f>LET(id,$A158,code,UPPER(TRIM($D158)),rawStart,$F158,rawEnd,$G158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8" s="2">
        <f>LET(id,$A158,code,UPPER(TRIM($D158)),rawStart,$F158,rawEnd,$G158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8" s="2">
        <f>LET(id,$A158,code,UPPER(TRIM($D158)),rawStart,$F158,rawEnd,$G158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8" s="2">
        <f>LET(id,$A158,code,UPPER(TRIM($D158)),rawStart,$F158,rawEnd,$G158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8" s="2">
        <f>LET(id,$A158,code,UPPER(TRIM($D158)),rawStart,$F158,rawEnd,$G158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8" s="2">
        <f>LET(id,$A158,code,UPPER(TRIM($D158)),rawStart,$F158,rawEnd,$G158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8" s="2">
        <f>LET(id,$A158,code,UPPER(TRIM($D158)),rawStart,$F158,rawEnd,$G158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8" s="2">
        <f>LET(id,$A158,code,UPPER(TRIM($D158)),rawStart,$F158,rawEnd,$G158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8" s="2">
        <f>LET(id,$A158,code,UPPER(TRIM($D158)),rawStart,$F158,rawEnd,$G158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8" s="2">
        <f>LET(id,$A158,code,UPPER(TRIM($D158)),rawStart,$F158,rawEnd,$G158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8" s="2">
        <f>LET(id,$A158,code,UPPER(TRIM($D158)),rawStart,$F158,rawEnd,$G158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8" s="2">
        <f>LET(id,$A158,code,UPPER(TRIM($D158)),rawStart,$F158,rawEnd,$G158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8" s="2">
        <f>LET(id,$A158,code,UPPER(TRIM($D158)),rawStart,$F158,rawEnd,$G158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8" s="2">
        <f>LET(id,$A158,code,UPPER(TRIM($D158)),rawStart,$F158,rawEnd,$G158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8" s="2">
        <f>LET(id,$A158,code,UPPER(TRIM($D158)),rawStart,$F158,rawEnd,$G158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8" s="2">
        <f>LET(id,$A158,code,UPPER(TRIM($D158)),rawStart,$F158,rawEnd,$G158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8" s="2">
        <f>LET(id,$A158,code,UPPER(TRIM($D158)),rawStart,$F158,rawEnd,$G158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8" s="2">
        <f>LET(id,$A158,code,UPPER(TRIM($D158)),rawStart,$F158,rawEnd,$G158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8" s="2">
        <f>LET(id,$A158,code,UPPER(TRIM($D158)),rawStart,$F158,rawEnd,$G158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8" s="2">
        <f>LET(id,$A158,code,UPPER(TRIM($D158)),rawStart,$F158,rawEnd,$G158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8" s="2">
        <f>LET(id,$A158,code,UPPER(TRIM($D158)),rawStart,$F158,rawEnd,$G158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8" s="2">
        <f>LET(id,$A158,code,UPPER(TRIM($D158)),rawStart,$F158,rawEnd,$G158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8" s="2">
        <f>LET(id,$A158,code,UPPER(TRIM($D158)),rawStart,$F158,rawEnd,$G158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8" s="2">
        <f>LET(id,$A158,code,UPPER(TRIM($D158)),rawStart,$F158,rawEnd,$G158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8" s="2">
        <f>LET(id,$A158,code,UPPER(TRIM($D158)),rawStart,$F158,rawEnd,$G158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8" s="2">
        <f>LET(id,$A158,code,UPPER(TRIM($D158)),rawStart,$F158,rawEnd,$G158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8" s="2">
        <f>LET(id,$A158,code,UPPER(TRIM($D158)),rawStart,$F158,rawEnd,$G158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8" s="2">
        <f>LET(id,$A158,code,UPPER(TRIM($D158)),rawStart,$F158,rawEnd,$G158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8" s="2">
        <f>LET(id,$A158,code,UPPER(TRIM($D158)),rawStart,$F158,rawEnd,$G158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8" s="2">
        <f>LET(id,$A158,code,UPPER(TRIM($D158)),rawStart,$F158,rawEnd,$G158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8" s="2">
        <f>LET(id,$A158,code,UPPER(TRIM($D158)),rawStart,$F158,rawEnd,$G158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8" s="2">
        <f>LET(id,$A158,code,UPPER(TRIM($D158)),rawStart,$F158,rawEnd,$G158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8" s="2">
        <f>LET(id,$A158,code,UPPER(TRIM($D158)),rawStart,$F158,rawEnd,$G158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8" s="2">
        <f>LET(id,$A158,code,UPPER(TRIM($D158)),rawStart,$F158,rawEnd,$G158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8" s="2">
        <f>LET(id,$A158,code,UPPER(TRIM($D158)),rawStart,$F158,rawEnd,$G158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8" s="2">
        <f>LET(id,$A158,code,UPPER(TRIM($D158)),rawStart,$F158,rawEnd,$G158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8" s="2">
        <f>LET(id,$A158,code,UPPER(TRIM($D158)),rawStart,$F158,rawEnd,$G158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8" s="2">
        <f>LET(id,$A158,code,UPPER(TRIM($D158)),rawStart,$F158,rawEnd,$G158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8" s="2">
        <f>LET(id,$A158,code,UPPER(TRIM($D158)),rawStart,$F158,rawEnd,$G158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8" s="2">
        <f>LET(id,$A158,code,UPPER(TRIM($D158)),rawStart,$F158,rawEnd,$G158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8" s="2">
        <f>LET(id,$A158,code,UPPER(TRIM($D158)),rawStart,$F158,rawEnd,$G158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8" s="2">
        <f>LET(id,$A158,code,UPPER(TRIM($D158)),rawStart,$F158,rawEnd,$G158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8" s="2">
        <f>LET(id,$A158,code,UPPER(TRIM($D158)),rawStart,$F158,rawEnd,$G158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8" s="2">
        <f>LET(id,$A158,code,UPPER(TRIM($D158)),rawStart,$F158,rawEnd,$G158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8" s="2">
        <f>LET(id,$A158,code,UPPER(TRIM($D158)),rawStart,$F158,rawEnd,$G158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8" s="2">
        <f>LET(id,$A158,code,UPPER(TRIM($D158)),rawStart,$F158,rawEnd,$G158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8" s="2">
        <f>LET(id,$A158,code,UPPER(TRIM($D158)),rawStart,$F158,rawEnd,$G158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58" s="2">
        <f>Calc_Engine!BD158</f>
        <v/>
      </c>
    </row>
    <row r="159">
      <c r="A159" s="2">
        <f>Calc_Engine!A159</f>
        <v/>
      </c>
      <c r="B159" s="2">
        <f>Calc_Engine!B159</f>
        <v/>
      </c>
      <c r="C159" s="2">
        <f>Calc_Engine!C159</f>
        <v/>
      </c>
      <c r="D159" s="2">
        <f>Calc_Engine!D159</f>
        <v/>
      </c>
      <c r="E159" s="4">
        <f>Calc_Engine!E159</f>
        <v/>
      </c>
      <c r="F159" s="5">
        <f>Calc_Engine!F159</f>
        <v/>
      </c>
      <c r="G159" s="5">
        <f>Calc_Engine!G159</f>
        <v/>
      </c>
      <c r="H159" s="2">
        <f>LET(id,$A159,code,UPPER(TRIM($D159)),rawStart,$F159,rawEnd,$G159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9" s="2">
        <f>LET(id,$A159,code,UPPER(TRIM($D159)),rawStart,$F159,rawEnd,$G159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9" s="2">
        <f>LET(id,$A159,code,UPPER(TRIM($D159)),rawStart,$F159,rawEnd,$G159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9" s="2">
        <f>LET(id,$A159,code,UPPER(TRIM($D159)),rawStart,$F159,rawEnd,$G159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9" s="2">
        <f>LET(id,$A159,code,UPPER(TRIM($D159)),rawStart,$F159,rawEnd,$G159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9" s="2">
        <f>LET(id,$A159,code,UPPER(TRIM($D159)),rawStart,$F159,rawEnd,$G159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9" s="2">
        <f>LET(id,$A159,code,UPPER(TRIM($D159)),rawStart,$F159,rawEnd,$G159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9" s="2">
        <f>LET(id,$A159,code,UPPER(TRIM($D159)),rawStart,$F159,rawEnd,$G159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9" s="2">
        <f>LET(id,$A159,code,UPPER(TRIM($D159)),rawStart,$F159,rawEnd,$G159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9" s="2">
        <f>LET(id,$A159,code,UPPER(TRIM($D159)),rawStart,$F159,rawEnd,$G159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9" s="2">
        <f>LET(id,$A159,code,UPPER(TRIM($D159)),rawStart,$F159,rawEnd,$G159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9" s="2">
        <f>LET(id,$A159,code,UPPER(TRIM($D159)),rawStart,$F159,rawEnd,$G159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9" s="2">
        <f>LET(id,$A159,code,UPPER(TRIM($D159)),rawStart,$F159,rawEnd,$G159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9" s="2">
        <f>LET(id,$A159,code,UPPER(TRIM($D159)),rawStart,$F159,rawEnd,$G159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9" s="2">
        <f>LET(id,$A159,code,UPPER(TRIM($D159)),rawStart,$F159,rawEnd,$G159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9" s="2">
        <f>LET(id,$A159,code,UPPER(TRIM($D159)),rawStart,$F159,rawEnd,$G159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9" s="2">
        <f>LET(id,$A159,code,UPPER(TRIM($D159)),rawStart,$F159,rawEnd,$G159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9" s="2">
        <f>LET(id,$A159,code,UPPER(TRIM($D159)),rawStart,$F159,rawEnd,$G159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9" s="2">
        <f>LET(id,$A159,code,UPPER(TRIM($D159)),rawStart,$F159,rawEnd,$G159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9" s="2">
        <f>LET(id,$A159,code,UPPER(TRIM($D159)),rawStart,$F159,rawEnd,$G159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9" s="2">
        <f>LET(id,$A159,code,UPPER(TRIM($D159)),rawStart,$F159,rawEnd,$G159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9" s="2">
        <f>LET(id,$A159,code,UPPER(TRIM($D159)),rawStart,$F159,rawEnd,$G159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9" s="2">
        <f>LET(id,$A159,code,UPPER(TRIM($D159)),rawStart,$F159,rawEnd,$G159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9" s="2">
        <f>LET(id,$A159,code,UPPER(TRIM($D159)),rawStart,$F159,rawEnd,$G159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9" s="2">
        <f>LET(id,$A159,code,UPPER(TRIM($D159)),rawStart,$F159,rawEnd,$G159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9" s="2">
        <f>LET(id,$A159,code,UPPER(TRIM($D159)),rawStart,$F159,rawEnd,$G159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9" s="2">
        <f>LET(id,$A159,code,UPPER(TRIM($D159)),rawStart,$F159,rawEnd,$G159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9" s="2">
        <f>LET(id,$A159,code,UPPER(TRIM($D159)),rawStart,$F159,rawEnd,$G159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9" s="2">
        <f>LET(id,$A159,code,UPPER(TRIM($D159)),rawStart,$F159,rawEnd,$G159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9" s="2">
        <f>LET(id,$A159,code,UPPER(TRIM($D159)),rawStart,$F159,rawEnd,$G159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9" s="2">
        <f>LET(id,$A159,code,UPPER(TRIM($D159)),rawStart,$F159,rawEnd,$G159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9" s="2">
        <f>LET(id,$A159,code,UPPER(TRIM($D159)),rawStart,$F159,rawEnd,$G159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9" s="2">
        <f>LET(id,$A159,code,UPPER(TRIM($D159)),rawStart,$F159,rawEnd,$G159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9" s="2">
        <f>LET(id,$A159,code,UPPER(TRIM($D159)),rawStart,$F159,rawEnd,$G159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9" s="2">
        <f>LET(id,$A159,code,UPPER(TRIM($D159)),rawStart,$F159,rawEnd,$G159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9" s="2">
        <f>LET(id,$A159,code,UPPER(TRIM($D159)),rawStart,$F159,rawEnd,$G159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9" s="2">
        <f>LET(id,$A159,code,UPPER(TRIM($D159)),rawStart,$F159,rawEnd,$G159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9" s="2">
        <f>LET(id,$A159,code,UPPER(TRIM($D159)),rawStart,$F159,rawEnd,$G159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9" s="2">
        <f>LET(id,$A159,code,UPPER(TRIM($D159)),rawStart,$F159,rawEnd,$G159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9" s="2">
        <f>LET(id,$A159,code,UPPER(TRIM($D159)),rawStart,$F159,rawEnd,$G159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9" s="2">
        <f>LET(id,$A159,code,UPPER(TRIM($D159)),rawStart,$F159,rawEnd,$G159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9" s="2">
        <f>LET(id,$A159,code,UPPER(TRIM($D159)),rawStart,$F159,rawEnd,$G159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9" s="2">
        <f>LET(id,$A159,code,UPPER(TRIM($D159)),rawStart,$F159,rawEnd,$G159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9" s="2">
        <f>LET(id,$A159,code,UPPER(TRIM($D159)),rawStart,$F159,rawEnd,$G159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9" s="2">
        <f>LET(id,$A159,code,UPPER(TRIM($D159)),rawStart,$F159,rawEnd,$G159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9" s="2">
        <f>LET(id,$A159,code,UPPER(TRIM($D159)),rawStart,$F159,rawEnd,$G159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9" s="2">
        <f>LET(id,$A159,code,UPPER(TRIM($D159)),rawStart,$F159,rawEnd,$G159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9" s="2">
        <f>LET(id,$A159,code,UPPER(TRIM($D159)),rawStart,$F159,rawEnd,$G159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59" s="2">
        <f>Calc_Engine!BD159</f>
        <v/>
      </c>
    </row>
    <row r="160">
      <c r="A160" s="2">
        <f>Calc_Engine!A160</f>
        <v/>
      </c>
      <c r="B160" s="2">
        <f>Calc_Engine!B160</f>
        <v/>
      </c>
      <c r="C160" s="2">
        <f>Calc_Engine!C160</f>
        <v/>
      </c>
      <c r="D160" s="2">
        <f>Calc_Engine!D160</f>
        <v/>
      </c>
      <c r="E160" s="4">
        <f>Calc_Engine!E160</f>
        <v/>
      </c>
      <c r="F160" s="5">
        <f>Calc_Engine!F160</f>
        <v/>
      </c>
      <c r="G160" s="5">
        <f>Calc_Engine!G160</f>
        <v/>
      </c>
      <c r="H160" s="2">
        <f>LET(id,$A160,code,UPPER(TRIM($D160)),rawStart,$F160,rawEnd,$G160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0" s="2">
        <f>LET(id,$A160,code,UPPER(TRIM($D160)),rawStart,$F160,rawEnd,$G160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0" s="2">
        <f>LET(id,$A160,code,UPPER(TRIM($D160)),rawStart,$F160,rawEnd,$G160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0" s="2">
        <f>LET(id,$A160,code,UPPER(TRIM($D160)),rawStart,$F160,rawEnd,$G160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0" s="2">
        <f>LET(id,$A160,code,UPPER(TRIM($D160)),rawStart,$F160,rawEnd,$G160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0" s="2">
        <f>LET(id,$A160,code,UPPER(TRIM($D160)),rawStart,$F160,rawEnd,$G160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0" s="2">
        <f>LET(id,$A160,code,UPPER(TRIM($D160)),rawStart,$F160,rawEnd,$G160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0" s="2">
        <f>LET(id,$A160,code,UPPER(TRIM($D160)),rawStart,$F160,rawEnd,$G160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0" s="2">
        <f>LET(id,$A160,code,UPPER(TRIM($D160)),rawStart,$F160,rawEnd,$G160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0" s="2">
        <f>LET(id,$A160,code,UPPER(TRIM($D160)),rawStart,$F160,rawEnd,$G160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0" s="2">
        <f>LET(id,$A160,code,UPPER(TRIM($D160)),rawStart,$F160,rawEnd,$G160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0" s="2">
        <f>LET(id,$A160,code,UPPER(TRIM($D160)),rawStart,$F160,rawEnd,$G160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0" s="2">
        <f>LET(id,$A160,code,UPPER(TRIM($D160)),rawStart,$F160,rawEnd,$G160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0" s="2">
        <f>LET(id,$A160,code,UPPER(TRIM($D160)),rawStart,$F160,rawEnd,$G160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0" s="2">
        <f>LET(id,$A160,code,UPPER(TRIM($D160)),rawStart,$F160,rawEnd,$G160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0" s="2">
        <f>LET(id,$A160,code,UPPER(TRIM($D160)),rawStart,$F160,rawEnd,$G160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0" s="2">
        <f>LET(id,$A160,code,UPPER(TRIM($D160)),rawStart,$F160,rawEnd,$G160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0" s="2">
        <f>LET(id,$A160,code,UPPER(TRIM($D160)),rawStart,$F160,rawEnd,$G160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0" s="2">
        <f>LET(id,$A160,code,UPPER(TRIM($D160)),rawStart,$F160,rawEnd,$G160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0" s="2">
        <f>LET(id,$A160,code,UPPER(TRIM($D160)),rawStart,$F160,rawEnd,$G160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0" s="2">
        <f>LET(id,$A160,code,UPPER(TRIM($D160)),rawStart,$F160,rawEnd,$G160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0" s="2">
        <f>LET(id,$A160,code,UPPER(TRIM($D160)),rawStart,$F160,rawEnd,$G160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0" s="2">
        <f>LET(id,$A160,code,UPPER(TRIM($D160)),rawStart,$F160,rawEnd,$G160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0" s="2">
        <f>LET(id,$A160,code,UPPER(TRIM($D160)),rawStart,$F160,rawEnd,$G160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0" s="2">
        <f>LET(id,$A160,code,UPPER(TRIM($D160)),rawStart,$F160,rawEnd,$G160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0" s="2">
        <f>LET(id,$A160,code,UPPER(TRIM($D160)),rawStart,$F160,rawEnd,$G160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0" s="2">
        <f>LET(id,$A160,code,UPPER(TRIM($D160)),rawStart,$F160,rawEnd,$G160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0" s="2">
        <f>LET(id,$A160,code,UPPER(TRIM($D160)),rawStart,$F160,rawEnd,$G160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0" s="2">
        <f>LET(id,$A160,code,UPPER(TRIM($D160)),rawStart,$F160,rawEnd,$G160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0" s="2">
        <f>LET(id,$A160,code,UPPER(TRIM($D160)),rawStart,$F160,rawEnd,$G160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0" s="2">
        <f>LET(id,$A160,code,UPPER(TRIM($D160)),rawStart,$F160,rawEnd,$G160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0" s="2">
        <f>LET(id,$A160,code,UPPER(TRIM($D160)),rawStart,$F160,rawEnd,$G160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0" s="2">
        <f>LET(id,$A160,code,UPPER(TRIM($D160)),rawStart,$F160,rawEnd,$G160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0" s="2">
        <f>LET(id,$A160,code,UPPER(TRIM($D160)),rawStart,$F160,rawEnd,$G160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0" s="2">
        <f>LET(id,$A160,code,UPPER(TRIM($D160)),rawStart,$F160,rawEnd,$G160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0" s="2">
        <f>LET(id,$A160,code,UPPER(TRIM($D160)),rawStart,$F160,rawEnd,$G160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0" s="2">
        <f>LET(id,$A160,code,UPPER(TRIM($D160)),rawStart,$F160,rawEnd,$G160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0" s="2">
        <f>LET(id,$A160,code,UPPER(TRIM($D160)),rawStart,$F160,rawEnd,$G160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0" s="2">
        <f>LET(id,$A160,code,UPPER(TRIM($D160)),rawStart,$F160,rawEnd,$G160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0" s="2">
        <f>LET(id,$A160,code,UPPER(TRIM($D160)),rawStart,$F160,rawEnd,$G160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0" s="2">
        <f>LET(id,$A160,code,UPPER(TRIM($D160)),rawStart,$F160,rawEnd,$G160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0" s="2">
        <f>LET(id,$A160,code,UPPER(TRIM($D160)),rawStart,$F160,rawEnd,$G160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0" s="2">
        <f>LET(id,$A160,code,UPPER(TRIM($D160)),rawStart,$F160,rawEnd,$G160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0" s="2">
        <f>LET(id,$A160,code,UPPER(TRIM($D160)),rawStart,$F160,rawEnd,$G160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0" s="2">
        <f>LET(id,$A160,code,UPPER(TRIM($D160)),rawStart,$F160,rawEnd,$G160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0" s="2">
        <f>LET(id,$A160,code,UPPER(TRIM($D160)),rawStart,$F160,rawEnd,$G160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0" s="2">
        <f>LET(id,$A160,code,UPPER(TRIM($D160)),rawStart,$F160,rawEnd,$G160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0" s="2">
        <f>LET(id,$A160,code,UPPER(TRIM($D160)),rawStart,$F160,rawEnd,$G160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60" s="2">
        <f>Calc_Engine!BD160</f>
        <v/>
      </c>
    </row>
    <row r="161">
      <c r="A161" s="2">
        <f>Calc_Engine!A161</f>
        <v/>
      </c>
      <c r="B161" s="2">
        <f>Calc_Engine!B161</f>
        <v/>
      </c>
      <c r="C161" s="2">
        <f>Calc_Engine!C161</f>
        <v/>
      </c>
      <c r="D161" s="2">
        <f>Calc_Engine!D161</f>
        <v/>
      </c>
      <c r="E161" s="4">
        <f>Calc_Engine!E161</f>
        <v/>
      </c>
      <c r="F161" s="5">
        <f>Calc_Engine!F161</f>
        <v/>
      </c>
      <c r="G161" s="5">
        <f>Calc_Engine!G161</f>
        <v/>
      </c>
      <c r="H161" s="2">
        <f>LET(id,$A161,code,UPPER(TRIM($D161)),rawStart,$F161,rawEnd,$G161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1" s="2">
        <f>LET(id,$A161,code,UPPER(TRIM($D161)),rawStart,$F161,rawEnd,$G161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1" s="2">
        <f>LET(id,$A161,code,UPPER(TRIM($D161)),rawStart,$F161,rawEnd,$G161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1" s="2">
        <f>LET(id,$A161,code,UPPER(TRIM($D161)),rawStart,$F161,rawEnd,$G161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1" s="2">
        <f>LET(id,$A161,code,UPPER(TRIM($D161)),rawStart,$F161,rawEnd,$G161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1" s="2">
        <f>LET(id,$A161,code,UPPER(TRIM($D161)),rawStart,$F161,rawEnd,$G161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1" s="2">
        <f>LET(id,$A161,code,UPPER(TRIM($D161)),rawStart,$F161,rawEnd,$G161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1" s="2">
        <f>LET(id,$A161,code,UPPER(TRIM($D161)),rawStart,$F161,rawEnd,$G161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1" s="2">
        <f>LET(id,$A161,code,UPPER(TRIM($D161)),rawStart,$F161,rawEnd,$G161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1" s="2">
        <f>LET(id,$A161,code,UPPER(TRIM($D161)),rawStart,$F161,rawEnd,$G161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1" s="2">
        <f>LET(id,$A161,code,UPPER(TRIM($D161)),rawStart,$F161,rawEnd,$G161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1" s="2">
        <f>LET(id,$A161,code,UPPER(TRIM($D161)),rawStart,$F161,rawEnd,$G161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1" s="2">
        <f>LET(id,$A161,code,UPPER(TRIM($D161)),rawStart,$F161,rawEnd,$G161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1" s="2">
        <f>LET(id,$A161,code,UPPER(TRIM($D161)),rawStart,$F161,rawEnd,$G161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1" s="2">
        <f>LET(id,$A161,code,UPPER(TRIM($D161)),rawStart,$F161,rawEnd,$G161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1" s="2">
        <f>LET(id,$A161,code,UPPER(TRIM($D161)),rawStart,$F161,rawEnd,$G161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1" s="2">
        <f>LET(id,$A161,code,UPPER(TRIM($D161)),rawStart,$F161,rawEnd,$G161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1" s="2">
        <f>LET(id,$A161,code,UPPER(TRIM($D161)),rawStart,$F161,rawEnd,$G161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1" s="2">
        <f>LET(id,$A161,code,UPPER(TRIM($D161)),rawStart,$F161,rawEnd,$G161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1" s="2">
        <f>LET(id,$A161,code,UPPER(TRIM($D161)),rawStart,$F161,rawEnd,$G161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1" s="2">
        <f>LET(id,$A161,code,UPPER(TRIM($D161)),rawStart,$F161,rawEnd,$G161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1" s="2">
        <f>LET(id,$A161,code,UPPER(TRIM($D161)),rawStart,$F161,rawEnd,$G161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1" s="2">
        <f>LET(id,$A161,code,UPPER(TRIM($D161)),rawStart,$F161,rawEnd,$G161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1" s="2">
        <f>LET(id,$A161,code,UPPER(TRIM($D161)),rawStart,$F161,rawEnd,$G161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1" s="2">
        <f>LET(id,$A161,code,UPPER(TRIM($D161)),rawStart,$F161,rawEnd,$G161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1" s="2">
        <f>LET(id,$A161,code,UPPER(TRIM($D161)),rawStart,$F161,rawEnd,$G161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1" s="2">
        <f>LET(id,$A161,code,UPPER(TRIM($D161)),rawStart,$F161,rawEnd,$G161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1" s="2">
        <f>LET(id,$A161,code,UPPER(TRIM($D161)),rawStart,$F161,rawEnd,$G161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1" s="2">
        <f>LET(id,$A161,code,UPPER(TRIM($D161)),rawStart,$F161,rawEnd,$G161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1" s="2">
        <f>LET(id,$A161,code,UPPER(TRIM($D161)),rawStart,$F161,rawEnd,$G161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1" s="2">
        <f>LET(id,$A161,code,UPPER(TRIM($D161)),rawStart,$F161,rawEnd,$G161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1" s="2">
        <f>LET(id,$A161,code,UPPER(TRIM($D161)),rawStart,$F161,rawEnd,$G161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1" s="2">
        <f>LET(id,$A161,code,UPPER(TRIM($D161)),rawStart,$F161,rawEnd,$G161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1" s="2">
        <f>LET(id,$A161,code,UPPER(TRIM($D161)),rawStart,$F161,rawEnd,$G161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1" s="2">
        <f>LET(id,$A161,code,UPPER(TRIM($D161)),rawStart,$F161,rawEnd,$G161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1" s="2">
        <f>LET(id,$A161,code,UPPER(TRIM($D161)),rawStart,$F161,rawEnd,$G161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1" s="2">
        <f>LET(id,$A161,code,UPPER(TRIM($D161)),rawStart,$F161,rawEnd,$G161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1" s="2">
        <f>LET(id,$A161,code,UPPER(TRIM($D161)),rawStart,$F161,rawEnd,$G161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1" s="2">
        <f>LET(id,$A161,code,UPPER(TRIM($D161)),rawStart,$F161,rawEnd,$G161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1" s="2">
        <f>LET(id,$A161,code,UPPER(TRIM($D161)),rawStart,$F161,rawEnd,$G161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1" s="2">
        <f>LET(id,$A161,code,UPPER(TRIM($D161)),rawStart,$F161,rawEnd,$G161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1" s="2">
        <f>LET(id,$A161,code,UPPER(TRIM($D161)),rawStart,$F161,rawEnd,$G161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1" s="2">
        <f>LET(id,$A161,code,UPPER(TRIM($D161)),rawStart,$F161,rawEnd,$G161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1" s="2">
        <f>LET(id,$A161,code,UPPER(TRIM($D161)),rawStart,$F161,rawEnd,$G161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1" s="2">
        <f>LET(id,$A161,code,UPPER(TRIM($D161)),rawStart,$F161,rawEnd,$G161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1" s="2">
        <f>LET(id,$A161,code,UPPER(TRIM($D161)),rawStart,$F161,rawEnd,$G161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1" s="2">
        <f>LET(id,$A161,code,UPPER(TRIM($D161)),rawStart,$F161,rawEnd,$G161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1" s="2">
        <f>LET(id,$A161,code,UPPER(TRIM($D161)),rawStart,$F161,rawEnd,$G161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61" s="2">
        <f>Calc_Engine!BD161</f>
        <v/>
      </c>
    </row>
    <row r="162">
      <c r="A162" s="2">
        <f>Calc_Engine!A162</f>
        <v/>
      </c>
      <c r="B162" s="2">
        <f>Calc_Engine!B162</f>
        <v/>
      </c>
      <c r="C162" s="2">
        <f>Calc_Engine!C162</f>
        <v/>
      </c>
      <c r="D162" s="2">
        <f>Calc_Engine!D162</f>
        <v/>
      </c>
      <c r="E162" s="4">
        <f>Calc_Engine!E162</f>
        <v/>
      </c>
      <c r="F162" s="5">
        <f>Calc_Engine!F162</f>
        <v/>
      </c>
      <c r="G162" s="5">
        <f>Calc_Engine!G162</f>
        <v/>
      </c>
      <c r="H162" s="2">
        <f>LET(id,$A162,code,UPPER(TRIM($D162)),rawStart,$F162,rawEnd,$G162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2" s="2">
        <f>LET(id,$A162,code,UPPER(TRIM($D162)),rawStart,$F162,rawEnd,$G162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2" s="2">
        <f>LET(id,$A162,code,UPPER(TRIM($D162)),rawStart,$F162,rawEnd,$G162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2" s="2">
        <f>LET(id,$A162,code,UPPER(TRIM($D162)),rawStart,$F162,rawEnd,$G162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2" s="2">
        <f>LET(id,$A162,code,UPPER(TRIM($D162)),rawStart,$F162,rawEnd,$G162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2" s="2">
        <f>LET(id,$A162,code,UPPER(TRIM($D162)),rawStart,$F162,rawEnd,$G162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2" s="2">
        <f>LET(id,$A162,code,UPPER(TRIM($D162)),rawStart,$F162,rawEnd,$G162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2" s="2">
        <f>LET(id,$A162,code,UPPER(TRIM($D162)),rawStart,$F162,rawEnd,$G162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2" s="2">
        <f>LET(id,$A162,code,UPPER(TRIM($D162)),rawStart,$F162,rawEnd,$G162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2" s="2">
        <f>LET(id,$A162,code,UPPER(TRIM($D162)),rawStart,$F162,rawEnd,$G162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2" s="2">
        <f>LET(id,$A162,code,UPPER(TRIM($D162)),rawStart,$F162,rawEnd,$G162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2" s="2">
        <f>LET(id,$A162,code,UPPER(TRIM($D162)),rawStart,$F162,rawEnd,$G162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2" s="2">
        <f>LET(id,$A162,code,UPPER(TRIM($D162)),rawStart,$F162,rawEnd,$G162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2" s="2">
        <f>LET(id,$A162,code,UPPER(TRIM($D162)),rawStart,$F162,rawEnd,$G162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2" s="2">
        <f>LET(id,$A162,code,UPPER(TRIM($D162)),rawStart,$F162,rawEnd,$G162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2" s="2">
        <f>LET(id,$A162,code,UPPER(TRIM($D162)),rawStart,$F162,rawEnd,$G162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2" s="2">
        <f>LET(id,$A162,code,UPPER(TRIM($D162)),rawStart,$F162,rawEnd,$G162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2" s="2">
        <f>LET(id,$A162,code,UPPER(TRIM($D162)),rawStart,$F162,rawEnd,$G162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2" s="2">
        <f>LET(id,$A162,code,UPPER(TRIM($D162)),rawStart,$F162,rawEnd,$G162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2" s="2">
        <f>LET(id,$A162,code,UPPER(TRIM($D162)),rawStart,$F162,rawEnd,$G162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2" s="2">
        <f>LET(id,$A162,code,UPPER(TRIM($D162)),rawStart,$F162,rawEnd,$G162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2" s="2">
        <f>LET(id,$A162,code,UPPER(TRIM($D162)),rawStart,$F162,rawEnd,$G162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2" s="2">
        <f>LET(id,$A162,code,UPPER(TRIM($D162)),rawStart,$F162,rawEnd,$G162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2" s="2">
        <f>LET(id,$A162,code,UPPER(TRIM($D162)),rawStart,$F162,rawEnd,$G162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2" s="2">
        <f>LET(id,$A162,code,UPPER(TRIM($D162)),rawStart,$F162,rawEnd,$G162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2" s="2">
        <f>LET(id,$A162,code,UPPER(TRIM($D162)),rawStart,$F162,rawEnd,$G162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2" s="2">
        <f>LET(id,$A162,code,UPPER(TRIM($D162)),rawStart,$F162,rawEnd,$G162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2" s="2">
        <f>LET(id,$A162,code,UPPER(TRIM($D162)),rawStart,$F162,rawEnd,$G162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2" s="2">
        <f>LET(id,$A162,code,UPPER(TRIM($D162)),rawStart,$F162,rawEnd,$G162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2" s="2">
        <f>LET(id,$A162,code,UPPER(TRIM($D162)),rawStart,$F162,rawEnd,$G162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2" s="2">
        <f>LET(id,$A162,code,UPPER(TRIM($D162)),rawStart,$F162,rawEnd,$G162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2" s="2">
        <f>LET(id,$A162,code,UPPER(TRIM($D162)),rawStart,$F162,rawEnd,$G162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2" s="2">
        <f>LET(id,$A162,code,UPPER(TRIM($D162)),rawStart,$F162,rawEnd,$G162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2" s="2">
        <f>LET(id,$A162,code,UPPER(TRIM($D162)),rawStart,$F162,rawEnd,$G162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2" s="2">
        <f>LET(id,$A162,code,UPPER(TRIM($D162)),rawStart,$F162,rawEnd,$G162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2" s="2">
        <f>LET(id,$A162,code,UPPER(TRIM($D162)),rawStart,$F162,rawEnd,$G162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2" s="2">
        <f>LET(id,$A162,code,UPPER(TRIM($D162)),rawStart,$F162,rawEnd,$G162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2" s="2">
        <f>LET(id,$A162,code,UPPER(TRIM($D162)),rawStart,$F162,rawEnd,$G162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2" s="2">
        <f>LET(id,$A162,code,UPPER(TRIM($D162)),rawStart,$F162,rawEnd,$G162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2" s="2">
        <f>LET(id,$A162,code,UPPER(TRIM($D162)),rawStart,$F162,rawEnd,$G162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2" s="2">
        <f>LET(id,$A162,code,UPPER(TRIM($D162)),rawStart,$F162,rawEnd,$G162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2" s="2">
        <f>LET(id,$A162,code,UPPER(TRIM($D162)),rawStart,$F162,rawEnd,$G162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2" s="2">
        <f>LET(id,$A162,code,UPPER(TRIM($D162)),rawStart,$F162,rawEnd,$G162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2" s="2">
        <f>LET(id,$A162,code,UPPER(TRIM($D162)),rawStart,$F162,rawEnd,$G162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2" s="2">
        <f>LET(id,$A162,code,UPPER(TRIM($D162)),rawStart,$F162,rawEnd,$G162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2" s="2">
        <f>LET(id,$A162,code,UPPER(TRIM($D162)),rawStart,$F162,rawEnd,$G162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2" s="2">
        <f>LET(id,$A162,code,UPPER(TRIM($D162)),rawStart,$F162,rawEnd,$G162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2" s="2">
        <f>LET(id,$A162,code,UPPER(TRIM($D162)),rawStart,$F162,rawEnd,$G162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62" s="2">
        <f>Calc_Engine!BD162</f>
        <v/>
      </c>
    </row>
    <row r="163">
      <c r="A163" s="2">
        <f>Calc_Engine!A163</f>
        <v/>
      </c>
      <c r="B163" s="2">
        <f>Calc_Engine!B163</f>
        <v/>
      </c>
      <c r="C163" s="2">
        <f>Calc_Engine!C163</f>
        <v/>
      </c>
      <c r="D163" s="2">
        <f>Calc_Engine!D163</f>
        <v/>
      </c>
      <c r="E163" s="4">
        <f>Calc_Engine!E163</f>
        <v/>
      </c>
      <c r="F163" s="5">
        <f>Calc_Engine!F163</f>
        <v/>
      </c>
      <c r="G163" s="5">
        <f>Calc_Engine!G163</f>
        <v/>
      </c>
      <c r="H163" s="2">
        <f>LET(id,$A163,code,UPPER(TRIM($D163)),rawStart,$F163,rawEnd,$G163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3" s="2">
        <f>LET(id,$A163,code,UPPER(TRIM($D163)),rawStart,$F163,rawEnd,$G163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3" s="2">
        <f>LET(id,$A163,code,UPPER(TRIM($D163)),rawStart,$F163,rawEnd,$G163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3" s="2">
        <f>LET(id,$A163,code,UPPER(TRIM($D163)),rawStart,$F163,rawEnd,$G163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3" s="2">
        <f>LET(id,$A163,code,UPPER(TRIM($D163)),rawStart,$F163,rawEnd,$G163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3" s="2">
        <f>LET(id,$A163,code,UPPER(TRIM($D163)),rawStart,$F163,rawEnd,$G163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3" s="2">
        <f>LET(id,$A163,code,UPPER(TRIM($D163)),rawStart,$F163,rawEnd,$G163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3" s="2">
        <f>LET(id,$A163,code,UPPER(TRIM($D163)),rawStart,$F163,rawEnd,$G163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3" s="2">
        <f>LET(id,$A163,code,UPPER(TRIM($D163)),rawStart,$F163,rawEnd,$G163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3" s="2">
        <f>LET(id,$A163,code,UPPER(TRIM($D163)),rawStart,$F163,rawEnd,$G163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3" s="2">
        <f>LET(id,$A163,code,UPPER(TRIM($D163)),rawStart,$F163,rawEnd,$G163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3" s="2">
        <f>LET(id,$A163,code,UPPER(TRIM($D163)),rawStart,$F163,rawEnd,$G163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3" s="2">
        <f>LET(id,$A163,code,UPPER(TRIM($D163)),rawStart,$F163,rawEnd,$G163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3" s="2">
        <f>LET(id,$A163,code,UPPER(TRIM($D163)),rawStart,$F163,rawEnd,$G163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3" s="2">
        <f>LET(id,$A163,code,UPPER(TRIM($D163)),rawStart,$F163,rawEnd,$G163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3" s="2">
        <f>LET(id,$A163,code,UPPER(TRIM($D163)),rawStart,$F163,rawEnd,$G163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3" s="2">
        <f>LET(id,$A163,code,UPPER(TRIM($D163)),rawStart,$F163,rawEnd,$G163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3" s="2">
        <f>LET(id,$A163,code,UPPER(TRIM($D163)),rawStart,$F163,rawEnd,$G163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3" s="2">
        <f>LET(id,$A163,code,UPPER(TRIM($D163)),rawStart,$F163,rawEnd,$G163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3" s="2">
        <f>LET(id,$A163,code,UPPER(TRIM($D163)),rawStart,$F163,rawEnd,$G163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3" s="2">
        <f>LET(id,$A163,code,UPPER(TRIM($D163)),rawStart,$F163,rawEnd,$G163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3" s="2">
        <f>LET(id,$A163,code,UPPER(TRIM($D163)),rawStart,$F163,rawEnd,$G163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3" s="2">
        <f>LET(id,$A163,code,UPPER(TRIM($D163)),rawStart,$F163,rawEnd,$G163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3" s="2">
        <f>LET(id,$A163,code,UPPER(TRIM($D163)),rawStart,$F163,rawEnd,$G163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3" s="2">
        <f>LET(id,$A163,code,UPPER(TRIM($D163)),rawStart,$F163,rawEnd,$G163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3" s="2">
        <f>LET(id,$A163,code,UPPER(TRIM($D163)),rawStart,$F163,rawEnd,$G163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3" s="2">
        <f>LET(id,$A163,code,UPPER(TRIM($D163)),rawStart,$F163,rawEnd,$G163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3" s="2">
        <f>LET(id,$A163,code,UPPER(TRIM($D163)),rawStart,$F163,rawEnd,$G163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3" s="2">
        <f>LET(id,$A163,code,UPPER(TRIM($D163)),rawStart,$F163,rawEnd,$G163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3" s="2">
        <f>LET(id,$A163,code,UPPER(TRIM($D163)),rawStart,$F163,rawEnd,$G163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3" s="2">
        <f>LET(id,$A163,code,UPPER(TRIM($D163)),rawStart,$F163,rawEnd,$G163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3" s="2">
        <f>LET(id,$A163,code,UPPER(TRIM($D163)),rawStart,$F163,rawEnd,$G163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3" s="2">
        <f>LET(id,$A163,code,UPPER(TRIM($D163)),rawStart,$F163,rawEnd,$G163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3" s="2">
        <f>LET(id,$A163,code,UPPER(TRIM($D163)),rawStart,$F163,rawEnd,$G163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3" s="2">
        <f>LET(id,$A163,code,UPPER(TRIM($D163)),rawStart,$F163,rawEnd,$G163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3" s="2">
        <f>LET(id,$A163,code,UPPER(TRIM($D163)),rawStart,$F163,rawEnd,$G163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3" s="2">
        <f>LET(id,$A163,code,UPPER(TRIM($D163)),rawStart,$F163,rawEnd,$G163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3" s="2">
        <f>LET(id,$A163,code,UPPER(TRIM($D163)),rawStart,$F163,rawEnd,$G163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3" s="2">
        <f>LET(id,$A163,code,UPPER(TRIM($D163)),rawStart,$F163,rawEnd,$G163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3" s="2">
        <f>LET(id,$A163,code,UPPER(TRIM($D163)),rawStart,$F163,rawEnd,$G163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3" s="2">
        <f>LET(id,$A163,code,UPPER(TRIM($D163)),rawStart,$F163,rawEnd,$G163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3" s="2">
        <f>LET(id,$A163,code,UPPER(TRIM($D163)),rawStart,$F163,rawEnd,$G163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3" s="2">
        <f>LET(id,$A163,code,UPPER(TRIM($D163)),rawStart,$F163,rawEnd,$G163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3" s="2">
        <f>LET(id,$A163,code,UPPER(TRIM($D163)),rawStart,$F163,rawEnd,$G163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3" s="2">
        <f>LET(id,$A163,code,UPPER(TRIM($D163)),rawStart,$F163,rawEnd,$G163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3" s="2">
        <f>LET(id,$A163,code,UPPER(TRIM($D163)),rawStart,$F163,rawEnd,$G163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3" s="2">
        <f>LET(id,$A163,code,UPPER(TRIM($D163)),rawStart,$F163,rawEnd,$G163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3" s="2">
        <f>LET(id,$A163,code,UPPER(TRIM($D163)),rawStart,$F163,rawEnd,$G163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63" s="2">
        <f>Calc_Engine!BD163</f>
        <v/>
      </c>
    </row>
    <row r="164">
      <c r="A164" s="2">
        <f>Calc_Engine!A164</f>
        <v/>
      </c>
      <c r="B164" s="2">
        <f>Calc_Engine!B164</f>
        <v/>
      </c>
      <c r="C164" s="2">
        <f>Calc_Engine!C164</f>
        <v/>
      </c>
      <c r="D164" s="2">
        <f>Calc_Engine!D164</f>
        <v/>
      </c>
      <c r="E164" s="4">
        <f>Calc_Engine!E164</f>
        <v/>
      </c>
      <c r="F164" s="5">
        <f>Calc_Engine!F164</f>
        <v/>
      </c>
      <c r="G164" s="5">
        <f>Calc_Engine!G164</f>
        <v/>
      </c>
      <c r="H164" s="2">
        <f>LET(id,$A164,code,UPPER(TRIM($D164)),rawStart,$F164,rawEnd,$G164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4" s="2">
        <f>LET(id,$A164,code,UPPER(TRIM($D164)),rawStart,$F164,rawEnd,$G164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4" s="2">
        <f>LET(id,$A164,code,UPPER(TRIM($D164)),rawStart,$F164,rawEnd,$G164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4" s="2">
        <f>LET(id,$A164,code,UPPER(TRIM($D164)),rawStart,$F164,rawEnd,$G164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4" s="2">
        <f>LET(id,$A164,code,UPPER(TRIM($D164)),rawStart,$F164,rawEnd,$G164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4" s="2">
        <f>LET(id,$A164,code,UPPER(TRIM($D164)),rawStart,$F164,rawEnd,$G164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4" s="2">
        <f>LET(id,$A164,code,UPPER(TRIM($D164)),rawStart,$F164,rawEnd,$G164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4" s="2">
        <f>LET(id,$A164,code,UPPER(TRIM($D164)),rawStart,$F164,rawEnd,$G164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4" s="2">
        <f>LET(id,$A164,code,UPPER(TRIM($D164)),rawStart,$F164,rawEnd,$G164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4" s="2">
        <f>LET(id,$A164,code,UPPER(TRIM($D164)),rawStart,$F164,rawEnd,$G164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4" s="2">
        <f>LET(id,$A164,code,UPPER(TRIM($D164)),rawStart,$F164,rawEnd,$G164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4" s="2">
        <f>LET(id,$A164,code,UPPER(TRIM($D164)),rawStart,$F164,rawEnd,$G164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4" s="2">
        <f>LET(id,$A164,code,UPPER(TRIM($D164)),rawStart,$F164,rawEnd,$G164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4" s="2">
        <f>LET(id,$A164,code,UPPER(TRIM($D164)),rawStart,$F164,rawEnd,$G164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4" s="2">
        <f>LET(id,$A164,code,UPPER(TRIM($D164)),rawStart,$F164,rawEnd,$G164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4" s="2">
        <f>LET(id,$A164,code,UPPER(TRIM($D164)),rawStart,$F164,rawEnd,$G164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4" s="2">
        <f>LET(id,$A164,code,UPPER(TRIM($D164)),rawStart,$F164,rawEnd,$G164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4" s="2">
        <f>LET(id,$A164,code,UPPER(TRIM($D164)),rawStart,$F164,rawEnd,$G164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4" s="2">
        <f>LET(id,$A164,code,UPPER(TRIM($D164)),rawStart,$F164,rawEnd,$G164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4" s="2">
        <f>LET(id,$A164,code,UPPER(TRIM($D164)),rawStart,$F164,rawEnd,$G164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4" s="2">
        <f>LET(id,$A164,code,UPPER(TRIM($D164)),rawStart,$F164,rawEnd,$G164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4" s="2">
        <f>LET(id,$A164,code,UPPER(TRIM($D164)),rawStart,$F164,rawEnd,$G164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4" s="2">
        <f>LET(id,$A164,code,UPPER(TRIM($D164)),rawStart,$F164,rawEnd,$G164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4" s="2">
        <f>LET(id,$A164,code,UPPER(TRIM($D164)),rawStart,$F164,rawEnd,$G164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4" s="2">
        <f>LET(id,$A164,code,UPPER(TRIM($D164)),rawStart,$F164,rawEnd,$G164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4" s="2">
        <f>LET(id,$A164,code,UPPER(TRIM($D164)),rawStart,$F164,rawEnd,$G164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4" s="2">
        <f>LET(id,$A164,code,UPPER(TRIM($D164)),rawStart,$F164,rawEnd,$G164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4" s="2">
        <f>LET(id,$A164,code,UPPER(TRIM($D164)),rawStart,$F164,rawEnd,$G164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4" s="2">
        <f>LET(id,$A164,code,UPPER(TRIM($D164)),rawStart,$F164,rawEnd,$G164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4" s="2">
        <f>LET(id,$A164,code,UPPER(TRIM($D164)),rawStart,$F164,rawEnd,$G164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4" s="2">
        <f>LET(id,$A164,code,UPPER(TRIM($D164)),rawStart,$F164,rawEnd,$G164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4" s="2">
        <f>LET(id,$A164,code,UPPER(TRIM($D164)),rawStart,$F164,rawEnd,$G164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4" s="2">
        <f>LET(id,$A164,code,UPPER(TRIM($D164)),rawStart,$F164,rawEnd,$G164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4" s="2">
        <f>LET(id,$A164,code,UPPER(TRIM($D164)),rawStart,$F164,rawEnd,$G164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4" s="2">
        <f>LET(id,$A164,code,UPPER(TRIM($D164)),rawStart,$F164,rawEnd,$G164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4" s="2">
        <f>LET(id,$A164,code,UPPER(TRIM($D164)),rawStart,$F164,rawEnd,$G164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4" s="2">
        <f>LET(id,$A164,code,UPPER(TRIM($D164)),rawStart,$F164,rawEnd,$G164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4" s="2">
        <f>LET(id,$A164,code,UPPER(TRIM($D164)),rawStart,$F164,rawEnd,$G164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4" s="2">
        <f>LET(id,$A164,code,UPPER(TRIM($D164)),rawStart,$F164,rawEnd,$G164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4" s="2">
        <f>LET(id,$A164,code,UPPER(TRIM($D164)),rawStart,$F164,rawEnd,$G164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4" s="2">
        <f>LET(id,$A164,code,UPPER(TRIM($D164)),rawStart,$F164,rawEnd,$G164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4" s="2">
        <f>LET(id,$A164,code,UPPER(TRIM($D164)),rawStart,$F164,rawEnd,$G164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4" s="2">
        <f>LET(id,$A164,code,UPPER(TRIM($D164)),rawStart,$F164,rawEnd,$G164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4" s="2">
        <f>LET(id,$A164,code,UPPER(TRIM($D164)),rawStart,$F164,rawEnd,$G164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4" s="2">
        <f>LET(id,$A164,code,UPPER(TRIM($D164)),rawStart,$F164,rawEnd,$G164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4" s="2">
        <f>LET(id,$A164,code,UPPER(TRIM($D164)),rawStart,$F164,rawEnd,$G164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4" s="2">
        <f>LET(id,$A164,code,UPPER(TRIM($D164)),rawStart,$F164,rawEnd,$G164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4" s="2">
        <f>LET(id,$A164,code,UPPER(TRIM($D164)),rawStart,$F164,rawEnd,$G164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64" s="2">
        <f>Calc_Engine!BD164</f>
        <v/>
      </c>
    </row>
    <row r="165">
      <c r="A165" s="2">
        <f>Calc_Engine!A165</f>
        <v/>
      </c>
      <c r="B165" s="2">
        <f>Calc_Engine!B165</f>
        <v/>
      </c>
      <c r="C165" s="2">
        <f>Calc_Engine!C165</f>
        <v/>
      </c>
      <c r="D165" s="2">
        <f>Calc_Engine!D165</f>
        <v/>
      </c>
      <c r="E165" s="4">
        <f>Calc_Engine!E165</f>
        <v/>
      </c>
      <c r="F165" s="5">
        <f>Calc_Engine!F165</f>
        <v/>
      </c>
      <c r="G165" s="5">
        <f>Calc_Engine!G165</f>
        <v/>
      </c>
      <c r="H165" s="2">
        <f>LET(id,$A165,code,UPPER(TRIM($D165)),rawStart,$F165,rawEnd,$G165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5" s="2">
        <f>LET(id,$A165,code,UPPER(TRIM($D165)),rawStart,$F165,rawEnd,$G165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5" s="2">
        <f>LET(id,$A165,code,UPPER(TRIM($D165)),rawStart,$F165,rawEnd,$G165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5" s="2">
        <f>LET(id,$A165,code,UPPER(TRIM($D165)),rawStart,$F165,rawEnd,$G165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5" s="2">
        <f>LET(id,$A165,code,UPPER(TRIM($D165)),rawStart,$F165,rawEnd,$G165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5" s="2">
        <f>LET(id,$A165,code,UPPER(TRIM($D165)),rawStart,$F165,rawEnd,$G165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5" s="2">
        <f>LET(id,$A165,code,UPPER(TRIM($D165)),rawStart,$F165,rawEnd,$G165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5" s="2">
        <f>LET(id,$A165,code,UPPER(TRIM($D165)),rawStart,$F165,rawEnd,$G165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5" s="2">
        <f>LET(id,$A165,code,UPPER(TRIM($D165)),rawStart,$F165,rawEnd,$G165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5" s="2">
        <f>LET(id,$A165,code,UPPER(TRIM($D165)),rawStart,$F165,rawEnd,$G165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5" s="2">
        <f>LET(id,$A165,code,UPPER(TRIM($D165)),rawStart,$F165,rawEnd,$G165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5" s="2">
        <f>LET(id,$A165,code,UPPER(TRIM($D165)),rawStart,$F165,rawEnd,$G165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5" s="2">
        <f>LET(id,$A165,code,UPPER(TRIM($D165)),rawStart,$F165,rawEnd,$G165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5" s="2">
        <f>LET(id,$A165,code,UPPER(TRIM($D165)),rawStart,$F165,rawEnd,$G165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5" s="2">
        <f>LET(id,$A165,code,UPPER(TRIM($D165)),rawStart,$F165,rawEnd,$G165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5" s="2">
        <f>LET(id,$A165,code,UPPER(TRIM($D165)),rawStart,$F165,rawEnd,$G165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5" s="2">
        <f>LET(id,$A165,code,UPPER(TRIM($D165)),rawStart,$F165,rawEnd,$G165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5" s="2">
        <f>LET(id,$A165,code,UPPER(TRIM($D165)),rawStart,$F165,rawEnd,$G165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5" s="2">
        <f>LET(id,$A165,code,UPPER(TRIM($D165)),rawStart,$F165,rawEnd,$G165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5" s="2">
        <f>LET(id,$A165,code,UPPER(TRIM($D165)),rawStart,$F165,rawEnd,$G165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5" s="2">
        <f>LET(id,$A165,code,UPPER(TRIM($D165)),rawStart,$F165,rawEnd,$G165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5" s="2">
        <f>LET(id,$A165,code,UPPER(TRIM($D165)),rawStart,$F165,rawEnd,$G165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5" s="2">
        <f>LET(id,$A165,code,UPPER(TRIM($D165)),rawStart,$F165,rawEnd,$G165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5" s="2">
        <f>LET(id,$A165,code,UPPER(TRIM($D165)),rawStart,$F165,rawEnd,$G165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5" s="2">
        <f>LET(id,$A165,code,UPPER(TRIM($D165)),rawStart,$F165,rawEnd,$G165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5" s="2">
        <f>LET(id,$A165,code,UPPER(TRIM($D165)),rawStart,$F165,rawEnd,$G165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5" s="2">
        <f>LET(id,$A165,code,UPPER(TRIM($D165)),rawStart,$F165,rawEnd,$G165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5" s="2">
        <f>LET(id,$A165,code,UPPER(TRIM($D165)),rawStart,$F165,rawEnd,$G165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5" s="2">
        <f>LET(id,$A165,code,UPPER(TRIM($D165)),rawStart,$F165,rawEnd,$G165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5" s="2">
        <f>LET(id,$A165,code,UPPER(TRIM($D165)),rawStart,$F165,rawEnd,$G165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5" s="2">
        <f>LET(id,$A165,code,UPPER(TRIM($D165)),rawStart,$F165,rawEnd,$G165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5" s="2">
        <f>LET(id,$A165,code,UPPER(TRIM($D165)),rawStart,$F165,rawEnd,$G165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5" s="2">
        <f>LET(id,$A165,code,UPPER(TRIM($D165)),rawStart,$F165,rawEnd,$G165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5" s="2">
        <f>LET(id,$A165,code,UPPER(TRIM($D165)),rawStart,$F165,rawEnd,$G165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5" s="2">
        <f>LET(id,$A165,code,UPPER(TRIM($D165)),rawStart,$F165,rawEnd,$G165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5" s="2">
        <f>LET(id,$A165,code,UPPER(TRIM($D165)),rawStart,$F165,rawEnd,$G165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5" s="2">
        <f>LET(id,$A165,code,UPPER(TRIM($D165)),rawStart,$F165,rawEnd,$G165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5" s="2">
        <f>LET(id,$A165,code,UPPER(TRIM($D165)),rawStart,$F165,rawEnd,$G165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5" s="2">
        <f>LET(id,$A165,code,UPPER(TRIM($D165)),rawStart,$F165,rawEnd,$G165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5" s="2">
        <f>LET(id,$A165,code,UPPER(TRIM($D165)),rawStart,$F165,rawEnd,$G165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5" s="2">
        <f>LET(id,$A165,code,UPPER(TRIM($D165)),rawStart,$F165,rawEnd,$G165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5" s="2">
        <f>LET(id,$A165,code,UPPER(TRIM($D165)),rawStart,$F165,rawEnd,$G165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5" s="2">
        <f>LET(id,$A165,code,UPPER(TRIM($D165)),rawStart,$F165,rawEnd,$G165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5" s="2">
        <f>LET(id,$A165,code,UPPER(TRIM($D165)),rawStart,$F165,rawEnd,$G165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5" s="2">
        <f>LET(id,$A165,code,UPPER(TRIM($D165)),rawStart,$F165,rawEnd,$G165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5" s="2">
        <f>LET(id,$A165,code,UPPER(TRIM($D165)),rawStart,$F165,rawEnd,$G165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5" s="2">
        <f>LET(id,$A165,code,UPPER(TRIM($D165)),rawStart,$F165,rawEnd,$G165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5" s="2">
        <f>LET(id,$A165,code,UPPER(TRIM($D165)),rawStart,$F165,rawEnd,$G165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65" s="2">
        <f>Calc_Engine!BD165</f>
        <v/>
      </c>
    </row>
    <row r="166">
      <c r="A166" s="2">
        <f>Calc_Engine!A166</f>
        <v/>
      </c>
      <c r="B166" s="2">
        <f>Calc_Engine!B166</f>
        <v/>
      </c>
      <c r="C166" s="2">
        <f>Calc_Engine!C166</f>
        <v/>
      </c>
      <c r="D166" s="2">
        <f>Calc_Engine!D166</f>
        <v/>
      </c>
      <c r="E166" s="4">
        <f>Calc_Engine!E166</f>
        <v/>
      </c>
      <c r="F166" s="5">
        <f>Calc_Engine!F166</f>
        <v/>
      </c>
      <c r="G166" s="5">
        <f>Calc_Engine!G166</f>
        <v/>
      </c>
      <c r="H166" s="2">
        <f>LET(id,$A166,code,UPPER(TRIM($D166)),rawStart,$F166,rawEnd,$G166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6" s="2">
        <f>LET(id,$A166,code,UPPER(TRIM($D166)),rawStart,$F166,rawEnd,$G166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6" s="2">
        <f>LET(id,$A166,code,UPPER(TRIM($D166)),rawStart,$F166,rawEnd,$G166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6" s="2">
        <f>LET(id,$A166,code,UPPER(TRIM($D166)),rawStart,$F166,rawEnd,$G166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6" s="2">
        <f>LET(id,$A166,code,UPPER(TRIM($D166)),rawStart,$F166,rawEnd,$G166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6" s="2">
        <f>LET(id,$A166,code,UPPER(TRIM($D166)),rawStart,$F166,rawEnd,$G166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6" s="2">
        <f>LET(id,$A166,code,UPPER(TRIM($D166)),rawStart,$F166,rawEnd,$G166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6" s="2">
        <f>LET(id,$A166,code,UPPER(TRIM($D166)),rawStart,$F166,rawEnd,$G166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6" s="2">
        <f>LET(id,$A166,code,UPPER(TRIM($D166)),rawStart,$F166,rawEnd,$G166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6" s="2">
        <f>LET(id,$A166,code,UPPER(TRIM($D166)),rawStart,$F166,rawEnd,$G166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6" s="2">
        <f>LET(id,$A166,code,UPPER(TRIM($D166)),rawStart,$F166,rawEnd,$G166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6" s="2">
        <f>LET(id,$A166,code,UPPER(TRIM($D166)),rawStart,$F166,rawEnd,$G166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6" s="2">
        <f>LET(id,$A166,code,UPPER(TRIM($D166)),rawStart,$F166,rawEnd,$G166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6" s="2">
        <f>LET(id,$A166,code,UPPER(TRIM($D166)),rawStart,$F166,rawEnd,$G166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6" s="2">
        <f>LET(id,$A166,code,UPPER(TRIM($D166)),rawStart,$F166,rawEnd,$G166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6" s="2">
        <f>LET(id,$A166,code,UPPER(TRIM($D166)),rawStart,$F166,rawEnd,$G166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6" s="2">
        <f>LET(id,$A166,code,UPPER(TRIM($D166)),rawStart,$F166,rawEnd,$G166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6" s="2">
        <f>LET(id,$A166,code,UPPER(TRIM($D166)),rawStart,$F166,rawEnd,$G166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6" s="2">
        <f>LET(id,$A166,code,UPPER(TRIM($D166)),rawStart,$F166,rawEnd,$G166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6" s="2">
        <f>LET(id,$A166,code,UPPER(TRIM($D166)),rawStart,$F166,rawEnd,$G166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6" s="2">
        <f>LET(id,$A166,code,UPPER(TRIM($D166)),rawStart,$F166,rawEnd,$G166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6" s="2">
        <f>LET(id,$A166,code,UPPER(TRIM($D166)),rawStart,$F166,rawEnd,$G166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6" s="2">
        <f>LET(id,$A166,code,UPPER(TRIM($D166)),rawStart,$F166,rawEnd,$G166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6" s="2">
        <f>LET(id,$A166,code,UPPER(TRIM($D166)),rawStart,$F166,rawEnd,$G166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6" s="2">
        <f>LET(id,$A166,code,UPPER(TRIM($D166)),rawStart,$F166,rawEnd,$G166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6" s="2">
        <f>LET(id,$A166,code,UPPER(TRIM($D166)),rawStart,$F166,rawEnd,$G166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6" s="2">
        <f>LET(id,$A166,code,UPPER(TRIM($D166)),rawStart,$F166,rawEnd,$G166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6" s="2">
        <f>LET(id,$A166,code,UPPER(TRIM($D166)),rawStart,$F166,rawEnd,$G166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6" s="2">
        <f>LET(id,$A166,code,UPPER(TRIM($D166)),rawStart,$F166,rawEnd,$G166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6" s="2">
        <f>LET(id,$A166,code,UPPER(TRIM($D166)),rawStart,$F166,rawEnd,$G166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6" s="2">
        <f>LET(id,$A166,code,UPPER(TRIM($D166)),rawStart,$F166,rawEnd,$G166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6" s="2">
        <f>LET(id,$A166,code,UPPER(TRIM($D166)),rawStart,$F166,rawEnd,$G166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6" s="2">
        <f>LET(id,$A166,code,UPPER(TRIM($D166)),rawStart,$F166,rawEnd,$G166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6" s="2">
        <f>LET(id,$A166,code,UPPER(TRIM($D166)),rawStart,$F166,rawEnd,$G166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6" s="2">
        <f>LET(id,$A166,code,UPPER(TRIM($D166)),rawStart,$F166,rawEnd,$G166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6" s="2">
        <f>LET(id,$A166,code,UPPER(TRIM($D166)),rawStart,$F166,rawEnd,$G166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6" s="2">
        <f>LET(id,$A166,code,UPPER(TRIM($D166)),rawStart,$F166,rawEnd,$G166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6" s="2">
        <f>LET(id,$A166,code,UPPER(TRIM($D166)),rawStart,$F166,rawEnd,$G166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6" s="2">
        <f>LET(id,$A166,code,UPPER(TRIM($D166)),rawStart,$F166,rawEnd,$G166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6" s="2">
        <f>LET(id,$A166,code,UPPER(TRIM($D166)),rawStart,$F166,rawEnd,$G166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6" s="2">
        <f>LET(id,$A166,code,UPPER(TRIM($D166)),rawStart,$F166,rawEnd,$G166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6" s="2">
        <f>LET(id,$A166,code,UPPER(TRIM($D166)),rawStart,$F166,rawEnd,$G166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6" s="2">
        <f>LET(id,$A166,code,UPPER(TRIM($D166)),rawStart,$F166,rawEnd,$G166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6" s="2">
        <f>LET(id,$A166,code,UPPER(TRIM($D166)),rawStart,$F166,rawEnd,$G166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6" s="2">
        <f>LET(id,$A166,code,UPPER(TRIM($D166)),rawStart,$F166,rawEnd,$G166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6" s="2">
        <f>LET(id,$A166,code,UPPER(TRIM($D166)),rawStart,$F166,rawEnd,$G166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6" s="2">
        <f>LET(id,$A166,code,UPPER(TRIM($D166)),rawStart,$F166,rawEnd,$G166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6" s="2">
        <f>LET(id,$A166,code,UPPER(TRIM($D166)),rawStart,$F166,rawEnd,$G166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66" s="2">
        <f>Calc_Engine!BD166</f>
        <v/>
      </c>
    </row>
    <row r="167">
      <c r="A167" s="2">
        <f>Calc_Engine!A167</f>
        <v/>
      </c>
      <c r="B167" s="2">
        <f>Calc_Engine!B167</f>
        <v/>
      </c>
      <c r="C167" s="2">
        <f>Calc_Engine!C167</f>
        <v/>
      </c>
      <c r="D167" s="2">
        <f>Calc_Engine!D167</f>
        <v/>
      </c>
      <c r="E167" s="4">
        <f>Calc_Engine!E167</f>
        <v/>
      </c>
      <c r="F167" s="5">
        <f>Calc_Engine!F167</f>
        <v/>
      </c>
      <c r="G167" s="5">
        <f>Calc_Engine!G167</f>
        <v/>
      </c>
      <c r="H167" s="2">
        <f>LET(id,$A167,code,UPPER(TRIM($D167)),rawStart,$F167,rawEnd,$G167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7" s="2">
        <f>LET(id,$A167,code,UPPER(TRIM($D167)),rawStart,$F167,rawEnd,$G167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7" s="2">
        <f>LET(id,$A167,code,UPPER(TRIM($D167)),rawStart,$F167,rawEnd,$G167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7" s="2">
        <f>LET(id,$A167,code,UPPER(TRIM($D167)),rawStart,$F167,rawEnd,$G167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7" s="2">
        <f>LET(id,$A167,code,UPPER(TRIM($D167)),rawStart,$F167,rawEnd,$G167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7" s="2">
        <f>LET(id,$A167,code,UPPER(TRIM($D167)),rawStart,$F167,rawEnd,$G167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7" s="2">
        <f>LET(id,$A167,code,UPPER(TRIM($D167)),rawStart,$F167,rawEnd,$G167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7" s="2">
        <f>LET(id,$A167,code,UPPER(TRIM($D167)),rawStart,$F167,rawEnd,$G167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7" s="2">
        <f>LET(id,$A167,code,UPPER(TRIM($D167)),rawStart,$F167,rawEnd,$G167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7" s="2">
        <f>LET(id,$A167,code,UPPER(TRIM($D167)),rawStart,$F167,rawEnd,$G167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7" s="2">
        <f>LET(id,$A167,code,UPPER(TRIM($D167)),rawStart,$F167,rawEnd,$G167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7" s="2">
        <f>LET(id,$A167,code,UPPER(TRIM($D167)),rawStart,$F167,rawEnd,$G167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7" s="2">
        <f>LET(id,$A167,code,UPPER(TRIM($D167)),rawStart,$F167,rawEnd,$G167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7" s="2">
        <f>LET(id,$A167,code,UPPER(TRIM($D167)),rawStart,$F167,rawEnd,$G167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7" s="2">
        <f>LET(id,$A167,code,UPPER(TRIM($D167)),rawStart,$F167,rawEnd,$G167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7" s="2">
        <f>LET(id,$A167,code,UPPER(TRIM($D167)),rawStart,$F167,rawEnd,$G167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7" s="2">
        <f>LET(id,$A167,code,UPPER(TRIM($D167)),rawStart,$F167,rawEnd,$G167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7" s="2">
        <f>LET(id,$A167,code,UPPER(TRIM($D167)),rawStart,$F167,rawEnd,$G167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7" s="2">
        <f>LET(id,$A167,code,UPPER(TRIM($D167)),rawStart,$F167,rawEnd,$G167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7" s="2">
        <f>LET(id,$A167,code,UPPER(TRIM($D167)),rawStart,$F167,rawEnd,$G167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7" s="2">
        <f>LET(id,$A167,code,UPPER(TRIM($D167)),rawStart,$F167,rawEnd,$G167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7" s="2">
        <f>LET(id,$A167,code,UPPER(TRIM($D167)),rawStart,$F167,rawEnd,$G167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7" s="2">
        <f>LET(id,$A167,code,UPPER(TRIM($D167)),rawStart,$F167,rawEnd,$G167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7" s="2">
        <f>LET(id,$A167,code,UPPER(TRIM($D167)),rawStart,$F167,rawEnd,$G167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7" s="2">
        <f>LET(id,$A167,code,UPPER(TRIM($D167)),rawStart,$F167,rawEnd,$G167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7" s="2">
        <f>LET(id,$A167,code,UPPER(TRIM($D167)),rawStart,$F167,rawEnd,$G167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7" s="2">
        <f>LET(id,$A167,code,UPPER(TRIM($D167)),rawStart,$F167,rawEnd,$G167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7" s="2">
        <f>LET(id,$A167,code,UPPER(TRIM($D167)),rawStart,$F167,rawEnd,$G167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7" s="2">
        <f>LET(id,$A167,code,UPPER(TRIM($D167)),rawStart,$F167,rawEnd,$G167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7" s="2">
        <f>LET(id,$A167,code,UPPER(TRIM($D167)),rawStart,$F167,rawEnd,$G167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7" s="2">
        <f>LET(id,$A167,code,UPPER(TRIM($D167)),rawStart,$F167,rawEnd,$G167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7" s="2">
        <f>LET(id,$A167,code,UPPER(TRIM($D167)),rawStart,$F167,rawEnd,$G167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7" s="2">
        <f>LET(id,$A167,code,UPPER(TRIM($D167)),rawStart,$F167,rawEnd,$G167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7" s="2">
        <f>LET(id,$A167,code,UPPER(TRIM($D167)),rawStart,$F167,rawEnd,$G167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7" s="2">
        <f>LET(id,$A167,code,UPPER(TRIM($D167)),rawStart,$F167,rawEnd,$G167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7" s="2">
        <f>LET(id,$A167,code,UPPER(TRIM($D167)),rawStart,$F167,rawEnd,$G167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7" s="2">
        <f>LET(id,$A167,code,UPPER(TRIM($D167)),rawStart,$F167,rawEnd,$G167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7" s="2">
        <f>LET(id,$A167,code,UPPER(TRIM($D167)),rawStart,$F167,rawEnd,$G167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7" s="2">
        <f>LET(id,$A167,code,UPPER(TRIM($D167)),rawStart,$F167,rawEnd,$G167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7" s="2">
        <f>LET(id,$A167,code,UPPER(TRIM($D167)),rawStart,$F167,rawEnd,$G167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7" s="2">
        <f>LET(id,$A167,code,UPPER(TRIM($D167)),rawStart,$F167,rawEnd,$G167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7" s="2">
        <f>LET(id,$A167,code,UPPER(TRIM($D167)),rawStart,$F167,rawEnd,$G167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7" s="2">
        <f>LET(id,$A167,code,UPPER(TRIM($D167)),rawStart,$F167,rawEnd,$G167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7" s="2">
        <f>LET(id,$A167,code,UPPER(TRIM($D167)),rawStart,$F167,rawEnd,$G167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7" s="2">
        <f>LET(id,$A167,code,UPPER(TRIM($D167)),rawStart,$F167,rawEnd,$G167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7" s="2">
        <f>LET(id,$A167,code,UPPER(TRIM($D167)),rawStart,$F167,rawEnd,$G167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7" s="2">
        <f>LET(id,$A167,code,UPPER(TRIM($D167)),rawStart,$F167,rawEnd,$G167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7" s="2">
        <f>LET(id,$A167,code,UPPER(TRIM($D167)),rawStart,$F167,rawEnd,$G167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67" s="2">
        <f>Calc_Engine!BD167</f>
        <v/>
      </c>
    </row>
    <row r="168">
      <c r="A168" s="2">
        <f>Calc_Engine!A168</f>
        <v/>
      </c>
      <c r="B168" s="2">
        <f>Calc_Engine!B168</f>
        <v/>
      </c>
      <c r="C168" s="2">
        <f>Calc_Engine!C168</f>
        <v/>
      </c>
      <c r="D168" s="2">
        <f>Calc_Engine!D168</f>
        <v/>
      </c>
      <c r="E168" s="4">
        <f>Calc_Engine!E168</f>
        <v/>
      </c>
      <c r="F168" s="5">
        <f>Calc_Engine!F168</f>
        <v/>
      </c>
      <c r="G168" s="5">
        <f>Calc_Engine!G168</f>
        <v/>
      </c>
      <c r="H168" s="2">
        <f>LET(id,$A168,code,UPPER(TRIM($D168)),rawStart,$F168,rawEnd,$G168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8" s="2">
        <f>LET(id,$A168,code,UPPER(TRIM($D168)),rawStart,$F168,rawEnd,$G168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8" s="2">
        <f>LET(id,$A168,code,UPPER(TRIM($D168)),rawStart,$F168,rawEnd,$G168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8" s="2">
        <f>LET(id,$A168,code,UPPER(TRIM($D168)),rawStart,$F168,rawEnd,$G168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8" s="2">
        <f>LET(id,$A168,code,UPPER(TRIM($D168)),rawStart,$F168,rawEnd,$G168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8" s="2">
        <f>LET(id,$A168,code,UPPER(TRIM($D168)),rawStart,$F168,rawEnd,$G168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8" s="2">
        <f>LET(id,$A168,code,UPPER(TRIM($D168)),rawStart,$F168,rawEnd,$G168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8" s="2">
        <f>LET(id,$A168,code,UPPER(TRIM($D168)),rawStart,$F168,rawEnd,$G168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8" s="2">
        <f>LET(id,$A168,code,UPPER(TRIM($D168)),rawStart,$F168,rawEnd,$G168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8" s="2">
        <f>LET(id,$A168,code,UPPER(TRIM($D168)),rawStart,$F168,rawEnd,$G168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8" s="2">
        <f>LET(id,$A168,code,UPPER(TRIM($D168)),rawStart,$F168,rawEnd,$G168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8" s="2">
        <f>LET(id,$A168,code,UPPER(TRIM($D168)),rawStart,$F168,rawEnd,$G168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8" s="2">
        <f>LET(id,$A168,code,UPPER(TRIM($D168)),rawStart,$F168,rawEnd,$G168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8" s="2">
        <f>LET(id,$A168,code,UPPER(TRIM($D168)),rawStart,$F168,rawEnd,$G168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8" s="2">
        <f>LET(id,$A168,code,UPPER(TRIM($D168)),rawStart,$F168,rawEnd,$G168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8" s="2">
        <f>LET(id,$A168,code,UPPER(TRIM($D168)),rawStart,$F168,rawEnd,$G168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8" s="2">
        <f>LET(id,$A168,code,UPPER(TRIM($D168)),rawStart,$F168,rawEnd,$G168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8" s="2">
        <f>LET(id,$A168,code,UPPER(TRIM($D168)),rawStart,$F168,rawEnd,$G168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8" s="2">
        <f>LET(id,$A168,code,UPPER(TRIM($D168)),rawStart,$F168,rawEnd,$G168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8" s="2">
        <f>LET(id,$A168,code,UPPER(TRIM($D168)),rawStart,$F168,rawEnd,$G168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8" s="2">
        <f>LET(id,$A168,code,UPPER(TRIM($D168)),rawStart,$F168,rawEnd,$G168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8" s="2">
        <f>LET(id,$A168,code,UPPER(TRIM($D168)),rawStart,$F168,rawEnd,$G168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8" s="2">
        <f>LET(id,$A168,code,UPPER(TRIM($D168)),rawStart,$F168,rawEnd,$G168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8" s="2">
        <f>LET(id,$A168,code,UPPER(TRIM($D168)),rawStart,$F168,rawEnd,$G168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8" s="2">
        <f>LET(id,$A168,code,UPPER(TRIM($D168)),rawStart,$F168,rawEnd,$G168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8" s="2">
        <f>LET(id,$A168,code,UPPER(TRIM($D168)),rawStart,$F168,rawEnd,$G168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8" s="2">
        <f>LET(id,$A168,code,UPPER(TRIM($D168)),rawStart,$F168,rawEnd,$G168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8" s="2">
        <f>LET(id,$A168,code,UPPER(TRIM($D168)),rawStart,$F168,rawEnd,$G168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8" s="2">
        <f>LET(id,$A168,code,UPPER(TRIM($D168)),rawStart,$F168,rawEnd,$G168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8" s="2">
        <f>LET(id,$A168,code,UPPER(TRIM($D168)),rawStart,$F168,rawEnd,$G168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8" s="2">
        <f>LET(id,$A168,code,UPPER(TRIM($D168)),rawStart,$F168,rawEnd,$G168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8" s="2">
        <f>LET(id,$A168,code,UPPER(TRIM($D168)),rawStart,$F168,rawEnd,$G168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8" s="2">
        <f>LET(id,$A168,code,UPPER(TRIM($D168)),rawStart,$F168,rawEnd,$G168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8" s="2">
        <f>LET(id,$A168,code,UPPER(TRIM($D168)),rawStart,$F168,rawEnd,$G168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8" s="2">
        <f>LET(id,$A168,code,UPPER(TRIM($D168)),rawStart,$F168,rawEnd,$G168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8" s="2">
        <f>LET(id,$A168,code,UPPER(TRIM($D168)),rawStart,$F168,rawEnd,$G168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8" s="2">
        <f>LET(id,$A168,code,UPPER(TRIM($D168)),rawStart,$F168,rawEnd,$G168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8" s="2">
        <f>LET(id,$A168,code,UPPER(TRIM($D168)),rawStart,$F168,rawEnd,$G168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8" s="2">
        <f>LET(id,$A168,code,UPPER(TRIM($D168)),rawStart,$F168,rawEnd,$G168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8" s="2">
        <f>LET(id,$A168,code,UPPER(TRIM($D168)),rawStart,$F168,rawEnd,$G168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8" s="2">
        <f>LET(id,$A168,code,UPPER(TRIM($D168)),rawStart,$F168,rawEnd,$G168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8" s="2">
        <f>LET(id,$A168,code,UPPER(TRIM($D168)),rawStart,$F168,rawEnd,$G168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8" s="2">
        <f>LET(id,$A168,code,UPPER(TRIM($D168)),rawStart,$F168,rawEnd,$G168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8" s="2">
        <f>LET(id,$A168,code,UPPER(TRIM($D168)),rawStart,$F168,rawEnd,$G168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8" s="2">
        <f>LET(id,$A168,code,UPPER(TRIM($D168)),rawStart,$F168,rawEnd,$G168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8" s="2">
        <f>LET(id,$A168,code,UPPER(TRIM($D168)),rawStart,$F168,rawEnd,$G168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8" s="2">
        <f>LET(id,$A168,code,UPPER(TRIM($D168)),rawStart,$F168,rawEnd,$G168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8" s="2">
        <f>LET(id,$A168,code,UPPER(TRIM($D168)),rawStart,$F168,rawEnd,$G168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68" s="2">
        <f>Calc_Engine!BD168</f>
        <v/>
      </c>
    </row>
    <row r="169">
      <c r="A169" s="2">
        <f>Calc_Engine!A169</f>
        <v/>
      </c>
      <c r="B169" s="2">
        <f>Calc_Engine!B169</f>
        <v/>
      </c>
      <c r="C169" s="2">
        <f>Calc_Engine!C169</f>
        <v/>
      </c>
      <c r="D169" s="2">
        <f>Calc_Engine!D169</f>
        <v/>
      </c>
      <c r="E169" s="4">
        <f>Calc_Engine!E169</f>
        <v/>
      </c>
      <c r="F169" s="5">
        <f>Calc_Engine!F169</f>
        <v/>
      </c>
      <c r="G169" s="5">
        <f>Calc_Engine!G169</f>
        <v/>
      </c>
      <c r="H169" s="2">
        <f>LET(id,$A169,code,UPPER(TRIM($D169)),rawStart,$F169,rawEnd,$G169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9" s="2">
        <f>LET(id,$A169,code,UPPER(TRIM($D169)),rawStart,$F169,rawEnd,$G169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9" s="2">
        <f>LET(id,$A169,code,UPPER(TRIM($D169)),rawStart,$F169,rawEnd,$G169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9" s="2">
        <f>LET(id,$A169,code,UPPER(TRIM($D169)),rawStart,$F169,rawEnd,$G169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9" s="2">
        <f>LET(id,$A169,code,UPPER(TRIM($D169)),rawStart,$F169,rawEnd,$G169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9" s="2">
        <f>LET(id,$A169,code,UPPER(TRIM($D169)),rawStart,$F169,rawEnd,$G169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9" s="2">
        <f>LET(id,$A169,code,UPPER(TRIM($D169)),rawStart,$F169,rawEnd,$G169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9" s="2">
        <f>LET(id,$A169,code,UPPER(TRIM($D169)),rawStart,$F169,rawEnd,$G169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9" s="2">
        <f>LET(id,$A169,code,UPPER(TRIM($D169)),rawStart,$F169,rawEnd,$G169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9" s="2">
        <f>LET(id,$A169,code,UPPER(TRIM($D169)),rawStart,$F169,rawEnd,$G169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9" s="2">
        <f>LET(id,$A169,code,UPPER(TRIM($D169)),rawStart,$F169,rawEnd,$G169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9" s="2">
        <f>LET(id,$A169,code,UPPER(TRIM($D169)),rawStart,$F169,rawEnd,$G169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9" s="2">
        <f>LET(id,$A169,code,UPPER(TRIM($D169)),rawStart,$F169,rawEnd,$G169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9" s="2">
        <f>LET(id,$A169,code,UPPER(TRIM($D169)),rawStart,$F169,rawEnd,$G169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9" s="2">
        <f>LET(id,$A169,code,UPPER(TRIM($D169)),rawStart,$F169,rawEnd,$G169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9" s="2">
        <f>LET(id,$A169,code,UPPER(TRIM($D169)),rawStart,$F169,rawEnd,$G169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9" s="2">
        <f>LET(id,$A169,code,UPPER(TRIM($D169)),rawStart,$F169,rawEnd,$G169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9" s="2">
        <f>LET(id,$A169,code,UPPER(TRIM($D169)),rawStart,$F169,rawEnd,$G169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9" s="2">
        <f>LET(id,$A169,code,UPPER(TRIM($D169)),rawStart,$F169,rawEnd,$G169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9" s="2">
        <f>LET(id,$A169,code,UPPER(TRIM($D169)),rawStart,$F169,rawEnd,$G169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9" s="2">
        <f>LET(id,$A169,code,UPPER(TRIM($D169)),rawStart,$F169,rawEnd,$G169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9" s="2">
        <f>LET(id,$A169,code,UPPER(TRIM($D169)),rawStart,$F169,rawEnd,$G169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9" s="2">
        <f>LET(id,$A169,code,UPPER(TRIM($D169)),rawStart,$F169,rawEnd,$G169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9" s="2">
        <f>LET(id,$A169,code,UPPER(TRIM($D169)),rawStart,$F169,rawEnd,$G169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9" s="2">
        <f>LET(id,$A169,code,UPPER(TRIM($D169)),rawStart,$F169,rawEnd,$G169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9" s="2">
        <f>LET(id,$A169,code,UPPER(TRIM($D169)),rawStart,$F169,rawEnd,$G169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9" s="2">
        <f>LET(id,$A169,code,UPPER(TRIM($D169)),rawStart,$F169,rawEnd,$G169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9" s="2">
        <f>LET(id,$A169,code,UPPER(TRIM($D169)),rawStart,$F169,rawEnd,$G169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9" s="2">
        <f>LET(id,$A169,code,UPPER(TRIM($D169)),rawStart,$F169,rawEnd,$G169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9" s="2">
        <f>LET(id,$A169,code,UPPER(TRIM($D169)),rawStart,$F169,rawEnd,$G169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9" s="2">
        <f>LET(id,$A169,code,UPPER(TRIM($D169)),rawStart,$F169,rawEnd,$G169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9" s="2">
        <f>LET(id,$A169,code,UPPER(TRIM($D169)),rawStart,$F169,rawEnd,$G169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9" s="2">
        <f>LET(id,$A169,code,UPPER(TRIM($D169)),rawStart,$F169,rawEnd,$G169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9" s="2">
        <f>LET(id,$A169,code,UPPER(TRIM($D169)),rawStart,$F169,rawEnd,$G169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9" s="2">
        <f>LET(id,$A169,code,UPPER(TRIM($D169)),rawStart,$F169,rawEnd,$G169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9" s="2">
        <f>LET(id,$A169,code,UPPER(TRIM($D169)),rawStart,$F169,rawEnd,$G169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9" s="2">
        <f>LET(id,$A169,code,UPPER(TRIM($D169)),rawStart,$F169,rawEnd,$G169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9" s="2">
        <f>LET(id,$A169,code,UPPER(TRIM($D169)),rawStart,$F169,rawEnd,$G169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9" s="2">
        <f>LET(id,$A169,code,UPPER(TRIM($D169)),rawStart,$F169,rawEnd,$G169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9" s="2">
        <f>LET(id,$A169,code,UPPER(TRIM($D169)),rawStart,$F169,rawEnd,$G169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9" s="2">
        <f>LET(id,$A169,code,UPPER(TRIM($D169)),rawStart,$F169,rawEnd,$G169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9" s="2">
        <f>LET(id,$A169,code,UPPER(TRIM($D169)),rawStart,$F169,rawEnd,$G169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9" s="2">
        <f>LET(id,$A169,code,UPPER(TRIM($D169)),rawStart,$F169,rawEnd,$G169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9" s="2">
        <f>LET(id,$A169,code,UPPER(TRIM($D169)),rawStart,$F169,rawEnd,$G169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9" s="2">
        <f>LET(id,$A169,code,UPPER(TRIM($D169)),rawStart,$F169,rawEnd,$G169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9" s="2">
        <f>LET(id,$A169,code,UPPER(TRIM($D169)),rawStart,$F169,rawEnd,$G169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9" s="2">
        <f>LET(id,$A169,code,UPPER(TRIM($D169)),rawStart,$F169,rawEnd,$G169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9" s="2">
        <f>LET(id,$A169,code,UPPER(TRIM($D169)),rawStart,$F169,rawEnd,$G169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69" s="2">
        <f>Calc_Engine!BD169</f>
        <v/>
      </c>
    </row>
    <row r="170">
      <c r="A170" s="2">
        <f>Calc_Engine!A170</f>
        <v/>
      </c>
      <c r="B170" s="2">
        <f>Calc_Engine!B170</f>
        <v/>
      </c>
      <c r="C170" s="2">
        <f>Calc_Engine!C170</f>
        <v/>
      </c>
      <c r="D170" s="2">
        <f>Calc_Engine!D170</f>
        <v/>
      </c>
      <c r="E170" s="4">
        <f>Calc_Engine!E170</f>
        <v/>
      </c>
      <c r="F170" s="5">
        <f>Calc_Engine!F170</f>
        <v/>
      </c>
      <c r="G170" s="5">
        <f>Calc_Engine!G170</f>
        <v/>
      </c>
      <c r="H170" s="2">
        <f>LET(id,$A170,code,UPPER(TRIM($D170)),rawStart,$F170,rawEnd,$G170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0" s="2">
        <f>LET(id,$A170,code,UPPER(TRIM($D170)),rawStart,$F170,rawEnd,$G170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0" s="2">
        <f>LET(id,$A170,code,UPPER(TRIM($D170)),rawStart,$F170,rawEnd,$G170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0" s="2">
        <f>LET(id,$A170,code,UPPER(TRIM($D170)),rawStart,$F170,rawEnd,$G170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0" s="2">
        <f>LET(id,$A170,code,UPPER(TRIM($D170)),rawStart,$F170,rawEnd,$G170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0" s="2">
        <f>LET(id,$A170,code,UPPER(TRIM($D170)),rawStart,$F170,rawEnd,$G170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0" s="2">
        <f>LET(id,$A170,code,UPPER(TRIM($D170)),rawStart,$F170,rawEnd,$G170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0" s="2">
        <f>LET(id,$A170,code,UPPER(TRIM($D170)),rawStart,$F170,rawEnd,$G170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0" s="2">
        <f>LET(id,$A170,code,UPPER(TRIM($D170)),rawStart,$F170,rawEnd,$G170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0" s="2">
        <f>LET(id,$A170,code,UPPER(TRIM($D170)),rawStart,$F170,rawEnd,$G170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0" s="2">
        <f>LET(id,$A170,code,UPPER(TRIM($D170)),rawStart,$F170,rawEnd,$G170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0" s="2">
        <f>LET(id,$A170,code,UPPER(TRIM($D170)),rawStart,$F170,rawEnd,$G170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0" s="2">
        <f>LET(id,$A170,code,UPPER(TRIM($D170)),rawStart,$F170,rawEnd,$G170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0" s="2">
        <f>LET(id,$A170,code,UPPER(TRIM($D170)),rawStart,$F170,rawEnd,$G170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0" s="2">
        <f>LET(id,$A170,code,UPPER(TRIM($D170)),rawStart,$F170,rawEnd,$G170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0" s="2">
        <f>LET(id,$A170,code,UPPER(TRIM($D170)),rawStart,$F170,rawEnd,$G170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0" s="2">
        <f>LET(id,$A170,code,UPPER(TRIM($D170)),rawStart,$F170,rawEnd,$G170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0" s="2">
        <f>LET(id,$A170,code,UPPER(TRIM($D170)),rawStart,$F170,rawEnd,$G170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0" s="2">
        <f>LET(id,$A170,code,UPPER(TRIM($D170)),rawStart,$F170,rawEnd,$G170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0" s="2">
        <f>LET(id,$A170,code,UPPER(TRIM($D170)),rawStart,$F170,rawEnd,$G170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0" s="2">
        <f>LET(id,$A170,code,UPPER(TRIM($D170)),rawStart,$F170,rawEnd,$G170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0" s="2">
        <f>LET(id,$A170,code,UPPER(TRIM($D170)),rawStart,$F170,rawEnd,$G170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0" s="2">
        <f>LET(id,$A170,code,UPPER(TRIM($D170)),rawStart,$F170,rawEnd,$G170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0" s="2">
        <f>LET(id,$A170,code,UPPER(TRIM($D170)),rawStart,$F170,rawEnd,$G170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0" s="2">
        <f>LET(id,$A170,code,UPPER(TRIM($D170)),rawStart,$F170,rawEnd,$G170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0" s="2">
        <f>LET(id,$A170,code,UPPER(TRIM($D170)),rawStart,$F170,rawEnd,$G170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0" s="2">
        <f>LET(id,$A170,code,UPPER(TRIM($D170)),rawStart,$F170,rawEnd,$G170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0" s="2">
        <f>LET(id,$A170,code,UPPER(TRIM($D170)),rawStart,$F170,rawEnd,$G170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0" s="2">
        <f>LET(id,$A170,code,UPPER(TRIM($D170)),rawStart,$F170,rawEnd,$G170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0" s="2">
        <f>LET(id,$A170,code,UPPER(TRIM($D170)),rawStart,$F170,rawEnd,$G170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0" s="2">
        <f>LET(id,$A170,code,UPPER(TRIM($D170)),rawStart,$F170,rawEnd,$G170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0" s="2">
        <f>LET(id,$A170,code,UPPER(TRIM($D170)),rawStart,$F170,rawEnd,$G170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0" s="2">
        <f>LET(id,$A170,code,UPPER(TRIM($D170)),rawStart,$F170,rawEnd,$G170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0" s="2">
        <f>LET(id,$A170,code,UPPER(TRIM($D170)),rawStart,$F170,rawEnd,$G170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0" s="2">
        <f>LET(id,$A170,code,UPPER(TRIM($D170)),rawStart,$F170,rawEnd,$G170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0" s="2">
        <f>LET(id,$A170,code,UPPER(TRIM($D170)),rawStart,$F170,rawEnd,$G170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0" s="2">
        <f>LET(id,$A170,code,UPPER(TRIM($D170)),rawStart,$F170,rawEnd,$G170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0" s="2">
        <f>LET(id,$A170,code,UPPER(TRIM($D170)),rawStart,$F170,rawEnd,$G170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0" s="2">
        <f>LET(id,$A170,code,UPPER(TRIM($D170)),rawStart,$F170,rawEnd,$G170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0" s="2">
        <f>LET(id,$A170,code,UPPER(TRIM($D170)),rawStart,$F170,rawEnd,$G170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0" s="2">
        <f>LET(id,$A170,code,UPPER(TRIM($D170)),rawStart,$F170,rawEnd,$G170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0" s="2">
        <f>LET(id,$A170,code,UPPER(TRIM($D170)),rawStart,$F170,rawEnd,$G170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0" s="2">
        <f>LET(id,$A170,code,UPPER(TRIM($D170)),rawStart,$F170,rawEnd,$G170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0" s="2">
        <f>LET(id,$A170,code,UPPER(TRIM($D170)),rawStart,$F170,rawEnd,$G170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0" s="2">
        <f>LET(id,$A170,code,UPPER(TRIM($D170)),rawStart,$F170,rawEnd,$G170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0" s="2">
        <f>LET(id,$A170,code,UPPER(TRIM($D170)),rawStart,$F170,rawEnd,$G170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0" s="2">
        <f>LET(id,$A170,code,UPPER(TRIM($D170)),rawStart,$F170,rawEnd,$G170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0" s="2">
        <f>LET(id,$A170,code,UPPER(TRIM($D170)),rawStart,$F170,rawEnd,$G170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70" s="2">
        <f>Calc_Engine!BD170</f>
        <v/>
      </c>
    </row>
    <row r="171">
      <c r="A171" s="2">
        <f>Calc_Engine!A171</f>
        <v/>
      </c>
      <c r="B171" s="2">
        <f>Calc_Engine!B171</f>
        <v/>
      </c>
      <c r="C171" s="2">
        <f>Calc_Engine!C171</f>
        <v/>
      </c>
      <c r="D171" s="2">
        <f>Calc_Engine!D171</f>
        <v/>
      </c>
      <c r="E171" s="4">
        <f>Calc_Engine!E171</f>
        <v/>
      </c>
      <c r="F171" s="5">
        <f>Calc_Engine!F171</f>
        <v/>
      </c>
      <c r="G171" s="5">
        <f>Calc_Engine!G171</f>
        <v/>
      </c>
      <c r="H171" s="2">
        <f>LET(id,$A171,code,UPPER(TRIM($D171)),rawStart,$F171,rawEnd,$G171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1" s="2">
        <f>LET(id,$A171,code,UPPER(TRIM($D171)),rawStart,$F171,rawEnd,$G171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1" s="2">
        <f>LET(id,$A171,code,UPPER(TRIM($D171)),rawStart,$F171,rawEnd,$G171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1" s="2">
        <f>LET(id,$A171,code,UPPER(TRIM($D171)),rawStart,$F171,rawEnd,$G171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1" s="2">
        <f>LET(id,$A171,code,UPPER(TRIM($D171)),rawStart,$F171,rawEnd,$G171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1" s="2">
        <f>LET(id,$A171,code,UPPER(TRIM($D171)),rawStart,$F171,rawEnd,$G171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1" s="2">
        <f>LET(id,$A171,code,UPPER(TRIM($D171)),rawStart,$F171,rawEnd,$G171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1" s="2">
        <f>LET(id,$A171,code,UPPER(TRIM($D171)),rawStart,$F171,rawEnd,$G171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1" s="2">
        <f>LET(id,$A171,code,UPPER(TRIM($D171)),rawStart,$F171,rawEnd,$G171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1" s="2">
        <f>LET(id,$A171,code,UPPER(TRIM($D171)),rawStart,$F171,rawEnd,$G171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1" s="2">
        <f>LET(id,$A171,code,UPPER(TRIM($D171)),rawStart,$F171,rawEnd,$G171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1" s="2">
        <f>LET(id,$A171,code,UPPER(TRIM($D171)),rawStart,$F171,rawEnd,$G171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1" s="2">
        <f>LET(id,$A171,code,UPPER(TRIM($D171)),rawStart,$F171,rawEnd,$G171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1" s="2">
        <f>LET(id,$A171,code,UPPER(TRIM($D171)),rawStart,$F171,rawEnd,$G171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1" s="2">
        <f>LET(id,$A171,code,UPPER(TRIM($D171)),rawStart,$F171,rawEnd,$G171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1" s="2">
        <f>LET(id,$A171,code,UPPER(TRIM($D171)),rawStart,$F171,rawEnd,$G171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1" s="2">
        <f>LET(id,$A171,code,UPPER(TRIM($D171)),rawStart,$F171,rawEnd,$G171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1" s="2">
        <f>LET(id,$A171,code,UPPER(TRIM($D171)),rawStart,$F171,rawEnd,$G171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1" s="2">
        <f>LET(id,$A171,code,UPPER(TRIM($D171)),rawStart,$F171,rawEnd,$G171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1" s="2">
        <f>LET(id,$A171,code,UPPER(TRIM($D171)),rawStart,$F171,rawEnd,$G171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1" s="2">
        <f>LET(id,$A171,code,UPPER(TRIM($D171)),rawStart,$F171,rawEnd,$G171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1" s="2">
        <f>LET(id,$A171,code,UPPER(TRIM($D171)),rawStart,$F171,rawEnd,$G171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1" s="2">
        <f>LET(id,$A171,code,UPPER(TRIM($D171)),rawStart,$F171,rawEnd,$G171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1" s="2">
        <f>LET(id,$A171,code,UPPER(TRIM($D171)),rawStart,$F171,rawEnd,$G171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1" s="2">
        <f>LET(id,$A171,code,UPPER(TRIM($D171)),rawStart,$F171,rawEnd,$G171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1" s="2">
        <f>LET(id,$A171,code,UPPER(TRIM($D171)),rawStart,$F171,rawEnd,$G171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1" s="2">
        <f>LET(id,$A171,code,UPPER(TRIM($D171)),rawStart,$F171,rawEnd,$G171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1" s="2">
        <f>LET(id,$A171,code,UPPER(TRIM($D171)),rawStart,$F171,rawEnd,$G171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1" s="2">
        <f>LET(id,$A171,code,UPPER(TRIM($D171)),rawStart,$F171,rawEnd,$G171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1" s="2">
        <f>LET(id,$A171,code,UPPER(TRIM($D171)),rawStart,$F171,rawEnd,$G171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1" s="2">
        <f>LET(id,$A171,code,UPPER(TRIM($D171)),rawStart,$F171,rawEnd,$G171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1" s="2">
        <f>LET(id,$A171,code,UPPER(TRIM($D171)),rawStart,$F171,rawEnd,$G171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1" s="2">
        <f>LET(id,$A171,code,UPPER(TRIM($D171)),rawStart,$F171,rawEnd,$G171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1" s="2">
        <f>LET(id,$A171,code,UPPER(TRIM($D171)),rawStart,$F171,rawEnd,$G171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1" s="2">
        <f>LET(id,$A171,code,UPPER(TRIM($D171)),rawStart,$F171,rawEnd,$G171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1" s="2">
        <f>LET(id,$A171,code,UPPER(TRIM($D171)),rawStart,$F171,rawEnd,$G171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1" s="2">
        <f>LET(id,$A171,code,UPPER(TRIM($D171)),rawStart,$F171,rawEnd,$G171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1" s="2">
        <f>LET(id,$A171,code,UPPER(TRIM($D171)),rawStart,$F171,rawEnd,$G171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1" s="2">
        <f>LET(id,$A171,code,UPPER(TRIM($D171)),rawStart,$F171,rawEnd,$G171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1" s="2">
        <f>LET(id,$A171,code,UPPER(TRIM($D171)),rawStart,$F171,rawEnd,$G171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1" s="2">
        <f>LET(id,$A171,code,UPPER(TRIM($D171)),rawStart,$F171,rawEnd,$G171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1" s="2">
        <f>LET(id,$A171,code,UPPER(TRIM($D171)),rawStart,$F171,rawEnd,$G171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1" s="2">
        <f>LET(id,$A171,code,UPPER(TRIM($D171)),rawStart,$F171,rawEnd,$G171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1" s="2">
        <f>LET(id,$A171,code,UPPER(TRIM($D171)),rawStart,$F171,rawEnd,$G171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1" s="2">
        <f>LET(id,$A171,code,UPPER(TRIM($D171)),rawStart,$F171,rawEnd,$G171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1" s="2">
        <f>LET(id,$A171,code,UPPER(TRIM($D171)),rawStart,$F171,rawEnd,$G171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1" s="2">
        <f>LET(id,$A171,code,UPPER(TRIM($D171)),rawStart,$F171,rawEnd,$G171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1" s="2">
        <f>LET(id,$A171,code,UPPER(TRIM($D171)),rawStart,$F171,rawEnd,$G171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71" s="2">
        <f>Calc_Engine!BD171</f>
        <v/>
      </c>
    </row>
    <row r="172">
      <c r="A172" s="2">
        <f>Calc_Engine!A172</f>
        <v/>
      </c>
      <c r="B172" s="2">
        <f>Calc_Engine!B172</f>
        <v/>
      </c>
      <c r="C172" s="2">
        <f>Calc_Engine!C172</f>
        <v/>
      </c>
      <c r="D172" s="2">
        <f>Calc_Engine!D172</f>
        <v/>
      </c>
      <c r="E172" s="4">
        <f>Calc_Engine!E172</f>
        <v/>
      </c>
      <c r="F172" s="5">
        <f>Calc_Engine!F172</f>
        <v/>
      </c>
      <c r="G172" s="5">
        <f>Calc_Engine!G172</f>
        <v/>
      </c>
      <c r="H172" s="2">
        <f>LET(id,$A172,code,UPPER(TRIM($D172)),rawStart,$F172,rawEnd,$G172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2" s="2">
        <f>LET(id,$A172,code,UPPER(TRIM($D172)),rawStart,$F172,rawEnd,$G172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2" s="2">
        <f>LET(id,$A172,code,UPPER(TRIM($D172)),rawStart,$F172,rawEnd,$G172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2" s="2">
        <f>LET(id,$A172,code,UPPER(TRIM($D172)),rawStart,$F172,rawEnd,$G172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2" s="2">
        <f>LET(id,$A172,code,UPPER(TRIM($D172)),rawStart,$F172,rawEnd,$G172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2" s="2">
        <f>LET(id,$A172,code,UPPER(TRIM($D172)),rawStart,$F172,rawEnd,$G172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2" s="2">
        <f>LET(id,$A172,code,UPPER(TRIM($D172)),rawStart,$F172,rawEnd,$G172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2" s="2">
        <f>LET(id,$A172,code,UPPER(TRIM($D172)),rawStart,$F172,rawEnd,$G172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2" s="2">
        <f>LET(id,$A172,code,UPPER(TRIM($D172)),rawStart,$F172,rawEnd,$G172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2" s="2">
        <f>LET(id,$A172,code,UPPER(TRIM($D172)),rawStart,$F172,rawEnd,$G172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2" s="2">
        <f>LET(id,$A172,code,UPPER(TRIM($D172)),rawStart,$F172,rawEnd,$G172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2" s="2">
        <f>LET(id,$A172,code,UPPER(TRIM($D172)),rawStart,$F172,rawEnd,$G172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2" s="2">
        <f>LET(id,$A172,code,UPPER(TRIM($D172)),rawStart,$F172,rawEnd,$G172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2" s="2">
        <f>LET(id,$A172,code,UPPER(TRIM($D172)),rawStart,$F172,rawEnd,$G172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2" s="2">
        <f>LET(id,$A172,code,UPPER(TRIM($D172)),rawStart,$F172,rawEnd,$G172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2" s="2">
        <f>LET(id,$A172,code,UPPER(TRIM($D172)),rawStart,$F172,rawEnd,$G172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2" s="2">
        <f>LET(id,$A172,code,UPPER(TRIM($D172)),rawStart,$F172,rawEnd,$G172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2" s="2">
        <f>LET(id,$A172,code,UPPER(TRIM($D172)),rawStart,$F172,rawEnd,$G172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2" s="2">
        <f>LET(id,$A172,code,UPPER(TRIM($D172)),rawStart,$F172,rawEnd,$G172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2" s="2">
        <f>LET(id,$A172,code,UPPER(TRIM($D172)),rawStart,$F172,rawEnd,$G172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2" s="2">
        <f>LET(id,$A172,code,UPPER(TRIM($D172)),rawStart,$F172,rawEnd,$G172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2" s="2">
        <f>LET(id,$A172,code,UPPER(TRIM($D172)),rawStart,$F172,rawEnd,$G172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2" s="2">
        <f>LET(id,$A172,code,UPPER(TRIM($D172)),rawStart,$F172,rawEnd,$G172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2" s="2">
        <f>LET(id,$A172,code,UPPER(TRIM($D172)),rawStart,$F172,rawEnd,$G172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2" s="2">
        <f>LET(id,$A172,code,UPPER(TRIM($D172)),rawStart,$F172,rawEnd,$G172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2" s="2">
        <f>LET(id,$A172,code,UPPER(TRIM($D172)),rawStart,$F172,rawEnd,$G172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2" s="2">
        <f>LET(id,$A172,code,UPPER(TRIM($D172)),rawStart,$F172,rawEnd,$G172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2" s="2">
        <f>LET(id,$A172,code,UPPER(TRIM($D172)),rawStart,$F172,rawEnd,$G172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2" s="2">
        <f>LET(id,$A172,code,UPPER(TRIM($D172)),rawStart,$F172,rawEnd,$G172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2" s="2">
        <f>LET(id,$A172,code,UPPER(TRIM($D172)),rawStart,$F172,rawEnd,$G172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2" s="2">
        <f>LET(id,$A172,code,UPPER(TRIM($D172)),rawStart,$F172,rawEnd,$G172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2" s="2">
        <f>LET(id,$A172,code,UPPER(TRIM($D172)),rawStart,$F172,rawEnd,$G172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2" s="2">
        <f>LET(id,$A172,code,UPPER(TRIM($D172)),rawStart,$F172,rawEnd,$G172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2" s="2">
        <f>LET(id,$A172,code,UPPER(TRIM($D172)),rawStart,$F172,rawEnd,$G172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2" s="2">
        <f>LET(id,$A172,code,UPPER(TRIM($D172)),rawStart,$F172,rawEnd,$G172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2" s="2">
        <f>LET(id,$A172,code,UPPER(TRIM($D172)),rawStart,$F172,rawEnd,$G172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2" s="2">
        <f>LET(id,$A172,code,UPPER(TRIM($D172)),rawStart,$F172,rawEnd,$G172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2" s="2">
        <f>LET(id,$A172,code,UPPER(TRIM($D172)),rawStart,$F172,rawEnd,$G172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2" s="2">
        <f>LET(id,$A172,code,UPPER(TRIM($D172)),rawStart,$F172,rawEnd,$G172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2" s="2">
        <f>LET(id,$A172,code,UPPER(TRIM($D172)),rawStart,$F172,rawEnd,$G172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2" s="2">
        <f>LET(id,$A172,code,UPPER(TRIM($D172)),rawStart,$F172,rawEnd,$G172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2" s="2">
        <f>LET(id,$A172,code,UPPER(TRIM($D172)),rawStart,$F172,rawEnd,$G172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2" s="2">
        <f>LET(id,$A172,code,UPPER(TRIM($D172)),rawStart,$F172,rawEnd,$G172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2" s="2">
        <f>LET(id,$A172,code,UPPER(TRIM($D172)),rawStart,$F172,rawEnd,$G172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2" s="2">
        <f>LET(id,$A172,code,UPPER(TRIM($D172)),rawStart,$F172,rawEnd,$G172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2" s="2">
        <f>LET(id,$A172,code,UPPER(TRIM($D172)),rawStart,$F172,rawEnd,$G172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2" s="2">
        <f>LET(id,$A172,code,UPPER(TRIM($D172)),rawStart,$F172,rawEnd,$G172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2" s="2">
        <f>LET(id,$A172,code,UPPER(TRIM($D172)),rawStart,$F172,rawEnd,$G172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72" s="2">
        <f>Calc_Engine!BD172</f>
        <v/>
      </c>
    </row>
    <row r="173">
      <c r="A173" s="2">
        <f>Calc_Engine!A173</f>
        <v/>
      </c>
      <c r="B173" s="2">
        <f>Calc_Engine!B173</f>
        <v/>
      </c>
      <c r="C173" s="2">
        <f>Calc_Engine!C173</f>
        <v/>
      </c>
      <c r="D173" s="2">
        <f>Calc_Engine!D173</f>
        <v/>
      </c>
      <c r="E173" s="4">
        <f>Calc_Engine!E173</f>
        <v/>
      </c>
      <c r="F173" s="5">
        <f>Calc_Engine!F173</f>
        <v/>
      </c>
      <c r="G173" s="5">
        <f>Calc_Engine!G173</f>
        <v/>
      </c>
      <c r="H173" s="2">
        <f>LET(id,$A173,code,UPPER(TRIM($D173)),rawStart,$F173,rawEnd,$G173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3" s="2">
        <f>LET(id,$A173,code,UPPER(TRIM($D173)),rawStart,$F173,rawEnd,$G173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3" s="2">
        <f>LET(id,$A173,code,UPPER(TRIM($D173)),rawStart,$F173,rawEnd,$G173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3" s="2">
        <f>LET(id,$A173,code,UPPER(TRIM($D173)),rawStart,$F173,rawEnd,$G173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3" s="2">
        <f>LET(id,$A173,code,UPPER(TRIM($D173)),rawStart,$F173,rawEnd,$G173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3" s="2">
        <f>LET(id,$A173,code,UPPER(TRIM($D173)),rawStart,$F173,rawEnd,$G173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3" s="2">
        <f>LET(id,$A173,code,UPPER(TRIM($D173)),rawStart,$F173,rawEnd,$G173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3" s="2">
        <f>LET(id,$A173,code,UPPER(TRIM($D173)),rawStart,$F173,rawEnd,$G173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3" s="2">
        <f>LET(id,$A173,code,UPPER(TRIM($D173)),rawStart,$F173,rawEnd,$G173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3" s="2">
        <f>LET(id,$A173,code,UPPER(TRIM($D173)),rawStart,$F173,rawEnd,$G173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3" s="2">
        <f>LET(id,$A173,code,UPPER(TRIM($D173)),rawStart,$F173,rawEnd,$G173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3" s="2">
        <f>LET(id,$A173,code,UPPER(TRIM($D173)),rawStart,$F173,rawEnd,$G173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3" s="2">
        <f>LET(id,$A173,code,UPPER(TRIM($D173)),rawStart,$F173,rawEnd,$G173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3" s="2">
        <f>LET(id,$A173,code,UPPER(TRIM($D173)),rawStart,$F173,rawEnd,$G173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3" s="2">
        <f>LET(id,$A173,code,UPPER(TRIM($D173)),rawStart,$F173,rawEnd,$G173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3" s="2">
        <f>LET(id,$A173,code,UPPER(TRIM($D173)),rawStart,$F173,rawEnd,$G173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3" s="2">
        <f>LET(id,$A173,code,UPPER(TRIM($D173)),rawStart,$F173,rawEnd,$G173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3" s="2">
        <f>LET(id,$A173,code,UPPER(TRIM($D173)),rawStart,$F173,rawEnd,$G173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3" s="2">
        <f>LET(id,$A173,code,UPPER(TRIM($D173)),rawStart,$F173,rawEnd,$G173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3" s="2">
        <f>LET(id,$A173,code,UPPER(TRIM($D173)),rawStart,$F173,rawEnd,$G173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3" s="2">
        <f>LET(id,$A173,code,UPPER(TRIM($D173)),rawStart,$F173,rawEnd,$G173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3" s="2">
        <f>LET(id,$A173,code,UPPER(TRIM($D173)),rawStart,$F173,rawEnd,$G173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3" s="2">
        <f>LET(id,$A173,code,UPPER(TRIM($D173)),rawStart,$F173,rawEnd,$G173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3" s="2">
        <f>LET(id,$A173,code,UPPER(TRIM($D173)),rawStart,$F173,rawEnd,$G173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3" s="2">
        <f>LET(id,$A173,code,UPPER(TRIM($D173)),rawStart,$F173,rawEnd,$G173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3" s="2">
        <f>LET(id,$A173,code,UPPER(TRIM($D173)),rawStart,$F173,rawEnd,$G173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3" s="2">
        <f>LET(id,$A173,code,UPPER(TRIM($D173)),rawStart,$F173,rawEnd,$G173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3" s="2">
        <f>LET(id,$A173,code,UPPER(TRIM($D173)),rawStart,$F173,rawEnd,$G173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3" s="2">
        <f>LET(id,$A173,code,UPPER(TRIM($D173)),rawStart,$F173,rawEnd,$G173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3" s="2">
        <f>LET(id,$A173,code,UPPER(TRIM($D173)),rawStart,$F173,rawEnd,$G173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3" s="2">
        <f>LET(id,$A173,code,UPPER(TRIM($D173)),rawStart,$F173,rawEnd,$G173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3" s="2">
        <f>LET(id,$A173,code,UPPER(TRIM($D173)),rawStart,$F173,rawEnd,$G173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3" s="2">
        <f>LET(id,$A173,code,UPPER(TRIM($D173)),rawStart,$F173,rawEnd,$G173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3" s="2">
        <f>LET(id,$A173,code,UPPER(TRIM($D173)),rawStart,$F173,rawEnd,$G173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3" s="2">
        <f>LET(id,$A173,code,UPPER(TRIM($D173)),rawStart,$F173,rawEnd,$G173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3" s="2">
        <f>LET(id,$A173,code,UPPER(TRIM($D173)),rawStart,$F173,rawEnd,$G173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3" s="2">
        <f>LET(id,$A173,code,UPPER(TRIM($D173)),rawStart,$F173,rawEnd,$G173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3" s="2">
        <f>LET(id,$A173,code,UPPER(TRIM($D173)),rawStart,$F173,rawEnd,$G173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3" s="2">
        <f>LET(id,$A173,code,UPPER(TRIM($D173)),rawStart,$F173,rawEnd,$G173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3" s="2">
        <f>LET(id,$A173,code,UPPER(TRIM($D173)),rawStart,$F173,rawEnd,$G173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3" s="2">
        <f>LET(id,$A173,code,UPPER(TRIM($D173)),rawStart,$F173,rawEnd,$G173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3" s="2">
        <f>LET(id,$A173,code,UPPER(TRIM($D173)),rawStart,$F173,rawEnd,$G173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3" s="2">
        <f>LET(id,$A173,code,UPPER(TRIM($D173)),rawStart,$F173,rawEnd,$G173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3" s="2">
        <f>LET(id,$A173,code,UPPER(TRIM($D173)),rawStart,$F173,rawEnd,$G173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3" s="2">
        <f>LET(id,$A173,code,UPPER(TRIM($D173)),rawStart,$F173,rawEnd,$G173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3" s="2">
        <f>LET(id,$A173,code,UPPER(TRIM($D173)),rawStart,$F173,rawEnd,$G173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3" s="2">
        <f>LET(id,$A173,code,UPPER(TRIM($D173)),rawStart,$F173,rawEnd,$G173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3" s="2">
        <f>LET(id,$A173,code,UPPER(TRIM($D173)),rawStart,$F173,rawEnd,$G173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73" s="2">
        <f>Calc_Engine!BD173</f>
        <v/>
      </c>
    </row>
    <row r="174">
      <c r="A174" s="2">
        <f>Calc_Engine!A174</f>
        <v/>
      </c>
      <c r="B174" s="2">
        <f>Calc_Engine!B174</f>
        <v/>
      </c>
      <c r="C174" s="2">
        <f>Calc_Engine!C174</f>
        <v/>
      </c>
      <c r="D174" s="2">
        <f>Calc_Engine!D174</f>
        <v/>
      </c>
      <c r="E174" s="4">
        <f>Calc_Engine!E174</f>
        <v/>
      </c>
      <c r="F174" s="5">
        <f>Calc_Engine!F174</f>
        <v/>
      </c>
      <c r="G174" s="5">
        <f>Calc_Engine!G174</f>
        <v/>
      </c>
      <c r="H174" s="2">
        <f>LET(id,$A174,code,UPPER(TRIM($D174)),rawStart,$F174,rawEnd,$G174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4" s="2">
        <f>LET(id,$A174,code,UPPER(TRIM($D174)),rawStart,$F174,rawEnd,$G174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4" s="2">
        <f>LET(id,$A174,code,UPPER(TRIM($D174)),rawStart,$F174,rawEnd,$G174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4" s="2">
        <f>LET(id,$A174,code,UPPER(TRIM($D174)),rawStart,$F174,rawEnd,$G174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4" s="2">
        <f>LET(id,$A174,code,UPPER(TRIM($D174)),rawStart,$F174,rawEnd,$G174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4" s="2">
        <f>LET(id,$A174,code,UPPER(TRIM($D174)),rawStart,$F174,rawEnd,$G174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4" s="2">
        <f>LET(id,$A174,code,UPPER(TRIM($D174)),rawStart,$F174,rawEnd,$G174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4" s="2">
        <f>LET(id,$A174,code,UPPER(TRIM($D174)),rawStart,$F174,rawEnd,$G174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4" s="2">
        <f>LET(id,$A174,code,UPPER(TRIM($D174)),rawStart,$F174,rawEnd,$G174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4" s="2">
        <f>LET(id,$A174,code,UPPER(TRIM($D174)),rawStart,$F174,rawEnd,$G174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4" s="2">
        <f>LET(id,$A174,code,UPPER(TRIM($D174)),rawStart,$F174,rawEnd,$G174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4" s="2">
        <f>LET(id,$A174,code,UPPER(TRIM($D174)),rawStart,$F174,rawEnd,$G174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4" s="2">
        <f>LET(id,$A174,code,UPPER(TRIM($D174)),rawStart,$F174,rawEnd,$G174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4" s="2">
        <f>LET(id,$A174,code,UPPER(TRIM($D174)),rawStart,$F174,rawEnd,$G174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4" s="2">
        <f>LET(id,$A174,code,UPPER(TRIM($D174)),rawStart,$F174,rawEnd,$G174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4" s="2">
        <f>LET(id,$A174,code,UPPER(TRIM($D174)),rawStart,$F174,rawEnd,$G174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4" s="2">
        <f>LET(id,$A174,code,UPPER(TRIM($D174)),rawStart,$F174,rawEnd,$G174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4" s="2">
        <f>LET(id,$A174,code,UPPER(TRIM($D174)),rawStart,$F174,rawEnd,$G174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4" s="2">
        <f>LET(id,$A174,code,UPPER(TRIM($D174)),rawStart,$F174,rawEnd,$G174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4" s="2">
        <f>LET(id,$A174,code,UPPER(TRIM($D174)),rawStart,$F174,rawEnd,$G174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4" s="2">
        <f>LET(id,$A174,code,UPPER(TRIM($D174)),rawStart,$F174,rawEnd,$G174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4" s="2">
        <f>LET(id,$A174,code,UPPER(TRIM($D174)),rawStart,$F174,rawEnd,$G174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4" s="2">
        <f>LET(id,$A174,code,UPPER(TRIM($D174)),rawStart,$F174,rawEnd,$G174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4" s="2">
        <f>LET(id,$A174,code,UPPER(TRIM($D174)),rawStart,$F174,rawEnd,$G174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4" s="2">
        <f>LET(id,$A174,code,UPPER(TRIM($D174)),rawStart,$F174,rawEnd,$G174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4" s="2">
        <f>LET(id,$A174,code,UPPER(TRIM($D174)),rawStart,$F174,rawEnd,$G174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4" s="2">
        <f>LET(id,$A174,code,UPPER(TRIM($D174)),rawStart,$F174,rawEnd,$G174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4" s="2">
        <f>LET(id,$A174,code,UPPER(TRIM($D174)),rawStart,$F174,rawEnd,$G174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4" s="2">
        <f>LET(id,$A174,code,UPPER(TRIM($D174)),rawStart,$F174,rawEnd,$G174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4" s="2">
        <f>LET(id,$A174,code,UPPER(TRIM($D174)),rawStart,$F174,rawEnd,$G174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4" s="2">
        <f>LET(id,$A174,code,UPPER(TRIM($D174)),rawStart,$F174,rawEnd,$G174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4" s="2">
        <f>LET(id,$A174,code,UPPER(TRIM($D174)),rawStart,$F174,rawEnd,$G174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4" s="2">
        <f>LET(id,$A174,code,UPPER(TRIM($D174)),rawStart,$F174,rawEnd,$G174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4" s="2">
        <f>LET(id,$A174,code,UPPER(TRIM($D174)),rawStart,$F174,rawEnd,$G174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4" s="2">
        <f>LET(id,$A174,code,UPPER(TRIM($D174)),rawStart,$F174,rawEnd,$G174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4" s="2">
        <f>LET(id,$A174,code,UPPER(TRIM($D174)),rawStart,$F174,rawEnd,$G174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4" s="2">
        <f>LET(id,$A174,code,UPPER(TRIM($D174)),rawStart,$F174,rawEnd,$G174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4" s="2">
        <f>LET(id,$A174,code,UPPER(TRIM($D174)),rawStart,$F174,rawEnd,$G174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4" s="2">
        <f>LET(id,$A174,code,UPPER(TRIM($D174)),rawStart,$F174,rawEnd,$G174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4" s="2">
        <f>LET(id,$A174,code,UPPER(TRIM($D174)),rawStart,$F174,rawEnd,$G174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4" s="2">
        <f>LET(id,$A174,code,UPPER(TRIM($D174)),rawStart,$F174,rawEnd,$G174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4" s="2">
        <f>LET(id,$A174,code,UPPER(TRIM($D174)),rawStart,$F174,rawEnd,$G174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4" s="2">
        <f>LET(id,$A174,code,UPPER(TRIM($D174)),rawStart,$F174,rawEnd,$G174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4" s="2">
        <f>LET(id,$A174,code,UPPER(TRIM($D174)),rawStart,$F174,rawEnd,$G174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4" s="2">
        <f>LET(id,$A174,code,UPPER(TRIM($D174)),rawStart,$F174,rawEnd,$G174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4" s="2">
        <f>LET(id,$A174,code,UPPER(TRIM($D174)),rawStart,$F174,rawEnd,$G174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4" s="2">
        <f>LET(id,$A174,code,UPPER(TRIM($D174)),rawStart,$F174,rawEnd,$G174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4" s="2">
        <f>LET(id,$A174,code,UPPER(TRIM($D174)),rawStart,$F174,rawEnd,$G174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74" s="2">
        <f>Calc_Engine!BD174</f>
        <v/>
      </c>
    </row>
    <row r="175">
      <c r="A175" s="2">
        <f>Calc_Engine!A175</f>
        <v/>
      </c>
      <c r="B175" s="2">
        <f>Calc_Engine!B175</f>
        <v/>
      </c>
      <c r="C175" s="2">
        <f>Calc_Engine!C175</f>
        <v/>
      </c>
      <c r="D175" s="2">
        <f>Calc_Engine!D175</f>
        <v/>
      </c>
      <c r="E175" s="4">
        <f>Calc_Engine!E175</f>
        <v/>
      </c>
      <c r="F175" s="5">
        <f>Calc_Engine!F175</f>
        <v/>
      </c>
      <c r="G175" s="5">
        <f>Calc_Engine!G175</f>
        <v/>
      </c>
      <c r="H175" s="2">
        <f>LET(id,$A175,code,UPPER(TRIM($D175)),rawStart,$F175,rawEnd,$G175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5" s="2">
        <f>LET(id,$A175,code,UPPER(TRIM($D175)),rawStart,$F175,rawEnd,$G175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5" s="2">
        <f>LET(id,$A175,code,UPPER(TRIM($D175)),rawStart,$F175,rawEnd,$G175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5" s="2">
        <f>LET(id,$A175,code,UPPER(TRIM($D175)),rawStart,$F175,rawEnd,$G175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5" s="2">
        <f>LET(id,$A175,code,UPPER(TRIM($D175)),rawStart,$F175,rawEnd,$G175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5" s="2">
        <f>LET(id,$A175,code,UPPER(TRIM($D175)),rawStart,$F175,rawEnd,$G175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5" s="2">
        <f>LET(id,$A175,code,UPPER(TRIM($D175)),rawStart,$F175,rawEnd,$G175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5" s="2">
        <f>LET(id,$A175,code,UPPER(TRIM($D175)),rawStart,$F175,rawEnd,$G175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5" s="2">
        <f>LET(id,$A175,code,UPPER(TRIM($D175)),rawStart,$F175,rawEnd,$G175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5" s="2">
        <f>LET(id,$A175,code,UPPER(TRIM($D175)),rawStart,$F175,rawEnd,$G175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5" s="2">
        <f>LET(id,$A175,code,UPPER(TRIM($D175)),rawStart,$F175,rawEnd,$G175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5" s="2">
        <f>LET(id,$A175,code,UPPER(TRIM($D175)),rawStart,$F175,rawEnd,$G175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5" s="2">
        <f>LET(id,$A175,code,UPPER(TRIM($D175)),rawStart,$F175,rawEnd,$G175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5" s="2">
        <f>LET(id,$A175,code,UPPER(TRIM($D175)),rawStart,$F175,rawEnd,$G175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5" s="2">
        <f>LET(id,$A175,code,UPPER(TRIM($D175)),rawStart,$F175,rawEnd,$G175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5" s="2">
        <f>LET(id,$A175,code,UPPER(TRIM($D175)),rawStart,$F175,rawEnd,$G175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5" s="2">
        <f>LET(id,$A175,code,UPPER(TRIM($D175)),rawStart,$F175,rawEnd,$G175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5" s="2">
        <f>LET(id,$A175,code,UPPER(TRIM($D175)),rawStart,$F175,rawEnd,$G175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5" s="2">
        <f>LET(id,$A175,code,UPPER(TRIM($D175)),rawStart,$F175,rawEnd,$G175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5" s="2">
        <f>LET(id,$A175,code,UPPER(TRIM($D175)),rawStart,$F175,rawEnd,$G175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5" s="2">
        <f>LET(id,$A175,code,UPPER(TRIM($D175)),rawStart,$F175,rawEnd,$G175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5" s="2">
        <f>LET(id,$A175,code,UPPER(TRIM($D175)),rawStart,$F175,rawEnd,$G175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5" s="2">
        <f>LET(id,$A175,code,UPPER(TRIM($D175)),rawStart,$F175,rawEnd,$G175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5" s="2">
        <f>LET(id,$A175,code,UPPER(TRIM($D175)),rawStart,$F175,rawEnd,$G175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5" s="2">
        <f>LET(id,$A175,code,UPPER(TRIM($D175)),rawStart,$F175,rawEnd,$G175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5" s="2">
        <f>LET(id,$A175,code,UPPER(TRIM($D175)),rawStart,$F175,rawEnd,$G175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5" s="2">
        <f>LET(id,$A175,code,UPPER(TRIM($D175)),rawStart,$F175,rawEnd,$G175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5" s="2">
        <f>LET(id,$A175,code,UPPER(TRIM($D175)),rawStart,$F175,rawEnd,$G175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5" s="2">
        <f>LET(id,$A175,code,UPPER(TRIM($D175)),rawStart,$F175,rawEnd,$G175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5" s="2">
        <f>LET(id,$A175,code,UPPER(TRIM($D175)),rawStart,$F175,rawEnd,$G175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5" s="2">
        <f>LET(id,$A175,code,UPPER(TRIM($D175)),rawStart,$F175,rawEnd,$G175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5" s="2">
        <f>LET(id,$A175,code,UPPER(TRIM($D175)),rawStart,$F175,rawEnd,$G175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5" s="2">
        <f>LET(id,$A175,code,UPPER(TRIM($D175)),rawStart,$F175,rawEnd,$G175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5" s="2">
        <f>LET(id,$A175,code,UPPER(TRIM($D175)),rawStart,$F175,rawEnd,$G175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5" s="2">
        <f>LET(id,$A175,code,UPPER(TRIM($D175)),rawStart,$F175,rawEnd,$G175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5" s="2">
        <f>LET(id,$A175,code,UPPER(TRIM($D175)),rawStart,$F175,rawEnd,$G175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5" s="2">
        <f>LET(id,$A175,code,UPPER(TRIM($D175)),rawStart,$F175,rawEnd,$G175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5" s="2">
        <f>LET(id,$A175,code,UPPER(TRIM($D175)),rawStart,$F175,rawEnd,$G175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5" s="2">
        <f>LET(id,$A175,code,UPPER(TRIM($D175)),rawStart,$F175,rawEnd,$G175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5" s="2">
        <f>LET(id,$A175,code,UPPER(TRIM($D175)),rawStart,$F175,rawEnd,$G175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5" s="2">
        <f>LET(id,$A175,code,UPPER(TRIM($D175)),rawStart,$F175,rawEnd,$G175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5" s="2">
        <f>LET(id,$A175,code,UPPER(TRIM($D175)),rawStart,$F175,rawEnd,$G175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5" s="2">
        <f>LET(id,$A175,code,UPPER(TRIM($D175)),rawStart,$F175,rawEnd,$G175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5" s="2">
        <f>LET(id,$A175,code,UPPER(TRIM($D175)),rawStart,$F175,rawEnd,$G175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5" s="2">
        <f>LET(id,$A175,code,UPPER(TRIM($D175)),rawStart,$F175,rawEnd,$G175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5" s="2">
        <f>LET(id,$A175,code,UPPER(TRIM($D175)),rawStart,$F175,rawEnd,$G175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5" s="2">
        <f>LET(id,$A175,code,UPPER(TRIM($D175)),rawStart,$F175,rawEnd,$G175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5" s="2">
        <f>LET(id,$A175,code,UPPER(TRIM($D175)),rawStart,$F175,rawEnd,$G175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75" s="2">
        <f>Calc_Engine!BD175</f>
        <v/>
      </c>
    </row>
    <row r="176">
      <c r="A176" s="2">
        <f>Calc_Engine!A176</f>
        <v/>
      </c>
      <c r="B176" s="2">
        <f>Calc_Engine!B176</f>
        <v/>
      </c>
      <c r="C176" s="2">
        <f>Calc_Engine!C176</f>
        <v/>
      </c>
      <c r="D176" s="2">
        <f>Calc_Engine!D176</f>
        <v/>
      </c>
      <c r="E176" s="4">
        <f>Calc_Engine!E176</f>
        <v/>
      </c>
      <c r="F176" s="5">
        <f>Calc_Engine!F176</f>
        <v/>
      </c>
      <c r="G176" s="5">
        <f>Calc_Engine!G176</f>
        <v/>
      </c>
      <c r="H176" s="2">
        <f>LET(id,$A176,code,UPPER(TRIM($D176)),rawStart,$F176,rawEnd,$G176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6" s="2">
        <f>LET(id,$A176,code,UPPER(TRIM($D176)),rawStart,$F176,rawEnd,$G176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6" s="2">
        <f>LET(id,$A176,code,UPPER(TRIM($D176)),rawStart,$F176,rawEnd,$G176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6" s="2">
        <f>LET(id,$A176,code,UPPER(TRIM($D176)),rawStart,$F176,rawEnd,$G176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6" s="2">
        <f>LET(id,$A176,code,UPPER(TRIM($D176)),rawStart,$F176,rawEnd,$G176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6" s="2">
        <f>LET(id,$A176,code,UPPER(TRIM($D176)),rawStart,$F176,rawEnd,$G176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6" s="2">
        <f>LET(id,$A176,code,UPPER(TRIM($D176)),rawStart,$F176,rawEnd,$G176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6" s="2">
        <f>LET(id,$A176,code,UPPER(TRIM($D176)),rawStart,$F176,rawEnd,$G176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6" s="2">
        <f>LET(id,$A176,code,UPPER(TRIM($D176)),rawStart,$F176,rawEnd,$G176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6" s="2">
        <f>LET(id,$A176,code,UPPER(TRIM($D176)),rawStart,$F176,rawEnd,$G176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6" s="2">
        <f>LET(id,$A176,code,UPPER(TRIM($D176)),rawStart,$F176,rawEnd,$G176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6" s="2">
        <f>LET(id,$A176,code,UPPER(TRIM($D176)),rawStart,$F176,rawEnd,$G176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6" s="2">
        <f>LET(id,$A176,code,UPPER(TRIM($D176)),rawStart,$F176,rawEnd,$G176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6" s="2">
        <f>LET(id,$A176,code,UPPER(TRIM($D176)),rawStart,$F176,rawEnd,$G176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6" s="2">
        <f>LET(id,$A176,code,UPPER(TRIM($D176)),rawStart,$F176,rawEnd,$G176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6" s="2">
        <f>LET(id,$A176,code,UPPER(TRIM($D176)),rawStart,$F176,rawEnd,$G176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6" s="2">
        <f>LET(id,$A176,code,UPPER(TRIM($D176)),rawStart,$F176,rawEnd,$G176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6" s="2">
        <f>LET(id,$A176,code,UPPER(TRIM($D176)),rawStart,$F176,rawEnd,$G176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6" s="2">
        <f>LET(id,$A176,code,UPPER(TRIM($D176)),rawStart,$F176,rawEnd,$G176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6" s="2">
        <f>LET(id,$A176,code,UPPER(TRIM($D176)),rawStart,$F176,rawEnd,$G176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6" s="2">
        <f>LET(id,$A176,code,UPPER(TRIM($D176)),rawStart,$F176,rawEnd,$G176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6" s="2">
        <f>LET(id,$A176,code,UPPER(TRIM($D176)),rawStart,$F176,rawEnd,$G176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6" s="2">
        <f>LET(id,$A176,code,UPPER(TRIM($D176)),rawStart,$F176,rawEnd,$G176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6" s="2">
        <f>LET(id,$A176,code,UPPER(TRIM($D176)),rawStart,$F176,rawEnd,$G176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6" s="2">
        <f>LET(id,$A176,code,UPPER(TRIM($D176)),rawStart,$F176,rawEnd,$G176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6" s="2">
        <f>LET(id,$A176,code,UPPER(TRIM($D176)),rawStart,$F176,rawEnd,$G176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6" s="2">
        <f>LET(id,$A176,code,UPPER(TRIM($D176)),rawStart,$F176,rawEnd,$G176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6" s="2">
        <f>LET(id,$A176,code,UPPER(TRIM($D176)),rawStart,$F176,rawEnd,$G176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6" s="2">
        <f>LET(id,$A176,code,UPPER(TRIM($D176)),rawStart,$F176,rawEnd,$G176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6" s="2">
        <f>LET(id,$A176,code,UPPER(TRIM($D176)),rawStart,$F176,rawEnd,$G176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6" s="2">
        <f>LET(id,$A176,code,UPPER(TRIM($D176)),rawStart,$F176,rawEnd,$G176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6" s="2">
        <f>LET(id,$A176,code,UPPER(TRIM($D176)),rawStart,$F176,rawEnd,$G176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6" s="2">
        <f>LET(id,$A176,code,UPPER(TRIM($D176)),rawStart,$F176,rawEnd,$G176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6" s="2">
        <f>LET(id,$A176,code,UPPER(TRIM($D176)),rawStart,$F176,rawEnd,$G176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6" s="2">
        <f>LET(id,$A176,code,UPPER(TRIM($D176)),rawStart,$F176,rawEnd,$G176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6" s="2">
        <f>LET(id,$A176,code,UPPER(TRIM($D176)),rawStart,$F176,rawEnd,$G176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6" s="2">
        <f>LET(id,$A176,code,UPPER(TRIM($D176)),rawStart,$F176,rawEnd,$G176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6" s="2">
        <f>LET(id,$A176,code,UPPER(TRIM($D176)),rawStart,$F176,rawEnd,$G176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6" s="2">
        <f>LET(id,$A176,code,UPPER(TRIM($D176)),rawStart,$F176,rawEnd,$G176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6" s="2">
        <f>LET(id,$A176,code,UPPER(TRIM($D176)),rawStart,$F176,rawEnd,$G176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6" s="2">
        <f>LET(id,$A176,code,UPPER(TRIM($D176)),rawStart,$F176,rawEnd,$G176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6" s="2">
        <f>LET(id,$A176,code,UPPER(TRIM($D176)),rawStart,$F176,rawEnd,$G176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6" s="2">
        <f>LET(id,$A176,code,UPPER(TRIM($D176)),rawStart,$F176,rawEnd,$G176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6" s="2">
        <f>LET(id,$A176,code,UPPER(TRIM($D176)),rawStart,$F176,rawEnd,$G176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6" s="2">
        <f>LET(id,$A176,code,UPPER(TRIM($D176)),rawStart,$F176,rawEnd,$G176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6" s="2">
        <f>LET(id,$A176,code,UPPER(TRIM($D176)),rawStart,$F176,rawEnd,$G176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6" s="2">
        <f>LET(id,$A176,code,UPPER(TRIM($D176)),rawStart,$F176,rawEnd,$G176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6" s="2">
        <f>LET(id,$A176,code,UPPER(TRIM($D176)),rawStart,$F176,rawEnd,$G176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76" s="2">
        <f>Calc_Engine!BD176</f>
        <v/>
      </c>
    </row>
    <row r="177">
      <c r="A177" s="2">
        <f>Calc_Engine!A177</f>
        <v/>
      </c>
      <c r="B177" s="2">
        <f>Calc_Engine!B177</f>
        <v/>
      </c>
      <c r="C177" s="2">
        <f>Calc_Engine!C177</f>
        <v/>
      </c>
      <c r="D177" s="2">
        <f>Calc_Engine!D177</f>
        <v/>
      </c>
      <c r="E177" s="4">
        <f>Calc_Engine!E177</f>
        <v/>
      </c>
      <c r="F177" s="5">
        <f>Calc_Engine!F177</f>
        <v/>
      </c>
      <c r="G177" s="5">
        <f>Calc_Engine!G177</f>
        <v/>
      </c>
      <c r="H177" s="2">
        <f>LET(id,$A177,code,UPPER(TRIM($D177)),rawStart,$F177,rawEnd,$G177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7" s="2">
        <f>LET(id,$A177,code,UPPER(TRIM($D177)),rawStart,$F177,rawEnd,$G177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7" s="2">
        <f>LET(id,$A177,code,UPPER(TRIM($D177)),rawStart,$F177,rawEnd,$G177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7" s="2">
        <f>LET(id,$A177,code,UPPER(TRIM($D177)),rawStart,$F177,rawEnd,$G177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7" s="2">
        <f>LET(id,$A177,code,UPPER(TRIM($D177)),rawStart,$F177,rawEnd,$G177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7" s="2">
        <f>LET(id,$A177,code,UPPER(TRIM($D177)),rawStart,$F177,rawEnd,$G177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7" s="2">
        <f>LET(id,$A177,code,UPPER(TRIM($D177)),rawStart,$F177,rawEnd,$G177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7" s="2">
        <f>LET(id,$A177,code,UPPER(TRIM($D177)),rawStart,$F177,rawEnd,$G177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7" s="2">
        <f>LET(id,$A177,code,UPPER(TRIM($D177)),rawStart,$F177,rawEnd,$G177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7" s="2">
        <f>LET(id,$A177,code,UPPER(TRIM($D177)),rawStart,$F177,rawEnd,$G177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7" s="2">
        <f>LET(id,$A177,code,UPPER(TRIM($D177)),rawStart,$F177,rawEnd,$G177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7" s="2">
        <f>LET(id,$A177,code,UPPER(TRIM($D177)),rawStart,$F177,rawEnd,$G177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7" s="2">
        <f>LET(id,$A177,code,UPPER(TRIM($D177)),rawStart,$F177,rawEnd,$G177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7" s="2">
        <f>LET(id,$A177,code,UPPER(TRIM($D177)),rawStart,$F177,rawEnd,$G177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7" s="2">
        <f>LET(id,$A177,code,UPPER(TRIM($D177)),rawStart,$F177,rawEnd,$G177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7" s="2">
        <f>LET(id,$A177,code,UPPER(TRIM($D177)),rawStart,$F177,rawEnd,$G177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7" s="2">
        <f>LET(id,$A177,code,UPPER(TRIM($D177)),rawStart,$F177,rawEnd,$G177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7" s="2">
        <f>LET(id,$A177,code,UPPER(TRIM($D177)),rawStart,$F177,rawEnd,$G177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7" s="2">
        <f>LET(id,$A177,code,UPPER(TRIM($D177)),rawStart,$F177,rawEnd,$G177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7" s="2">
        <f>LET(id,$A177,code,UPPER(TRIM($D177)),rawStart,$F177,rawEnd,$G177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7" s="2">
        <f>LET(id,$A177,code,UPPER(TRIM($D177)),rawStart,$F177,rawEnd,$G177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7" s="2">
        <f>LET(id,$A177,code,UPPER(TRIM($D177)),rawStart,$F177,rawEnd,$G177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7" s="2">
        <f>LET(id,$A177,code,UPPER(TRIM($D177)),rawStart,$F177,rawEnd,$G177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7" s="2">
        <f>LET(id,$A177,code,UPPER(TRIM($D177)),rawStart,$F177,rawEnd,$G177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7" s="2">
        <f>LET(id,$A177,code,UPPER(TRIM($D177)),rawStart,$F177,rawEnd,$G177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7" s="2">
        <f>LET(id,$A177,code,UPPER(TRIM($D177)),rawStart,$F177,rawEnd,$G177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7" s="2">
        <f>LET(id,$A177,code,UPPER(TRIM($D177)),rawStart,$F177,rawEnd,$G177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7" s="2">
        <f>LET(id,$A177,code,UPPER(TRIM($D177)),rawStart,$F177,rawEnd,$G177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7" s="2">
        <f>LET(id,$A177,code,UPPER(TRIM($D177)),rawStart,$F177,rawEnd,$G177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7" s="2">
        <f>LET(id,$A177,code,UPPER(TRIM($D177)),rawStart,$F177,rawEnd,$G177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7" s="2">
        <f>LET(id,$A177,code,UPPER(TRIM($D177)),rawStart,$F177,rawEnd,$G177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7" s="2">
        <f>LET(id,$A177,code,UPPER(TRIM($D177)),rawStart,$F177,rawEnd,$G177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7" s="2">
        <f>LET(id,$A177,code,UPPER(TRIM($D177)),rawStart,$F177,rawEnd,$G177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7" s="2">
        <f>LET(id,$A177,code,UPPER(TRIM($D177)),rawStart,$F177,rawEnd,$G177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7" s="2">
        <f>LET(id,$A177,code,UPPER(TRIM($D177)),rawStart,$F177,rawEnd,$G177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7" s="2">
        <f>LET(id,$A177,code,UPPER(TRIM($D177)),rawStart,$F177,rawEnd,$G177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7" s="2">
        <f>LET(id,$A177,code,UPPER(TRIM($D177)),rawStart,$F177,rawEnd,$G177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7" s="2">
        <f>LET(id,$A177,code,UPPER(TRIM($D177)),rawStart,$F177,rawEnd,$G177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7" s="2">
        <f>LET(id,$A177,code,UPPER(TRIM($D177)),rawStart,$F177,rawEnd,$G177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7" s="2">
        <f>LET(id,$A177,code,UPPER(TRIM($D177)),rawStart,$F177,rawEnd,$G177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7" s="2">
        <f>LET(id,$A177,code,UPPER(TRIM($D177)),rawStart,$F177,rawEnd,$G177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7" s="2">
        <f>LET(id,$A177,code,UPPER(TRIM($D177)),rawStart,$F177,rawEnd,$G177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7" s="2">
        <f>LET(id,$A177,code,UPPER(TRIM($D177)),rawStart,$F177,rawEnd,$G177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7" s="2">
        <f>LET(id,$A177,code,UPPER(TRIM($D177)),rawStart,$F177,rawEnd,$G177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7" s="2">
        <f>LET(id,$A177,code,UPPER(TRIM($D177)),rawStart,$F177,rawEnd,$G177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7" s="2">
        <f>LET(id,$A177,code,UPPER(TRIM($D177)),rawStart,$F177,rawEnd,$G177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7" s="2">
        <f>LET(id,$A177,code,UPPER(TRIM($D177)),rawStart,$F177,rawEnd,$G177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7" s="2">
        <f>LET(id,$A177,code,UPPER(TRIM($D177)),rawStart,$F177,rawEnd,$G177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77" s="2">
        <f>Calc_Engine!BD177</f>
        <v/>
      </c>
    </row>
    <row r="178">
      <c r="A178" s="2">
        <f>Calc_Engine!A178</f>
        <v/>
      </c>
      <c r="B178" s="2">
        <f>Calc_Engine!B178</f>
        <v/>
      </c>
      <c r="C178" s="2">
        <f>Calc_Engine!C178</f>
        <v/>
      </c>
      <c r="D178" s="2">
        <f>Calc_Engine!D178</f>
        <v/>
      </c>
      <c r="E178" s="4">
        <f>Calc_Engine!E178</f>
        <v/>
      </c>
      <c r="F178" s="5">
        <f>Calc_Engine!F178</f>
        <v/>
      </c>
      <c r="G178" s="5">
        <f>Calc_Engine!G178</f>
        <v/>
      </c>
      <c r="H178" s="2">
        <f>LET(id,$A178,code,UPPER(TRIM($D178)),rawStart,$F178,rawEnd,$G178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8" s="2">
        <f>LET(id,$A178,code,UPPER(TRIM($D178)),rawStart,$F178,rawEnd,$G178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8" s="2">
        <f>LET(id,$A178,code,UPPER(TRIM($D178)),rawStart,$F178,rawEnd,$G178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8" s="2">
        <f>LET(id,$A178,code,UPPER(TRIM($D178)),rawStart,$F178,rawEnd,$G178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8" s="2">
        <f>LET(id,$A178,code,UPPER(TRIM($D178)),rawStart,$F178,rawEnd,$G178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8" s="2">
        <f>LET(id,$A178,code,UPPER(TRIM($D178)),rawStart,$F178,rawEnd,$G178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8" s="2">
        <f>LET(id,$A178,code,UPPER(TRIM($D178)),rawStart,$F178,rawEnd,$G178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8" s="2">
        <f>LET(id,$A178,code,UPPER(TRIM($D178)),rawStart,$F178,rawEnd,$G178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8" s="2">
        <f>LET(id,$A178,code,UPPER(TRIM($D178)),rawStart,$F178,rawEnd,$G178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8" s="2">
        <f>LET(id,$A178,code,UPPER(TRIM($D178)),rawStart,$F178,rawEnd,$G178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8" s="2">
        <f>LET(id,$A178,code,UPPER(TRIM($D178)),rawStart,$F178,rawEnd,$G178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8" s="2">
        <f>LET(id,$A178,code,UPPER(TRIM($D178)),rawStart,$F178,rawEnd,$G178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8" s="2">
        <f>LET(id,$A178,code,UPPER(TRIM($D178)),rawStart,$F178,rawEnd,$G178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8" s="2">
        <f>LET(id,$A178,code,UPPER(TRIM($D178)),rawStart,$F178,rawEnd,$G178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8" s="2">
        <f>LET(id,$A178,code,UPPER(TRIM($D178)),rawStart,$F178,rawEnd,$G178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8" s="2">
        <f>LET(id,$A178,code,UPPER(TRIM($D178)),rawStart,$F178,rawEnd,$G178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8" s="2">
        <f>LET(id,$A178,code,UPPER(TRIM($D178)),rawStart,$F178,rawEnd,$G178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8" s="2">
        <f>LET(id,$A178,code,UPPER(TRIM($D178)),rawStart,$F178,rawEnd,$G178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8" s="2">
        <f>LET(id,$A178,code,UPPER(TRIM($D178)),rawStart,$F178,rawEnd,$G178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8" s="2">
        <f>LET(id,$A178,code,UPPER(TRIM($D178)),rawStart,$F178,rawEnd,$G178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8" s="2">
        <f>LET(id,$A178,code,UPPER(TRIM($D178)),rawStart,$F178,rawEnd,$G178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8" s="2">
        <f>LET(id,$A178,code,UPPER(TRIM($D178)),rawStart,$F178,rawEnd,$G178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8" s="2">
        <f>LET(id,$A178,code,UPPER(TRIM($D178)),rawStart,$F178,rawEnd,$G178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8" s="2">
        <f>LET(id,$A178,code,UPPER(TRIM($D178)),rawStart,$F178,rawEnd,$G178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8" s="2">
        <f>LET(id,$A178,code,UPPER(TRIM($D178)),rawStart,$F178,rawEnd,$G178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8" s="2">
        <f>LET(id,$A178,code,UPPER(TRIM($D178)),rawStart,$F178,rawEnd,$G178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8" s="2">
        <f>LET(id,$A178,code,UPPER(TRIM($D178)),rawStart,$F178,rawEnd,$G178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8" s="2">
        <f>LET(id,$A178,code,UPPER(TRIM($D178)),rawStart,$F178,rawEnd,$G178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8" s="2">
        <f>LET(id,$A178,code,UPPER(TRIM($D178)),rawStart,$F178,rawEnd,$G178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8" s="2">
        <f>LET(id,$A178,code,UPPER(TRIM($D178)),rawStart,$F178,rawEnd,$G178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8" s="2">
        <f>LET(id,$A178,code,UPPER(TRIM($D178)),rawStart,$F178,rawEnd,$G178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8" s="2">
        <f>LET(id,$A178,code,UPPER(TRIM($D178)),rawStart,$F178,rawEnd,$G178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8" s="2">
        <f>LET(id,$A178,code,UPPER(TRIM($D178)),rawStart,$F178,rawEnd,$G178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8" s="2">
        <f>LET(id,$A178,code,UPPER(TRIM($D178)),rawStart,$F178,rawEnd,$G178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8" s="2">
        <f>LET(id,$A178,code,UPPER(TRIM($D178)),rawStart,$F178,rawEnd,$G178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8" s="2">
        <f>LET(id,$A178,code,UPPER(TRIM($D178)),rawStart,$F178,rawEnd,$G178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8" s="2">
        <f>LET(id,$A178,code,UPPER(TRIM($D178)),rawStart,$F178,rawEnd,$G178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8" s="2">
        <f>LET(id,$A178,code,UPPER(TRIM($D178)),rawStart,$F178,rawEnd,$G178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8" s="2">
        <f>LET(id,$A178,code,UPPER(TRIM($D178)),rawStart,$F178,rawEnd,$G178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8" s="2">
        <f>LET(id,$A178,code,UPPER(TRIM($D178)),rawStart,$F178,rawEnd,$G178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8" s="2">
        <f>LET(id,$A178,code,UPPER(TRIM($D178)),rawStart,$F178,rawEnd,$G178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8" s="2">
        <f>LET(id,$A178,code,UPPER(TRIM($D178)),rawStart,$F178,rawEnd,$G178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8" s="2">
        <f>LET(id,$A178,code,UPPER(TRIM($D178)),rawStart,$F178,rawEnd,$G178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8" s="2">
        <f>LET(id,$A178,code,UPPER(TRIM($D178)),rawStart,$F178,rawEnd,$G178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8" s="2">
        <f>LET(id,$A178,code,UPPER(TRIM($D178)),rawStart,$F178,rawEnd,$G178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8" s="2">
        <f>LET(id,$A178,code,UPPER(TRIM($D178)),rawStart,$F178,rawEnd,$G178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8" s="2">
        <f>LET(id,$A178,code,UPPER(TRIM($D178)),rawStart,$F178,rawEnd,$G178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8" s="2">
        <f>LET(id,$A178,code,UPPER(TRIM($D178)),rawStart,$F178,rawEnd,$G178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78" s="2">
        <f>Calc_Engine!BD178</f>
        <v/>
      </c>
    </row>
    <row r="179">
      <c r="A179" s="2">
        <f>Calc_Engine!A179</f>
        <v/>
      </c>
      <c r="B179" s="2">
        <f>Calc_Engine!B179</f>
        <v/>
      </c>
      <c r="C179" s="2">
        <f>Calc_Engine!C179</f>
        <v/>
      </c>
      <c r="D179" s="2">
        <f>Calc_Engine!D179</f>
        <v/>
      </c>
      <c r="E179" s="4">
        <f>Calc_Engine!E179</f>
        <v/>
      </c>
      <c r="F179" s="5">
        <f>Calc_Engine!F179</f>
        <v/>
      </c>
      <c r="G179" s="5">
        <f>Calc_Engine!G179</f>
        <v/>
      </c>
      <c r="H179" s="2">
        <f>LET(id,$A179,code,UPPER(TRIM($D179)),rawStart,$F179,rawEnd,$G179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9" s="2">
        <f>LET(id,$A179,code,UPPER(TRIM($D179)),rawStart,$F179,rawEnd,$G179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9" s="2">
        <f>LET(id,$A179,code,UPPER(TRIM($D179)),rawStart,$F179,rawEnd,$G179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9" s="2">
        <f>LET(id,$A179,code,UPPER(TRIM($D179)),rawStart,$F179,rawEnd,$G179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9" s="2">
        <f>LET(id,$A179,code,UPPER(TRIM($D179)),rawStart,$F179,rawEnd,$G179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9" s="2">
        <f>LET(id,$A179,code,UPPER(TRIM($D179)),rawStart,$F179,rawEnd,$G179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9" s="2">
        <f>LET(id,$A179,code,UPPER(TRIM($D179)),rawStart,$F179,rawEnd,$G179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9" s="2">
        <f>LET(id,$A179,code,UPPER(TRIM($D179)),rawStart,$F179,rawEnd,$G179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9" s="2">
        <f>LET(id,$A179,code,UPPER(TRIM($D179)),rawStart,$F179,rawEnd,$G179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9" s="2">
        <f>LET(id,$A179,code,UPPER(TRIM($D179)),rawStart,$F179,rawEnd,$G179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9" s="2">
        <f>LET(id,$A179,code,UPPER(TRIM($D179)),rawStart,$F179,rawEnd,$G179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9" s="2">
        <f>LET(id,$A179,code,UPPER(TRIM($D179)),rawStart,$F179,rawEnd,$G179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9" s="2">
        <f>LET(id,$A179,code,UPPER(TRIM($D179)),rawStart,$F179,rawEnd,$G179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9" s="2">
        <f>LET(id,$A179,code,UPPER(TRIM($D179)),rawStart,$F179,rawEnd,$G179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9" s="2">
        <f>LET(id,$A179,code,UPPER(TRIM($D179)),rawStart,$F179,rawEnd,$G179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9" s="2">
        <f>LET(id,$A179,code,UPPER(TRIM($D179)),rawStart,$F179,rawEnd,$G179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9" s="2">
        <f>LET(id,$A179,code,UPPER(TRIM($D179)),rawStart,$F179,rawEnd,$G179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9" s="2">
        <f>LET(id,$A179,code,UPPER(TRIM($D179)),rawStart,$F179,rawEnd,$G179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9" s="2">
        <f>LET(id,$A179,code,UPPER(TRIM($D179)),rawStart,$F179,rawEnd,$G179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9" s="2">
        <f>LET(id,$A179,code,UPPER(TRIM($D179)),rawStart,$F179,rawEnd,$G179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9" s="2">
        <f>LET(id,$A179,code,UPPER(TRIM($D179)),rawStart,$F179,rawEnd,$G179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9" s="2">
        <f>LET(id,$A179,code,UPPER(TRIM($D179)),rawStart,$F179,rawEnd,$G179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9" s="2">
        <f>LET(id,$A179,code,UPPER(TRIM($D179)),rawStart,$F179,rawEnd,$G179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9" s="2">
        <f>LET(id,$A179,code,UPPER(TRIM($D179)),rawStart,$F179,rawEnd,$G179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9" s="2">
        <f>LET(id,$A179,code,UPPER(TRIM($D179)),rawStart,$F179,rawEnd,$G179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9" s="2">
        <f>LET(id,$A179,code,UPPER(TRIM($D179)),rawStart,$F179,rawEnd,$G179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9" s="2">
        <f>LET(id,$A179,code,UPPER(TRIM($D179)),rawStart,$F179,rawEnd,$G179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9" s="2">
        <f>LET(id,$A179,code,UPPER(TRIM($D179)),rawStart,$F179,rawEnd,$G179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9" s="2">
        <f>LET(id,$A179,code,UPPER(TRIM($D179)),rawStart,$F179,rawEnd,$G179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9" s="2">
        <f>LET(id,$A179,code,UPPER(TRIM($D179)),rawStart,$F179,rawEnd,$G179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9" s="2">
        <f>LET(id,$A179,code,UPPER(TRIM($D179)),rawStart,$F179,rawEnd,$G179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9" s="2">
        <f>LET(id,$A179,code,UPPER(TRIM($D179)),rawStart,$F179,rawEnd,$G179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9" s="2">
        <f>LET(id,$A179,code,UPPER(TRIM($D179)),rawStart,$F179,rawEnd,$G179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9" s="2">
        <f>LET(id,$A179,code,UPPER(TRIM($D179)),rawStart,$F179,rawEnd,$G179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9" s="2">
        <f>LET(id,$A179,code,UPPER(TRIM($D179)),rawStart,$F179,rawEnd,$G179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9" s="2">
        <f>LET(id,$A179,code,UPPER(TRIM($D179)),rawStart,$F179,rawEnd,$G179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9" s="2">
        <f>LET(id,$A179,code,UPPER(TRIM($D179)),rawStart,$F179,rawEnd,$G179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9" s="2">
        <f>LET(id,$A179,code,UPPER(TRIM($D179)),rawStart,$F179,rawEnd,$G179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9" s="2">
        <f>LET(id,$A179,code,UPPER(TRIM($D179)),rawStart,$F179,rawEnd,$G179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9" s="2">
        <f>LET(id,$A179,code,UPPER(TRIM($D179)),rawStart,$F179,rawEnd,$G179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9" s="2">
        <f>LET(id,$A179,code,UPPER(TRIM($D179)),rawStart,$F179,rawEnd,$G179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9" s="2">
        <f>LET(id,$A179,code,UPPER(TRIM($D179)),rawStart,$F179,rawEnd,$G179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9" s="2">
        <f>LET(id,$A179,code,UPPER(TRIM($D179)),rawStart,$F179,rawEnd,$G179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9" s="2">
        <f>LET(id,$A179,code,UPPER(TRIM($D179)),rawStart,$F179,rawEnd,$G179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9" s="2">
        <f>LET(id,$A179,code,UPPER(TRIM($D179)),rawStart,$F179,rawEnd,$G179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9" s="2">
        <f>LET(id,$A179,code,UPPER(TRIM($D179)),rawStart,$F179,rawEnd,$G179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9" s="2">
        <f>LET(id,$A179,code,UPPER(TRIM($D179)),rawStart,$F179,rawEnd,$G179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9" s="2">
        <f>LET(id,$A179,code,UPPER(TRIM($D179)),rawStart,$F179,rawEnd,$G179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79" s="2">
        <f>Calc_Engine!BD179</f>
        <v/>
      </c>
    </row>
    <row r="180">
      <c r="A180" s="2">
        <f>Calc_Engine!A180</f>
        <v/>
      </c>
      <c r="B180" s="2">
        <f>Calc_Engine!B180</f>
        <v/>
      </c>
      <c r="C180" s="2">
        <f>Calc_Engine!C180</f>
        <v/>
      </c>
      <c r="D180" s="2">
        <f>Calc_Engine!D180</f>
        <v/>
      </c>
      <c r="E180" s="4">
        <f>Calc_Engine!E180</f>
        <v/>
      </c>
      <c r="F180" s="5">
        <f>Calc_Engine!F180</f>
        <v/>
      </c>
      <c r="G180" s="5">
        <f>Calc_Engine!G180</f>
        <v/>
      </c>
      <c r="H180" s="2">
        <f>LET(id,$A180,code,UPPER(TRIM($D180)),rawStart,$F180,rawEnd,$G180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0" s="2">
        <f>LET(id,$A180,code,UPPER(TRIM($D180)),rawStart,$F180,rawEnd,$G180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0" s="2">
        <f>LET(id,$A180,code,UPPER(TRIM($D180)),rawStart,$F180,rawEnd,$G180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0" s="2">
        <f>LET(id,$A180,code,UPPER(TRIM($D180)),rawStart,$F180,rawEnd,$G180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0" s="2">
        <f>LET(id,$A180,code,UPPER(TRIM($D180)),rawStart,$F180,rawEnd,$G180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0" s="2">
        <f>LET(id,$A180,code,UPPER(TRIM($D180)),rawStart,$F180,rawEnd,$G180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0" s="2">
        <f>LET(id,$A180,code,UPPER(TRIM($D180)),rawStart,$F180,rawEnd,$G180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0" s="2">
        <f>LET(id,$A180,code,UPPER(TRIM($D180)),rawStart,$F180,rawEnd,$G180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0" s="2">
        <f>LET(id,$A180,code,UPPER(TRIM($D180)),rawStart,$F180,rawEnd,$G180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0" s="2">
        <f>LET(id,$A180,code,UPPER(TRIM($D180)),rawStart,$F180,rawEnd,$G180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0" s="2">
        <f>LET(id,$A180,code,UPPER(TRIM($D180)),rawStart,$F180,rawEnd,$G180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0" s="2">
        <f>LET(id,$A180,code,UPPER(TRIM($D180)),rawStart,$F180,rawEnd,$G180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0" s="2">
        <f>LET(id,$A180,code,UPPER(TRIM($D180)),rawStart,$F180,rawEnd,$G180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0" s="2">
        <f>LET(id,$A180,code,UPPER(TRIM($D180)),rawStart,$F180,rawEnd,$G180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0" s="2">
        <f>LET(id,$A180,code,UPPER(TRIM($D180)),rawStart,$F180,rawEnd,$G180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0" s="2">
        <f>LET(id,$A180,code,UPPER(TRIM($D180)),rawStart,$F180,rawEnd,$G180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0" s="2">
        <f>LET(id,$A180,code,UPPER(TRIM($D180)),rawStart,$F180,rawEnd,$G180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0" s="2">
        <f>LET(id,$A180,code,UPPER(TRIM($D180)),rawStart,$F180,rawEnd,$G180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0" s="2">
        <f>LET(id,$A180,code,UPPER(TRIM($D180)),rawStart,$F180,rawEnd,$G180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0" s="2">
        <f>LET(id,$A180,code,UPPER(TRIM($D180)),rawStart,$F180,rawEnd,$G180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0" s="2">
        <f>LET(id,$A180,code,UPPER(TRIM($D180)),rawStart,$F180,rawEnd,$G180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0" s="2">
        <f>LET(id,$A180,code,UPPER(TRIM($D180)),rawStart,$F180,rawEnd,$G180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0" s="2">
        <f>LET(id,$A180,code,UPPER(TRIM($D180)),rawStart,$F180,rawEnd,$G180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0" s="2">
        <f>LET(id,$A180,code,UPPER(TRIM($D180)),rawStart,$F180,rawEnd,$G180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0" s="2">
        <f>LET(id,$A180,code,UPPER(TRIM($D180)),rawStart,$F180,rawEnd,$G180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0" s="2">
        <f>LET(id,$A180,code,UPPER(TRIM($D180)),rawStart,$F180,rawEnd,$G180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0" s="2">
        <f>LET(id,$A180,code,UPPER(TRIM($D180)),rawStart,$F180,rawEnd,$G180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0" s="2">
        <f>LET(id,$A180,code,UPPER(TRIM($D180)),rawStart,$F180,rawEnd,$G180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0" s="2">
        <f>LET(id,$A180,code,UPPER(TRIM($D180)),rawStart,$F180,rawEnd,$G180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0" s="2">
        <f>LET(id,$A180,code,UPPER(TRIM($D180)),rawStart,$F180,rawEnd,$G180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0" s="2">
        <f>LET(id,$A180,code,UPPER(TRIM($D180)),rawStart,$F180,rawEnd,$G180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0" s="2">
        <f>LET(id,$A180,code,UPPER(TRIM($D180)),rawStart,$F180,rawEnd,$G180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0" s="2">
        <f>LET(id,$A180,code,UPPER(TRIM($D180)),rawStart,$F180,rawEnd,$G180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0" s="2">
        <f>LET(id,$A180,code,UPPER(TRIM($D180)),rawStart,$F180,rawEnd,$G180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0" s="2">
        <f>LET(id,$A180,code,UPPER(TRIM($D180)),rawStart,$F180,rawEnd,$G180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0" s="2">
        <f>LET(id,$A180,code,UPPER(TRIM($D180)),rawStart,$F180,rawEnd,$G180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0" s="2">
        <f>LET(id,$A180,code,UPPER(TRIM($D180)),rawStart,$F180,rawEnd,$G180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0" s="2">
        <f>LET(id,$A180,code,UPPER(TRIM($D180)),rawStart,$F180,rawEnd,$G180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0" s="2">
        <f>LET(id,$A180,code,UPPER(TRIM($D180)),rawStart,$F180,rawEnd,$G180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0" s="2">
        <f>LET(id,$A180,code,UPPER(TRIM($D180)),rawStart,$F180,rawEnd,$G180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0" s="2">
        <f>LET(id,$A180,code,UPPER(TRIM($D180)),rawStart,$F180,rawEnd,$G180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0" s="2">
        <f>LET(id,$A180,code,UPPER(TRIM($D180)),rawStart,$F180,rawEnd,$G180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0" s="2">
        <f>LET(id,$A180,code,UPPER(TRIM($D180)),rawStart,$F180,rawEnd,$G180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0" s="2">
        <f>LET(id,$A180,code,UPPER(TRIM($D180)),rawStart,$F180,rawEnd,$G180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0" s="2">
        <f>LET(id,$A180,code,UPPER(TRIM($D180)),rawStart,$F180,rawEnd,$G180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0" s="2">
        <f>LET(id,$A180,code,UPPER(TRIM($D180)),rawStart,$F180,rawEnd,$G180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0" s="2">
        <f>LET(id,$A180,code,UPPER(TRIM($D180)),rawStart,$F180,rawEnd,$G180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0" s="2">
        <f>LET(id,$A180,code,UPPER(TRIM($D180)),rawStart,$F180,rawEnd,$G180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80" s="2">
        <f>Calc_Engine!BD180</f>
        <v/>
      </c>
    </row>
    <row r="181">
      <c r="A181" s="2">
        <f>Calc_Engine!A181</f>
        <v/>
      </c>
      <c r="B181" s="2">
        <f>Calc_Engine!B181</f>
        <v/>
      </c>
      <c r="C181" s="2">
        <f>Calc_Engine!C181</f>
        <v/>
      </c>
      <c r="D181" s="2">
        <f>Calc_Engine!D181</f>
        <v/>
      </c>
      <c r="E181" s="4">
        <f>Calc_Engine!E181</f>
        <v/>
      </c>
      <c r="F181" s="5">
        <f>Calc_Engine!F181</f>
        <v/>
      </c>
      <c r="G181" s="5">
        <f>Calc_Engine!G181</f>
        <v/>
      </c>
      <c r="H181" s="2">
        <f>LET(id,$A181,code,UPPER(TRIM($D181)),rawStart,$F181,rawEnd,$G181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1" s="2">
        <f>LET(id,$A181,code,UPPER(TRIM($D181)),rawStart,$F181,rawEnd,$G181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1" s="2">
        <f>LET(id,$A181,code,UPPER(TRIM($D181)),rawStart,$F181,rawEnd,$G181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1" s="2">
        <f>LET(id,$A181,code,UPPER(TRIM($D181)),rawStart,$F181,rawEnd,$G181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1" s="2">
        <f>LET(id,$A181,code,UPPER(TRIM($D181)),rawStart,$F181,rawEnd,$G181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1" s="2">
        <f>LET(id,$A181,code,UPPER(TRIM($D181)),rawStart,$F181,rawEnd,$G181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1" s="2">
        <f>LET(id,$A181,code,UPPER(TRIM($D181)),rawStart,$F181,rawEnd,$G181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1" s="2">
        <f>LET(id,$A181,code,UPPER(TRIM($D181)),rawStart,$F181,rawEnd,$G181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1" s="2">
        <f>LET(id,$A181,code,UPPER(TRIM($D181)),rawStart,$F181,rawEnd,$G181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1" s="2">
        <f>LET(id,$A181,code,UPPER(TRIM($D181)),rawStart,$F181,rawEnd,$G181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1" s="2">
        <f>LET(id,$A181,code,UPPER(TRIM($D181)),rawStart,$F181,rawEnd,$G181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1" s="2">
        <f>LET(id,$A181,code,UPPER(TRIM($D181)),rawStart,$F181,rawEnd,$G181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1" s="2">
        <f>LET(id,$A181,code,UPPER(TRIM($D181)),rawStart,$F181,rawEnd,$G181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1" s="2">
        <f>LET(id,$A181,code,UPPER(TRIM($D181)),rawStart,$F181,rawEnd,$G181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1" s="2">
        <f>LET(id,$A181,code,UPPER(TRIM($D181)),rawStart,$F181,rawEnd,$G181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1" s="2">
        <f>LET(id,$A181,code,UPPER(TRIM($D181)),rawStart,$F181,rawEnd,$G181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1" s="2">
        <f>LET(id,$A181,code,UPPER(TRIM($D181)),rawStart,$F181,rawEnd,$G181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1" s="2">
        <f>LET(id,$A181,code,UPPER(TRIM($D181)),rawStart,$F181,rawEnd,$G181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1" s="2">
        <f>LET(id,$A181,code,UPPER(TRIM($D181)),rawStart,$F181,rawEnd,$G181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1" s="2">
        <f>LET(id,$A181,code,UPPER(TRIM($D181)),rawStart,$F181,rawEnd,$G181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1" s="2">
        <f>LET(id,$A181,code,UPPER(TRIM($D181)),rawStart,$F181,rawEnd,$G181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1" s="2">
        <f>LET(id,$A181,code,UPPER(TRIM($D181)),rawStart,$F181,rawEnd,$G181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1" s="2">
        <f>LET(id,$A181,code,UPPER(TRIM($D181)),rawStart,$F181,rawEnd,$G181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1" s="2">
        <f>LET(id,$A181,code,UPPER(TRIM($D181)),rawStart,$F181,rawEnd,$G181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1" s="2">
        <f>LET(id,$A181,code,UPPER(TRIM($D181)),rawStart,$F181,rawEnd,$G181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1" s="2">
        <f>LET(id,$A181,code,UPPER(TRIM($D181)),rawStart,$F181,rawEnd,$G181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1" s="2">
        <f>LET(id,$A181,code,UPPER(TRIM($D181)),rawStart,$F181,rawEnd,$G181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1" s="2">
        <f>LET(id,$A181,code,UPPER(TRIM($D181)),rawStart,$F181,rawEnd,$G181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1" s="2">
        <f>LET(id,$A181,code,UPPER(TRIM($D181)),rawStart,$F181,rawEnd,$G181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1" s="2">
        <f>LET(id,$A181,code,UPPER(TRIM($D181)),rawStart,$F181,rawEnd,$G181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1" s="2">
        <f>LET(id,$A181,code,UPPER(TRIM($D181)),rawStart,$F181,rawEnd,$G181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1" s="2">
        <f>LET(id,$A181,code,UPPER(TRIM($D181)),rawStart,$F181,rawEnd,$G181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1" s="2">
        <f>LET(id,$A181,code,UPPER(TRIM($D181)),rawStart,$F181,rawEnd,$G181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1" s="2">
        <f>LET(id,$A181,code,UPPER(TRIM($D181)),rawStart,$F181,rawEnd,$G181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1" s="2">
        <f>LET(id,$A181,code,UPPER(TRIM($D181)),rawStart,$F181,rawEnd,$G181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1" s="2">
        <f>LET(id,$A181,code,UPPER(TRIM($D181)),rawStart,$F181,rawEnd,$G181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1" s="2">
        <f>LET(id,$A181,code,UPPER(TRIM($D181)),rawStart,$F181,rawEnd,$G181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1" s="2">
        <f>LET(id,$A181,code,UPPER(TRIM($D181)),rawStart,$F181,rawEnd,$G181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1" s="2">
        <f>LET(id,$A181,code,UPPER(TRIM($D181)),rawStart,$F181,rawEnd,$G181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1" s="2">
        <f>LET(id,$A181,code,UPPER(TRIM($D181)),rawStart,$F181,rawEnd,$G181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1" s="2">
        <f>LET(id,$A181,code,UPPER(TRIM($D181)),rawStart,$F181,rawEnd,$G181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1" s="2">
        <f>LET(id,$A181,code,UPPER(TRIM($D181)),rawStart,$F181,rawEnd,$G181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1" s="2">
        <f>LET(id,$A181,code,UPPER(TRIM($D181)),rawStart,$F181,rawEnd,$G181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1" s="2">
        <f>LET(id,$A181,code,UPPER(TRIM($D181)),rawStart,$F181,rawEnd,$G181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1" s="2">
        <f>LET(id,$A181,code,UPPER(TRIM($D181)),rawStart,$F181,rawEnd,$G181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1" s="2">
        <f>LET(id,$A181,code,UPPER(TRIM($D181)),rawStart,$F181,rawEnd,$G181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1" s="2">
        <f>LET(id,$A181,code,UPPER(TRIM($D181)),rawStart,$F181,rawEnd,$G181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1" s="2">
        <f>LET(id,$A181,code,UPPER(TRIM($D181)),rawStart,$F181,rawEnd,$G181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81" s="2">
        <f>Calc_Engine!BD181</f>
        <v/>
      </c>
    </row>
    <row r="182">
      <c r="A182" s="2">
        <f>Calc_Engine!A182</f>
        <v/>
      </c>
      <c r="B182" s="2">
        <f>Calc_Engine!B182</f>
        <v/>
      </c>
      <c r="C182" s="2">
        <f>Calc_Engine!C182</f>
        <v/>
      </c>
      <c r="D182" s="2">
        <f>Calc_Engine!D182</f>
        <v/>
      </c>
      <c r="E182" s="4">
        <f>Calc_Engine!E182</f>
        <v/>
      </c>
      <c r="F182" s="5">
        <f>Calc_Engine!F182</f>
        <v/>
      </c>
      <c r="G182" s="5">
        <f>Calc_Engine!G182</f>
        <v/>
      </c>
      <c r="H182" s="2">
        <f>LET(id,$A182,code,UPPER(TRIM($D182)),rawStart,$F182,rawEnd,$G182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2" s="2">
        <f>LET(id,$A182,code,UPPER(TRIM($D182)),rawStart,$F182,rawEnd,$G182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2" s="2">
        <f>LET(id,$A182,code,UPPER(TRIM($D182)),rawStart,$F182,rawEnd,$G182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2" s="2">
        <f>LET(id,$A182,code,UPPER(TRIM($D182)),rawStart,$F182,rawEnd,$G182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2" s="2">
        <f>LET(id,$A182,code,UPPER(TRIM($D182)),rawStart,$F182,rawEnd,$G182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2" s="2">
        <f>LET(id,$A182,code,UPPER(TRIM($D182)),rawStart,$F182,rawEnd,$G182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2" s="2">
        <f>LET(id,$A182,code,UPPER(TRIM($D182)),rawStart,$F182,rawEnd,$G182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2" s="2">
        <f>LET(id,$A182,code,UPPER(TRIM($D182)),rawStart,$F182,rawEnd,$G182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2" s="2">
        <f>LET(id,$A182,code,UPPER(TRIM($D182)),rawStart,$F182,rawEnd,$G182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2" s="2">
        <f>LET(id,$A182,code,UPPER(TRIM($D182)),rawStart,$F182,rawEnd,$G182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2" s="2">
        <f>LET(id,$A182,code,UPPER(TRIM($D182)),rawStart,$F182,rawEnd,$G182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2" s="2">
        <f>LET(id,$A182,code,UPPER(TRIM($D182)),rawStart,$F182,rawEnd,$G182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2" s="2">
        <f>LET(id,$A182,code,UPPER(TRIM($D182)),rawStart,$F182,rawEnd,$G182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2" s="2">
        <f>LET(id,$A182,code,UPPER(TRIM($D182)),rawStart,$F182,rawEnd,$G182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2" s="2">
        <f>LET(id,$A182,code,UPPER(TRIM($D182)),rawStart,$F182,rawEnd,$G182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2" s="2">
        <f>LET(id,$A182,code,UPPER(TRIM($D182)),rawStart,$F182,rawEnd,$G182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2" s="2">
        <f>LET(id,$A182,code,UPPER(TRIM($D182)),rawStart,$F182,rawEnd,$G182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2" s="2">
        <f>LET(id,$A182,code,UPPER(TRIM($D182)),rawStart,$F182,rawEnd,$G182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2" s="2">
        <f>LET(id,$A182,code,UPPER(TRIM($D182)),rawStart,$F182,rawEnd,$G182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2" s="2">
        <f>LET(id,$A182,code,UPPER(TRIM($D182)),rawStart,$F182,rawEnd,$G182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2" s="2">
        <f>LET(id,$A182,code,UPPER(TRIM($D182)),rawStart,$F182,rawEnd,$G182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2" s="2">
        <f>LET(id,$A182,code,UPPER(TRIM($D182)),rawStart,$F182,rawEnd,$G182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2" s="2">
        <f>LET(id,$A182,code,UPPER(TRIM($D182)),rawStart,$F182,rawEnd,$G182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2" s="2">
        <f>LET(id,$A182,code,UPPER(TRIM($D182)),rawStart,$F182,rawEnd,$G182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2" s="2">
        <f>LET(id,$A182,code,UPPER(TRIM($D182)),rawStart,$F182,rawEnd,$G182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2" s="2">
        <f>LET(id,$A182,code,UPPER(TRIM($D182)),rawStart,$F182,rawEnd,$G182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2" s="2">
        <f>LET(id,$A182,code,UPPER(TRIM($D182)),rawStart,$F182,rawEnd,$G182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2" s="2">
        <f>LET(id,$A182,code,UPPER(TRIM($D182)),rawStart,$F182,rawEnd,$G182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2" s="2">
        <f>LET(id,$A182,code,UPPER(TRIM($D182)),rawStart,$F182,rawEnd,$G182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2" s="2">
        <f>LET(id,$A182,code,UPPER(TRIM($D182)),rawStart,$F182,rawEnd,$G182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2" s="2">
        <f>LET(id,$A182,code,UPPER(TRIM($D182)),rawStart,$F182,rawEnd,$G182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2" s="2">
        <f>LET(id,$A182,code,UPPER(TRIM($D182)),rawStart,$F182,rawEnd,$G182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2" s="2">
        <f>LET(id,$A182,code,UPPER(TRIM($D182)),rawStart,$F182,rawEnd,$G182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2" s="2">
        <f>LET(id,$A182,code,UPPER(TRIM($D182)),rawStart,$F182,rawEnd,$G182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2" s="2">
        <f>LET(id,$A182,code,UPPER(TRIM($D182)),rawStart,$F182,rawEnd,$G182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2" s="2">
        <f>LET(id,$A182,code,UPPER(TRIM($D182)),rawStart,$F182,rawEnd,$G182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2" s="2">
        <f>LET(id,$A182,code,UPPER(TRIM($D182)),rawStart,$F182,rawEnd,$G182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2" s="2">
        <f>LET(id,$A182,code,UPPER(TRIM($D182)),rawStart,$F182,rawEnd,$G182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2" s="2">
        <f>LET(id,$A182,code,UPPER(TRIM($D182)),rawStart,$F182,rawEnd,$G182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2" s="2">
        <f>LET(id,$A182,code,UPPER(TRIM($D182)),rawStart,$F182,rawEnd,$G182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2" s="2">
        <f>LET(id,$A182,code,UPPER(TRIM($D182)),rawStart,$F182,rawEnd,$G182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2" s="2">
        <f>LET(id,$A182,code,UPPER(TRIM($D182)),rawStart,$F182,rawEnd,$G182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2" s="2">
        <f>LET(id,$A182,code,UPPER(TRIM($D182)),rawStart,$F182,rawEnd,$G182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2" s="2">
        <f>LET(id,$A182,code,UPPER(TRIM($D182)),rawStart,$F182,rawEnd,$G182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2" s="2">
        <f>LET(id,$A182,code,UPPER(TRIM($D182)),rawStart,$F182,rawEnd,$G182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2" s="2">
        <f>LET(id,$A182,code,UPPER(TRIM($D182)),rawStart,$F182,rawEnd,$G182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2" s="2">
        <f>LET(id,$A182,code,UPPER(TRIM($D182)),rawStart,$F182,rawEnd,$G182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2" s="2">
        <f>LET(id,$A182,code,UPPER(TRIM($D182)),rawStart,$F182,rawEnd,$G182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82" s="2">
        <f>Calc_Engine!BD182</f>
        <v/>
      </c>
    </row>
    <row r="183">
      <c r="A183" s="2">
        <f>Calc_Engine!A183</f>
        <v/>
      </c>
      <c r="B183" s="2">
        <f>Calc_Engine!B183</f>
        <v/>
      </c>
      <c r="C183" s="2">
        <f>Calc_Engine!C183</f>
        <v/>
      </c>
      <c r="D183" s="2">
        <f>Calc_Engine!D183</f>
        <v/>
      </c>
      <c r="E183" s="4">
        <f>Calc_Engine!E183</f>
        <v/>
      </c>
      <c r="F183" s="5">
        <f>Calc_Engine!F183</f>
        <v/>
      </c>
      <c r="G183" s="5">
        <f>Calc_Engine!G183</f>
        <v/>
      </c>
      <c r="H183" s="2">
        <f>LET(id,$A183,code,UPPER(TRIM($D183)),rawStart,$F183,rawEnd,$G183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3" s="2">
        <f>LET(id,$A183,code,UPPER(TRIM($D183)),rawStart,$F183,rawEnd,$G183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3" s="2">
        <f>LET(id,$A183,code,UPPER(TRIM($D183)),rawStart,$F183,rawEnd,$G183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3" s="2">
        <f>LET(id,$A183,code,UPPER(TRIM($D183)),rawStart,$F183,rawEnd,$G183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3" s="2">
        <f>LET(id,$A183,code,UPPER(TRIM($D183)),rawStart,$F183,rawEnd,$G183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3" s="2">
        <f>LET(id,$A183,code,UPPER(TRIM($D183)),rawStart,$F183,rawEnd,$G183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3" s="2">
        <f>LET(id,$A183,code,UPPER(TRIM($D183)),rawStart,$F183,rawEnd,$G183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3" s="2">
        <f>LET(id,$A183,code,UPPER(TRIM($D183)),rawStart,$F183,rawEnd,$G183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3" s="2">
        <f>LET(id,$A183,code,UPPER(TRIM($D183)),rawStart,$F183,rawEnd,$G183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3" s="2">
        <f>LET(id,$A183,code,UPPER(TRIM($D183)),rawStart,$F183,rawEnd,$G183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3" s="2">
        <f>LET(id,$A183,code,UPPER(TRIM($D183)),rawStart,$F183,rawEnd,$G183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3" s="2">
        <f>LET(id,$A183,code,UPPER(TRIM($D183)),rawStart,$F183,rawEnd,$G183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3" s="2">
        <f>LET(id,$A183,code,UPPER(TRIM($D183)),rawStart,$F183,rawEnd,$G183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3" s="2">
        <f>LET(id,$A183,code,UPPER(TRIM($D183)),rawStart,$F183,rawEnd,$G183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3" s="2">
        <f>LET(id,$A183,code,UPPER(TRIM($D183)),rawStart,$F183,rawEnd,$G183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3" s="2">
        <f>LET(id,$A183,code,UPPER(TRIM($D183)),rawStart,$F183,rawEnd,$G183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3" s="2">
        <f>LET(id,$A183,code,UPPER(TRIM($D183)),rawStart,$F183,rawEnd,$G183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3" s="2">
        <f>LET(id,$A183,code,UPPER(TRIM($D183)),rawStart,$F183,rawEnd,$G183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3" s="2">
        <f>LET(id,$A183,code,UPPER(TRIM($D183)),rawStart,$F183,rawEnd,$G183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3" s="2">
        <f>LET(id,$A183,code,UPPER(TRIM($D183)),rawStart,$F183,rawEnd,$G183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3" s="2">
        <f>LET(id,$A183,code,UPPER(TRIM($D183)),rawStart,$F183,rawEnd,$G183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3" s="2">
        <f>LET(id,$A183,code,UPPER(TRIM($D183)),rawStart,$F183,rawEnd,$G183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3" s="2">
        <f>LET(id,$A183,code,UPPER(TRIM($D183)),rawStart,$F183,rawEnd,$G183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3" s="2">
        <f>LET(id,$A183,code,UPPER(TRIM($D183)),rawStart,$F183,rawEnd,$G183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3" s="2">
        <f>LET(id,$A183,code,UPPER(TRIM($D183)),rawStart,$F183,rawEnd,$G183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3" s="2">
        <f>LET(id,$A183,code,UPPER(TRIM($D183)),rawStart,$F183,rawEnd,$G183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3" s="2">
        <f>LET(id,$A183,code,UPPER(TRIM($D183)),rawStart,$F183,rawEnd,$G183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3" s="2">
        <f>LET(id,$A183,code,UPPER(TRIM($D183)),rawStart,$F183,rawEnd,$G183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3" s="2">
        <f>LET(id,$A183,code,UPPER(TRIM($D183)),rawStart,$F183,rawEnd,$G183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3" s="2">
        <f>LET(id,$A183,code,UPPER(TRIM($D183)),rawStart,$F183,rawEnd,$G183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3" s="2">
        <f>LET(id,$A183,code,UPPER(TRIM($D183)),rawStart,$F183,rawEnd,$G183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3" s="2">
        <f>LET(id,$A183,code,UPPER(TRIM($D183)),rawStart,$F183,rawEnd,$G183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3" s="2">
        <f>LET(id,$A183,code,UPPER(TRIM($D183)),rawStart,$F183,rawEnd,$G183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3" s="2">
        <f>LET(id,$A183,code,UPPER(TRIM($D183)),rawStart,$F183,rawEnd,$G183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3" s="2">
        <f>LET(id,$A183,code,UPPER(TRIM($D183)),rawStart,$F183,rawEnd,$G183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3" s="2">
        <f>LET(id,$A183,code,UPPER(TRIM($D183)),rawStart,$F183,rawEnd,$G183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3" s="2">
        <f>LET(id,$A183,code,UPPER(TRIM($D183)),rawStart,$F183,rawEnd,$G183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3" s="2">
        <f>LET(id,$A183,code,UPPER(TRIM($D183)),rawStart,$F183,rawEnd,$G183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3" s="2">
        <f>LET(id,$A183,code,UPPER(TRIM($D183)),rawStart,$F183,rawEnd,$G183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3" s="2">
        <f>LET(id,$A183,code,UPPER(TRIM($D183)),rawStart,$F183,rawEnd,$G183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3" s="2">
        <f>LET(id,$A183,code,UPPER(TRIM($D183)),rawStart,$F183,rawEnd,$G183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3" s="2">
        <f>LET(id,$A183,code,UPPER(TRIM($D183)),rawStart,$F183,rawEnd,$G183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3" s="2">
        <f>LET(id,$A183,code,UPPER(TRIM($D183)),rawStart,$F183,rawEnd,$G183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3" s="2">
        <f>LET(id,$A183,code,UPPER(TRIM($D183)),rawStart,$F183,rawEnd,$G183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3" s="2">
        <f>LET(id,$A183,code,UPPER(TRIM($D183)),rawStart,$F183,rawEnd,$G183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3" s="2">
        <f>LET(id,$A183,code,UPPER(TRIM($D183)),rawStart,$F183,rawEnd,$G183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3" s="2">
        <f>LET(id,$A183,code,UPPER(TRIM($D183)),rawStart,$F183,rawEnd,$G183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3" s="2">
        <f>LET(id,$A183,code,UPPER(TRIM($D183)),rawStart,$F183,rawEnd,$G183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83" s="2">
        <f>Calc_Engine!BD183</f>
        <v/>
      </c>
    </row>
    <row r="184">
      <c r="A184" s="2">
        <f>Calc_Engine!A184</f>
        <v/>
      </c>
      <c r="B184" s="2">
        <f>Calc_Engine!B184</f>
        <v/>
      </c>
      <c r="C184" s="2">
        <f>Calc_Engine!C184</f>
        <v/>
      </c>
      <c r="D184" s="2">
        <f>Calc_Engine!D184</f>
        <v/>
      </c>
      <c r="E184" s="4">
        <f>Calc_Engine!E184</f>
        <v/>
      </c>
      <c r="F184" s="5">
        <f>Calc_Engine!F184</f>
        <v/>
      </c>
      <c r="G184" s="5">
        <f>Calc_Engine!G184</f>
        <v/>
      </c>
      <c r="H184" s="2">
        <f>LET(id,$A184,code,UPPER(TRIM($D184)),rawStart,$F184,rawEnd,$G184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4" s="2">
        <f>LET(id,$A184,code,UPPER(TRIM($D184)),rawStart,$F184,rawEnd,$G184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4" s="2">
        <f>LET(id,$A184,code,UPPER(TRIM($D184)),rawStart,$F184,rawEnd,$G184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4" s="2">
        <f>LET(id,$A184,code,UPPER(TRIM($D184)),rawStart,$F184,rawEnd,$G184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4" s="2">
        <f>LET(id,$A184,code,UPPER(TRIM($D184)),rawStart,$F184,rawEnd,$G184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4" s="2">
        <f>LET(id,$A184,code,UPPER(TRIM($D184)),rawStart,$F184,rawEnd,$G184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4" s="2">
        <f>LET(id,$A184,code,UPPER(TRIM($D184)),rawStart,$F184,rawEnd,$G184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4" s="2">
        <f>LET(id,$A184,code,UPPER(TRIM($D184)),rawStart,$F184,rawEnd,$G184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4" s="2">
        <f>LET(id,$A184,code,UPPER(TRIM($D184)),rawStart,$F184,rawEnd,$G184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4" s="2">
        <f>LET(id,$A184,code,UPPER(TRIM($D184)),rawStart,$F184,rawEnd,$G184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4" s="2">
        <f>LET(id,$A184,code,UPPER(TRIM($D184)),rawStart,$F184,rawEnd,$G184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4" s="2">
        <f>LET(id,$A184,code,UPPER(TRIM($D184)),rawStart,$F184,rawEnd,$G184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4" s="2">
        <f>LET(id,$A184,code,UPPER(TRIM($D184)),rawStart,$F184,rawEnd,$G184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4" s="2">
        <f>LET(id,$A184,code,UPPER(TRIM($D184)),rawStart,$F184,rawEnd,$G184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4" s="2">
        <f>LET(id,$A184,code,UPPER(TRIM($D184)),rawStart,$F184,rawEnd,$G184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4" s="2">
        <f>LET(id,$A184,code,UPPER(TRIM($D184)),rawStart,$F184,rawEnd,$G184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4" s="2">
        <f>LET(id,$A184,code,UPPER(TRIM($D184)),rawStart,$F184,rawEnd,$G184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4" s="2">
        <f>LET(id,$A184,code,UPPER(TRIM($D184)),rawStart,$F184,rawEnd,$G184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4" s="2">
        <f>LET(id,$A184,code,UPPER(TRIM($D184)),rawStart,$F184,rawEnd,$G184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4" s="2">
        <f>LET(id,$A184,code,UPPER(TRIM($D184)),rawStart,$F184,rawEnd,$G184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4" s="2">
        <f>LET(id,$A184,code,UPPER(TRIM($D184)),rawStart,$F184,rawEnd,$G184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4" s="2">
        <f>LET(id,$A184,code,UPPER(TRIM($D184)),rawStart,$F184,rawEnd,$G184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4" s="2">
        <f>LET(id,$A184,code,UPPER(TRIM($D184)),rawStart,$F184,rawEnd,$G184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4" s="2">
        <f>LET(id,$A184,code,UPPER(TRIM($D184)),rawStart,$F184,rawEnd,$G184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4" s="2">
        <f>LET(id,$A184,code,UPPER(TRIM($D184)),rawStart,$F184,rawEnd,$G184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4" s="2">
        <f>LET(id,$A184,code,UPPER(TRIM($D184)),rawStart,$F184,rawEnd,$G184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4" s="2">
        <f>LET(id,$A184,code,UPPER(TRIM($D184)),rawStart,$F184,rawEnd,$G184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4" s="2">
        <f>LET(id,$A184,code,UPPER(TRIM($D184)),rawStart,$F184,rawEnd,$G184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4" s="2">
        <f>LET(id,$A184,code,UPPER(TRIM($D184)),rawStart,$F184,rawEnd,$G184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4" s="2">
        <f>LET(id,$A184,code,UPPER(TRIM($D184)),rawStart,$F184,rawEnd,$G184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4" s="2">
        <f>LET(id,$A184,code,UPPER(TRIM($D184)),rawStart,$F184,rawEnd,$G184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4" s="2">
        <f>LET(id,$A184,code,UPPER(TRIM($D184)),rawStart,$F184,rawEnd,$G184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4" s="2">
        <f>LET(id,$A184,code,UPPER(TRIM($D184)),rawStart,$F184,rawEnd,$G184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4" s="2">
        <f>LET(id,$A184,code,UPPER(TRIM($D184)),rawStart,$F184,rawEnd,$G184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4" s="2">
        <f>LET(id,$A184,code,UPPER(TRIM($D184)),rawStart,$F184,rawEnd,$G184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4" s="2">
        <f>LET(id,$A184,code,UPPER(TRIM($D184)),rawStart,$F184,rawEnd,$G184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4" s="2">
        <f>LET(id,$A184,code,UPPER(TRIM($D184)),rawStart,$F184,rawEnd,$G184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4" s="2">
        <f>LET(id,$A184,code,UPPER(TRIM($D184)),rawStart,$F184,rawEnd,$G184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4" s="2">
        <f>LET(id,$A184,code,UPPER(TRIM($D184)),rawStart,$F184,rawEnd,$G184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4" s="2">
        <f>LET(id,$A184,code,UPPER(TRIM($D184)),rawStart,$F184,rawEnd,$G184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4" s="2">
        <f>LET(id,$A184,code,UPPER(TRIM($D184)),rawStart,$F184,rawEnd,$G184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4" s="2">
        <f>LET(id,$A184,code,UPPER(TRIM($D184)),rawStart,$F184,rawEnd,$G184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4" s="2">
        <f>LET(id,$A184,code,UPPER(TRIM($D184)),rawStart,$F184,rawEnd,$G184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4" s="2">
        <f>LET(id,$A184,code,UPPER(TRIM($D184)),rawStart,$F184,rawEnd,$G184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4" s="2">
        <f>LET(id,$A184,code,UPPER(TRIM($D184)),rawStart,$F184,rawEnd,$G184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4" s="2">
        <f>LET(id,$A184,code,UPPER(TRIM($D184)),rawStart,$F184,rawEnd,$G184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4" s="2">
        <f>LET(id,$A184,code,UPPER(TRIM($D184)),rawStart,$F184,rawEnd,$G184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4" s="2">
        <f>LET(id,$A184,code,UPPER(TRIM($D184)),rawStart,$F184,rawEnd,$G184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84" s="2">
        <f>Calc_Engine!BD184</f>
        <v/>
      </c>
    </row>
    <row r="185">
      <c r="A185" s="2">
        <f>Calc_Engine!A185</f>
        <v/>
      </c>
      <c r="B185" s="2">
        <f>Calc_Engine!B185</f>
        <v/>
      </c>
      <c r="C185" s="2">
        <f>Calc_Engine!C185</f>
        <v/>
      </c>
      <c r="D185" s="2">
        <f>Calc_Engine!D185</f>
        <v/>
      </c>
      <c r="E185" s="4">
        <f>Calc_Engine!E185</f>
        <v/>
      </c>
      <c r="F185" s="5">
        <f>Calc_Engine!F185</f>
        <v/>
      </c>
      <c r="G185" s="5">
        <f>Calc_Engine!G185</f>
        <v/>
      </c>
      <c r="H185" s="2">
        <f>LET(id,$A185,code,UPPER(TRIM($D185)),rawStart,$F185,rawEnd,$G185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5" s="2">
        <f>LET(id,$A185,code,UPPER(TRIM($D185)),rawStart,$F185,rawEnd,$G185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5" s="2">
        <f>LET(id,$A185,code,UPPER(TRIM($D185)),rawStart,$F185,rawEnd,$G185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5" s="2">
        <f>LET(id,$A185,code,UPPER(TRIM($D185)),rawStart,$F185,rawEnd,$G185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5" s="2">
        <f>LET(id,$A185,code,UPPER(TRIM($D185)),rawStart,$F185,rawEnd,$G185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5" s="2">
        <f>LET(id,$A185,code,UPPER(TRIM($D185)),rawStart,$F185,rawEnd,$G185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5" s="2">
        <f>LET(id,$A185,code,UPPER(TRIM($D185)),rawStart,$F185,rawEnd,$G185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5" s="2">
        <f>LET(id,$A185,code,UPPER(TRIM($D185)),rawStart,$F185,rawEnd,$G185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5" s="2">
        <f>LET(id,$A185,code,UPPER(TRIM($D185)),rawStart,$F185,rawEnd,$G185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5" s="2">
        <f>LET(id,$A185,code,UPPER(TRIM($D185)),rawStart,$F185,rawEnd,$G185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5" s="2">
        <f>LET(id,$A185,code,UPPER(TRIM($D185)),rawStart,$F185,rawEnd,$G185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5" s="2">
        <f>LET(id,$A185,code,UPPER(TRIM($D185)),rawStart,$F185,rawEnd,$G185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5" s="2">
        <f>LET(id,$A185,code,UPPER(TRIM($D185)),rawStart,$F185,rawEnd,$G185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5" s="2">
        <f>LET(id,$A185,code,UPPER(TRIM($D185)),rawStart,$F185,rawEnd,$G185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5" s="2">
        <f>LET(id,$A185,code,UPPER(TRIM($D185)),rawStart,$F185,rawEnd,$G185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5" s="2">
        <f>LET(id,$A185,code,UPPER(TRIM($D185)),rawStart,$F185,rawEnd,$G185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5" s="2">
        <f>LET(id,$A185,code,UPPER(TRIM($D185)),rawStart,$F185,rawEnd,$G185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5" s="2">
        <f>LET(id,$A185,code,UPPER(TRIM($D185)),rawStart,$F185,rawEnd,$G185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5" s="2">
        <f>LET(id,$A185,code,UPPER(TRIM($D185)),rawStart,$F185,rawEnd,$G185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5" s="2">
        <f>LET(id,$A185,code,UPPER(TRIM($D185)),rawStart,$F185,rawEnd,$G185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5" s="2">
        <f>LET(id,$A185,code,UPPER(TRIM($D185)),rawStart,$F185,rawEnd,$G185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5" s="2">
        <f>LET(id,$A185,code,UPPER(TRIM($D185)),rawStart,$F185,rawEnd,$G185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5" s="2">
        <f>LET(id,$A185,code,UPPER(TRIM($D185)),rawStart,$F185,rawEnd,$G185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5" s="2">
        <f>LET(id,$A185,code,UPPER(TRIM($D185)),rawStart,$F185,rawEnd,$G185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5" s="2">
        <f>LET(id,$A185,code,UPPER(TRIM($D185)),rawStart,$F185,rawEnd,$G185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5" s="2">
        <f>LET(id,$A185,code,UPPER(TRIM($D185)),rawStart,$F185,rawEnd,$G185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5" s="2">
        <f>LET(id,$A185,code,UPPER(TRIM($D185)),rawStart,$F185,rawEnd,$G185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5" s="2">
        <f>LET(id,$A185,code,UPPER(TRIM($D185)),rawStart,$F185,rawEnd,$G185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5" s="2">
        <f>LET(id,$A185,code,UPPER(TRIM($D185)),rawStart,$F185,rawEnd,$G185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5" s="2">
        <f>LET(id,$A185,code,UPPER(TRIM($D185)),rawStart,$F185,rawEnd,$G185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5" s="2">
        <f>LET(id,$A185,code,UPPER(TRIM($D185)),rawStart,$F185,rawEnd,$G185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5" s="2">
        <f>LET(id,$A185,code,UPPER(TRIM($D185)),rawStart,$F185,rawEnd,$G185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5" s="2">
        <f>LET(id,$A185,code,UPPER(TRIM($D185)),rawStart,$F185,rawEnd,$G185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5" s="2">
        <f>LET(id,$A185,code,UPPER(TRIM($D185)),rawStart,$F185,rawEnd,$G185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5" s="2">
        <f>LET(id,$A185,code,UPPER(TRIM($D185)),rawStart,$F185,rawEnd,$G185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5" s="2">
        <f>LET(id,$A185,code,UPPER(TRIM($D185)),rawStart,$F185,rawEnd,$G185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5" s="2">
        <f>LET(id,$A185,code,UPPER(TRIM($D185)),rawStart,$F185,rawEnd,$G185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5" s="2">
        <f>LET(id,$A185,code,UPPER(TRIM($D185)),rawStart,$F185,rawEnd,$G185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5" s="2">
        <f>LET(id,$A185,code,UPPER(TRIM($D185)),rawStart,$F185,rawEnd,$G185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5" s="2">
        <f>LET(id,$A185,code,UPPER(TRIM($D185)),rawStart,$F185,rawEnd,$G185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5" s="2">
        <f>LET(id,$A185,code,UPPER(TRIM($D185)),rawStart,$F185,rawEnd,$G185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5" s="2">
        <f>LET(id,$A185,code,UPPER(TRIM($D185)),rawStart,$F185,rawEnd,$G185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5" s="2">
        <f>LET(id,$A185,code,UPPER(TRIM($D185)),rawStart,$F185,rawEnd,$G185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5" s="2">
        <f>LET(id,$A185,code,UPPER(TRIM($D185)),rawStart,$F185,rawEnd,$G185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5" s="2">
        <f>LET(id,$A185,code,UPPER(TRIM($D185)),rawStart,$F185,rawEnd,$G185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5" s="2">
        <f>LET(id,$A185,code,UPPER(TRIM($D185)),rawStart,$F185,rawEnd,$G185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5" s="2">
        <f>LET(id,$A185,code,UPPER(TRIM($D185)),rawStart,$F185,rawEnd,$G185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5" s="2">
        <f>LET(id,$A185,code,UPPER(TRIM($D185)),rawStart,$F185,rawEnd,$G185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85" s="2">
        <f>Calc_Engine!BD185</f>
        <v/>
      </c>
    </row>
    <row r="186">
      <c r="A186" s="2">
        <f>Calc_Engine!A186</f>
        <v/>
      </c>
      <c r="B186" s="2">
        <f>Calc_Engine!B186</f>
        <v/>
      </c>
      <c r="C186" s="2">
        <f>Calc_Engine!C186</f>
        <v/>
      </c>
      <c r="D186" s="2">
        <f>Calc_Engine!D186</f>
        <v/>
      </c>
      <c r="E186" s="4">
        <f>Calc_Engine!E186</f>
        <v/>
      </c>
      <c r="F186" s="5">
        <f>Calc_Engine!F186</f>
        <v/>
      </c>
      <c r="G186" s="5">
        <f>Calc_Engine!G186</f>
        <v/>
      </c>
      <c r="H186" s="2">
        <f>LET(id,$A186,code,UPPER(TRIM($D186)),rawStart,$F186,rawEnd,$G186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6" s="2">
        <f>LET(id,$A186,code,UPPER(TRIM($D186)),rawStart,$F186,rawEnd,$G186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6" s="2">
        <f>LET(id,$A186,code,UPPER(TRIM($D186)),rawStart,$F186,rawEnd,$G186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6" s="2">
        <f>LET(id,$A186,code,UPPER(TRIM($D186)),rawStart,$F186,rawEnd,$G186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6" s="2">
        <f>LET(id,$A186,code,UPPER(TRIM($D186)),rawStart,$F186,rawEnd,$G186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6" s="2">
        <f>LET(id,$A186,code,UPPER(TRIM($D186)),rawStart,$F186,rawEnd,$G186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6" s="2">
        <f>LET(id,$A186,code,UPPER(TRIM($D186)),rawStart,$F186,rawEnd,$G186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6" s="2">
        <f>LET(id,$A186,code,UPPER(TRIM($D186)),rawStart,$F186,rawEnd,$G186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6" s="2">
        <f>LET(id,$A186,code,UPPER(TRIM($D186)),rawStart,$F186,rawEnd,$G186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6" s="2">
        <f>LET(id,$A186,code,UPPER(TRIM($D186)),rawStart,$F186,rawEnd,$G186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6" s="2">
        <f>LET(id,$A186,code,UPPER(TRIM($D186)),rawStart,$F186,rawEnd,$G186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6" s="2">
        <f>LET(id,$A186,code,UPPER(TRIM($D186)),rawStart,$F186,rawEnd,$G186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6" s="2">
        <f>LET(id,$A186,code,UPPER(TRIM($D186)),rawStart,$F186,rawEnd,$G186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6" s="2">
        <f>LET(id,$A186,code,UPPER(TRIM($D186)),rawStart,$F186,rawEnd,$G186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6" s="2">
        <f>LET(id,$A186,code,UPPER(TRIM($D186)),rawStart,$F186,rawEnd,$G186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6" s="2">
        <f>LET(id,$A186,code,UPPER(TRIM($D186)),rawStart,$F186,rawEnd,$G186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6" s="2">
        <f>LET(id,$A186,code,UPPER(TRIM($D186)),rawStart,$F186,rawEnd,$G186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6" s="2">
        <f>LET(id,$A186,code,UPPER(TRIM($D186)),rawStart,$F186,rawEnd,$G186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6" s="2">
        <f>LET(id,$A186,code,UPPER(TRIM($D186)),rawStart,$F186,rawEnd,$G186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6" s="2">
        <f>LET(id,$A186,code,UPPER(TRIM($D186)),rawStart,$F186,rawEnd,$G186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6" s="2">
        <f>LET(id,$A186,code,UPPER(TRIM($D186)),rawStart,$F186,rawEnd,$G186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6" s="2">
        <f>LET(id,$A186,code,UPPER(TRIM($D186)),rawStart,$F186,rawEnd,$G186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6" s="2">
        <f>LET(id,$A186,code,UPPER(TRIM($D186)),rawStart,$F186,rawEnd,$G186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6" s="2">
        <f>LET(id,$A186,code,UPPER(TRIM($D186)),rawStart,$F186,rawEnd,$G186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6" s="2">
        <f>LET(id,$A186,code,UPPER(TRIM($D186)),rawStart,$F186,rawEnd,$G186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6" s="2">
        <f>LET(id,$A186,code,UPPER(TRIM($D186)),rawStart,$F186,rawEnd,$G186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6" s="2">
        <f>LET(id,$A186,code,UPPER(TRIM($D186)),rawStart,$F186,rawEnd,$G186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6" s="2">
        <f>LET(id,$A186,code,UPPER(TRIM($D186)),rawStart,$F186,rawEnd,$G186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6" s="2">
        <f>LET(id,$A186,code,UPPER(TRIM($D186)),rawStart,$F186,rawEnd,$G186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6" s="2">
        <f>LET(id,$A186,code,UPPER(TRIM($D186)),rawStart,$F186,rawEnd,$G186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6" s="2">
        <f>LET(id,$A186,code,UPPER(TRIM($D186)),rawStart,$F186,rawEnd,$G186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6" s="2">
        <f>LET(id,$A186,code,UPPER(TRIM($D186)),rawStart,$F186,rawEnd,$G186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6" s="2">
        <f>LET(id,$A186,code,UPPER(TRIM($D186)),rawStart,$F186,rawEnd,$G186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6" s="2">
        <f>LET(id,$A186,code,UPPER(TRIM($D186)),rawStart,$F186,rawEnd,$G186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6" s="2">
        <f>LET(id,$A186,code,UPPER(TRIM($D186)),rawStart,$F186,rawEnd,$G186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6" s="2">
        <f>LET(id,$A186,code,UPPER(TRIM($D186)),rawStart,$F186,rawEnd,$G186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6" s="2">
        <f>LET(id,$A186,code,UPPER(TRIM($D186)),rawStart,$F186,rawEnd,$G186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6" s="2">
        <f>LET(id,$A186,code,UPPER(TRIM($D186)),rawStart,$F186,rawEnd,$G186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6" s="2">
        <f>LET(id,$A186,code,UPPER(TRIM($D186)),rawStart,$F186,rawEnd,$G186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6" s="2">
        <f>LET(id,$A186,code,UPPER(TRIM($D186)),rawStart,$F186,rawEnd,$G186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6" s="2">
        <f>LET(id,$A186,code,UPPER(TRIM($D186)),rawStart,$F186,rawEnd,$G186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6" s="2">
        <f>LET(id,$A186,code,UPPER(TRIM($D186)),rawStart,$F186,rawEnd,$G186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6" s="2">
        <f>LET(id,$A186,code,UPPER(TRIM($D186)),rawStart,$F186,rawEnd,$G186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6" s="2">
        <f>LET(id,$A186,code,UPPER(TRIM($D186)),rawStart,$F186,rawEnd,$G186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6" s="2">
        <f>LET(id,$A186,code,UPPER(TRIM($D186)),rawStart,$F186,rawEnd,$G186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6" s="2">
        <f>LET(id,$A186,code,UPPER(TRIM($D186)),rawStart,$F186,rawEnd,$G186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6" s="2">
        <f>LET(id,$A186,code,UPPER(TRIM($D186)),rawStart,$F186,rawEnd,$G186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6" s="2">
        <f>LET(id,$A186,code,UPPER(TRIM($D186)),rawStart,$F186,rawEnd,$G186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86" s="2">
        <f>Calc_Engine!BD186</f>
        <v/>
      </c>
    </row>
    <row r="187">
      <c r="A187" s="2">
        <f>Calc_Engine!A187</f>
        <v/>
      </c>
      <c r="B187" s="2">
        <f>Calc_Engine!B187</f>
        <v/>
      </c>
      <c r="C187" s="2">
        <f>Calc_Engine!C187</f>
        <v/>
      </c>
      <c r="D187" s="2">
        <f>Calc_Engine!D187</f>
        <v/>
      </c>
      <c r="E187" s="4">
        <f>Calc_Engine!E187</f>
        <v/>
      </c>
      <c r="F187" s="5">
        <f>Calc_Engine!F187</f>
        <v/>
      </c>
      <c r="G187" s="5">
        <f>Calc_Engine!G187</f>
        <v/>
      </c>
      <c r="H187" s="2">
        <f>LET(id,$A187,code,UPPER(TRIM($D187)),rawStart,$F187,rawEnd,$G187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7" s="2">
        <f>LET(id,$A187,code,UPPER(TRIM($D187)),rawStart,$F187,rawEnd,$G187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7" s="2">
        <f>LET(id,$A187,code,UPPER(TRIM($D187)),rawStart,$F187,rawEnd,$G187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7" s="2">
        <f>LET(id,$A187,code,UPPER(TRIM($D187)),rawStart,$F187,rawEnd,$G187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7" s="2">
        <f>LET(id,$A187,code,UPPER(TRIM($D187)),rawStart,$F187,rawEnd,$G187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7" s="2">
        <f>LET(id,$A187,code,UPPER(TRIM($D187)),rawStart,$F187,rawEnd,$G187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7" s="2">
        <f>LET(id,$A187,code,UPPER(TRIM($D187)),rawStart,$F187,rawEnd,$G187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7" s="2">
        <f>LET(id,$A187,code,UPPER(TRIM($D187)),rawStart,$F187,rawEnd,$G187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7" s="2">
        <f>LET(id,$A187,code,UPPER(TRIM($D187)),rawStart,$F187,rawEnd,$G187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7" s="2">
        <f>LET(id,$A187,code,UPPER(TRIM($D187)),rawStart,$F187,rawEnd,$G187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7" s="2">
        <f>LET(id,$A187,code,UPPER(TRIM($D187)),rawStart,$F187,rawEnd,$G187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7" s="2">
        <f>LET(id,$A187,code,UPPER(TRIM($D187)),rawStart,$F187,rawEnd,$G187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7" s="2">
        <f>LET(id,$A187,code,UPPER(TRIM($D187)),rawStart,$F187,rawEnd,$G187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7" s="2">
        <f>LET(id,$A187,code,UPPER(TRIM($D187)),rawStart,$F187,rawEnd,$G187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7" s="2">
        <f>LET(id,$A187,code,UPPER(TRIM($D187)),rawStart,$F187,rawEnd,$G187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7" s="2">
        <f>LET(id,$A187,code,UPPER(TRIM($D187)),rawStart,$F187,rawEnd,$G187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7" s="2">
        <f>LET(id,$A187,code,UPPER(TRIM($D187)),rawStart,$F187,rawEnd,$G187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7" s="2">
        <f>LET(id,$A187,code,UPPER(TRIM($D187)),rawStart,$F187,rawEnd,$G187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7" s="2">
        <f>LET(id,$A187,code,UPPER(TRIM($D187)),rawStart,$F187,rawEnd,$G187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7" s="2">
        <f>LET(id,$A187,code,UPPER(TRIM($D187)),rawStart,$F187,rawEnd,$G187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7" s="2">
        <f>LET(id,$A187,code,UPPER(TRIM($D187)),rawStart,$F187,rawEnd,$G187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7" s="2">
        <f>LET(id,$A187,code,UPPER(TRIM($D187)),rawStart,$F187,rawEnd,$G187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7" s="2">
        <f>LET(id,$A187,code,UPPER(TRIM($D187)),rawStart,$F187,rawEnd,$G187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7" s="2">
        <f>LET(id,$A187,code,UPPER(TRIM($D187)),rawStart,$F187,rawEnd,$G187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7" s="2">
        <f>LET(id,$A187,code,UPPER(TRIM($D187)),rawStart,$F187,rawEnd,$G187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7" s="2">
        <f>LET(id,$A187,code,UPPER(TRIM($D187)),rawStart,$F187,rawEnd,$G187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7" s="2">
        <f>LET(id,$A187,code,UPPER(TRIM($D187)),rawStart,$F187,rawEnd,$G187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7" s="2">
        <f>LET(id,$A187,code,UPPER(TRIM($D187)),rawStart,$F187,rawEnd,$G187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7" s="2">
        <f>LET(id,$A187,code,UPPER(TRIM($D187)),rawStart,$F187,rawEnd,$G187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7" s="2">
        <f>LET(id,$A187,code,UPPER(TRIM($D187)),rawStart,$F187,rawEnd,$G187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7" s="2">
        <f>LET(id,$A187,code,UPPER(TRIM($D187)),rawStart,$F187,rawEnd,$G187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7" s="2">
        <f>LET(id,$A187,code,UPPER(TRIM($D187)),rawStart,$F187,rawEnd,$G187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7" s="2">
        <f>LET(id,$A187,code,UPPER(TRIM($D187)),rawStart,$F187,rawEnd,$G187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7" s="2">
        <f>LET(id,$A187,code,UPPER(TRIM($D187)),rawStart,$F187,rawEnd,$G187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7" s="2">
        <f>LET(id,$A187,code,UPPER(TRIM($D187)),rawStart,$F187,rawEnd,$G187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7" s="2">
        <f>LET(id,$A187,code,UPPER(TRIM($D187)),rawStart,$F187,rawEnd,$G187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7" s="2">
        <f>LET(id,$A187,code,UPPER(TRIM($D187)),rawStart,$F187,rawEnd,$G187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7" s="2">
        <f>LET(id,$A187,code,UPPER(TRIM($D187)),rawStart,$F187,rawEnd,$G187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7" s="2">
        <f>LET(id,$A187,code,UPPER(TRIM($D187)),rawStart,$F187,rawEnd,$G187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7" s="2">
        <f>LET(id,$A187,code,UPPER(TRIM($D187)),rawStart,$F187,rawEnd,$G187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7" s="2">
        <f>LET(id,$A187,code,UPPER(TRIM($D187)),rawStart,$F187,rawEnd,$G187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7" s="2">
        <f>LET(id,$A187,code,UPPER(TRIM($D187)),rawStart,$F187,rawEnd,$G187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7" s="2">
        <f>LET(id,$A187,code,UPPER(TRIM($D187)),rawStart,$F187,rawEnd,$G187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7" s="2">
        <f>LET(id,$A187,code,UPPER(TRIM($D187)),rawStart,$F187,rawEnd,$G187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7" s="2">
        <f>LET(id,$A187,code,UPPER(TRIM($D187)),rawStart,$F187,rawEnd,$G187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7" s="2">
        <f>LET(id,$A187,code,UPPER(TRIM($D187)),rawStart,$F187,rawEnd,$G187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7" s="2">
        <f>LET(id,$A187,code,UPPER(TRIM($D187)),rawStart,$F187,rawEnd,$G187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7" s="2">
        <f>LET(id,$A187,code,UPPER(TRIM($D187)),rawStart,$F187,rawEnd,$G187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87" s="2">
        <f>Calc_Engine!BD187</f>
        <v/>
      </c>
    </row>
    <row r="188">
      <c r="A188" s="2">
        <f>Calc_Engine!A188</f>
        <v/>
      </c>
      <c r="B188" s="2">
        <f>Calc_Engine!B188</f>
        <v/>
      </c>
      <c r="C188" s="2">
        <f>Calc_Engine!C188</f>
        <v/>
      </c>
      <c r="D188" s="2">
        <f>Calc_Engine!D188</f>
        <v/>
      </c>
      <c r="E188" s="4">
        <f>Calc_Engine!E188</f>
        <v/>
      </c>
      <c r="F188" s="5">
        <f>Calc_Engine!F188</f>
        <v/>
      </c>
      <c r="G188" s="5">
        <f>Calc_Engine!G188</f>
        <v/>
      </c>
      <c r="H188" s="2">
        <f>LET(id,$A188,code,UPPER(TRIM($D188)),rawStart,$F188,rawEnd,$G188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8" s="2">
        <f>LET(id,$A188,code,UPPER(TRIM($D188)),rawStart,$F188,rawEnd,$G188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8" s="2">
        <f>LET(id,$A188,code,UPPER(TRIM($D188)),rawStart,$F188,rawEnd,$G188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8" s="2">
        <f>LET(id,$A188,code,UPPER(TRIM($D188)),rawStart,$F188,rawEnd,$G188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8" s="2">
        <f>LET(id,$A188,code,UPPER(TRIM($D188)),rawStart,$F188,rawEnd,$G188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8" s="2">
        <f>LET(id,$A188,code,UPPER(TRIM($D188)),rawStart,$F188,rawEnd,$G188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8" s="2">
        <f>LET(id,$A188,code,UPPER(TRIM($D188)),rawStart,$F188,rawEnd,$G188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8" s="2">
        <f>LET(id,$A188,code,UPPER(TRIM($D188)),rawStart,$F188,rawEnd,$G188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8" s="2">
        <f>LET(id,$A188,code,UPPER(TRIM($D188)),rawStart,$F188,rawEnd,$G188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8" s="2">
        <f>LET(id,$A188,code,UPPER(TRIM($D188)),rawStart,$F188,rawEnd,$G188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8" s="2">
        <f>LET(id,$A188,code,UPPER(TRIM($D188)),rawStart,$F188,rawEnd,$G188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8" s="2">
        <f>LET(id,$A188,code,UPPER(TRIM($D188)),rawStart,$F188,rawEnd,$G188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8" s="2">
        <f>LET(id,$A188,code,UPPER(TRIM($D188)),rawStart,$F188,rawEnd,$G188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8" s="2">
        <f>LET(id,$A188,code,UPPER(TRIM($D188)),rawStart,$F188,rawEnd,$G188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8" s="2">
        <f>LET(id,$A188,code,UPPER(TRIM($D188)),rawStart,$F188,rawEnd,$G188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8" s="2">
        <f>LET(id,$A188,code,UPPER(TRIM($D188)),rawStart,$F188,rawEnd,$G188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8" s="2">
        <f>LET(id,$A188,code,UPPER(TRIM($D188)),rawStart,$F188,rawEnd,$G188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8" s="2">
        <f>LET(id,$A188,code,UPPER(TRIM($D188)),rawStart,$F188,rawEnd,$G188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8" s="2">
        <f>LET(id,$A188,code,UPPER(TRIM($D188)),rawStart,$F188,rawEnd,$G188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8" s="2">
        <f>LET(id,$A188,code,UPPER(TRIM($D188)),rawStart,$F188,rawEnd,$G188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8" s="2">
        <f>LET(id,$A188,code,UPPER(TRIM($D188)),rawStart,$F188,rawEnd,$G188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8" s="2">
        <f>LET(id,$A188,code,UPPER(TRIM($D188)),rawStart,$F188,rawEnd,$G188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8" s="2">
        <f>LET(id,$A188,code,UPPER(TRIM($D188)),rawStart,$F188,rawEnd,$G188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8" s="2">
        <f>LET(id,$A188,code,UPPER(TRIM($D188)),rawStart,$F188,rawEnd,$G188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8" s="2">
        <f>LET(id,$A188,code,UPPER(TRIM($D188)),rawStart,$F188,rawEnd,$G188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8" s="2">
        <f>LET(id,$A188,code,UPPER(TRIM($D188)),rawStart,$F188,rawEnd,$G188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8" s="2">
        <f>LET(id,$A188,code,UPPER(TRIM($D188)),rawStart,$F188,rawEnd,$G188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8" s="2">
        <f>LET(id,$A188,code,UPPER(TRIM($D188)),rawStart,$F188,rawEnd,$G188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8" s="2">
        <f>LET(id,$A188,code,UPPER(TRIM($D188)),rawStart,$F188,rawEnd,$G188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8" s="2">
        <f>LET(id,$A188,code,UPPER(TRIM($D188)),rawStart,$F188,rawEnd,$G188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8" s="2">
        <f>LET(id,$A188,code,UPPER(TRIM($D188)),rawStart,$F188,rawEnd,$G188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8" s="2">
        <f>LET(id,$A188,code,UPPER(TRIM($D188)),rawStart,$F188,rawEnd,$G188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8" s="2">
        <f>LET(id,$A188,code,UPPER(TRIM($D188)),rawStart,$F188,rawEnd,$G188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8" s="2">
        <f>LET(id,$A188,code,UPPER(TRIM($D188)),rawStart,$F188,rawEnd,$G188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8" s="2">
        <f>LET(id,$A188,code,UPPER(TRIM($D188)),rawStart,$F188,rawEnd,$G188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8" s="2">
        <f>LET(id,$A188,code,UPPER(TRIM($D188)),rawStart,$F188,rawEnd,$G188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8" s="2">
        <f>LET(id,$A188,code,UPPER(TRIM($D188)),rawStart,$F188,rawEnd,$G188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8" s="2">
        <f>LET(id,$A188,code,UPPER(TRIM($D188)),rawStart,$F188,rawEnd,$G188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8" s="2">
        <f>LET(id,$A188,code,UPPER(TRIM($D188)),rawStart,$F188,rawEnd,$G188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8" s="2">
        <f>LET(id,$A188,code,UPPER(TRIM($D188)),rawStart,$F188,rawEnd,$G188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8" s="2">
        <f>LET(id,$A188,code,UPPER(TRIM($D188)),rawStart,$F188,rawEnd,$G188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8" s="2">
        <f>LET(id,$A188,code,UPPER(TRIM($D188)),rawStart,$F188,rawEnd,$G188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8" s="2">
        <f>LET(id,$A188,code,UPPER(TRIM($D188)),rawStart,$F188,rawEnd,$G188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8" s="2">
        <f>LET(id,$A188,code,UPPER(TRIM($D188)),rawStart,$F188,rawEnd,$G188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8" s="2">
        <f>LET(id,$A188,code,UPPER(TRIM($D188)),rawStart,$F188,rawEnd,$G188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8" s="2">
        <f>LET(id,$A188,code,UPPER(TRIM($D188)),rawStart,$F188,rawEnd,$G188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8" s="2">
        <f>LET(id,$A188,code,UPPER(TRIM($D188)),rawStart,$F188,rawEnd,$G188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8" s="2">
        <f>LET(id,$A188,code,UPPER(TRIM($D188)),rawStart,$F188,rawEnd,$G188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88" s="2">
        <f>Calc_Engine!BD188</f>
        <v/>
      </c>
    </row>
    <row r="189">
      <c r="A189" s="2">
        <f>Calc_Engine!A189</f>
        <v/>
      </c>
      <c r="B189" s="2">
        <f>Calc_Engine!B189</f>
        <v/>
      </c>
      <c r="C189" s="2">
        <f>Calc_Engine!C189</f>
        <v/>
      </c>
      <c r="D189" s="2">
        <f>Calc_Engine!D189</f>
        <v/>
      </c>
      <c r="E189" s="4">
        <f>Calc_Engine!E189</f>
        <v/>
      </c>
      <c r="F189" s="5">
        <f>Calc_Engine!F189</f>
        <v/>
      </c>
      <c r="G189" s="5">
        <f>Calc_Engine!G189</f>
        <v/>
      </c>
      <c r="H189" s="2">
        <f>LET(id,$A189,code,UPPER(TRIM($D189)),rawStart,$F189,rawEnd,$G189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9" s="2">
        <f>LET(id,$A189,code,UPPER(TRIM($D189)),rawStart,$F189,rawEnd,$G189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9" s="2">
        <f>LET(id,$A189,code,UPPER(TRIM($D189)),rawStart,$F189,rawEnd,$G189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9" s="2">
        <f>LET(id,$A189,code,UPPER(TRIM($D189)),rawStart,$F189,rawEnd,$G189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9" s="2">
        <f>LET(id,$A189,code,UPPER(TRIM($D189)),rawStart,$F189,rawEnd,$G189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9" s="2">
        <f>LET(id,$A189,code,UPPER(TRIM($D189)),rawStart,$F189,rawEnd,$G189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9" s="2">
        <f>LET(id,$A189,code,UPPER(TRIM($D189)),rawStart,$F189,rawEnd,$G189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9" s="2">
        <f>LET(id,$A189,code,UPPER(TRIM($D189)),rawStart,$F189,rawEnd,$G189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9" s="2">
        <f>LET(id,$A189,code,UPPER(TRIM($D189)),rawStart,$F189,rawEnd,$G189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9" s="2">
        <f>LET(id,$A189,code,UPPER(TRIM($D189)),rawStart,$F189,rawEnd,$G189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9" s="2">
        <f>LET(id,$A189,code,UPPER(TRIM($D189)),rawStart,$F189,rawEnd,$G189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9" s="2">
        <f>LET(id,$A189,code,UPPER(TRIM($D189)),rawStart,$F189,rawEnd,$G189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9" s="2">
        <f>LET(id,$A189,code,UPPER(TRIM($D189)),rawStart,$F189,rawEnd,$G189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9" s="2">
        <f>LET(id,$A189,code,UPPER(TRIM($D189)),rawStart,$F189,rawEnd,$G189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9" s="2">
        <f>LET(id,$A189,code,UPPER(TRIM($D189)),rawStart,$F189,rawEnd,$G189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9" s="2">
        <f>LET(id,$A189,code,UPPER(TRIM($D189)),rawStart,$F189,rawEnd,$G189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9" s="2">
        <f>LET(id,$A189,code,UPPER(TRIM($D189)),rawStart,$F189,rawEnd,$G189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9" s="2">
        <f>LET(id,$A189,code,UPPER(TRIM($D189)),rawStart,$F189,rawEnd,$G189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9" s="2">
        <f>LET(id,$A189,code,UPPER(TRIM($D189)),rawStart,$F189,rawEnd,$G189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9" s="2">
        <f>LET(id,$A189,code,UPPER(TRIM($D189)),rawStart,$F189,rawEnd,$G189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9" s="2">
        <f>LET(id,$A189,code,UPPER(TRIM($D189)),rawStart,$F189,rawEnd,$G189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9" s="2">
        <f>LET(id,$A189,code,UPPER(TRIM($D189)),rawStart,$F189,rawEnd,$G189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9" s="2">
        <f>LET(id,$A189,code,UPPER(TRIM($D189)),rawStart,$F189,rawEnd,$G189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9" s="2">
        <f>LET(id,$A189,code,UPPER(TRIM($D189)),rawStart,$F189,rawEnd,$G189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9" s="2">
        <f>LET(id,$A189,code,UPPER(TRIM($D189)),rawStart,$F189,rawEnd,$G189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9" s="2">
        <f>LET(id,$A189,code,UPPER(TRIM($D189)),rawStart,$F189,rawEnd,$G189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9" s="2">
        <f>LET(id,$A189,code,UPPER(TRIM($D189)),rawStart,$F189,rawEnd,$G189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9" s="2">
        <f>LET(id,$A189,code,UPPER(TRIM($D189)),rawStart,$F189,rawEnd,$G189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9" s="2">
        <f>LET(id,$A189,code,UPPER(TRIM($D189)),rawStart,$F189,rawEnd,$G189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9" s="2">
        <f>LET(id,$A189,code,UPPER(TRIM($D189)),rawStart,$F189,rawEnd,$G189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9" s="2">
        <f>LET(id,$A189,code,UPPER(TRIM($D189)),rawStart,$F189,rawEnd,$G189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9" s="2">
        <f>LET(id,$A189,code,UPPER(TRIM($D189)),rawStart,$F189,rawEnd,$G189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9" s="2">
        <f>LET(id,$A189,code,UPPER(TRIM($D189)),rawStart,$F189,rawEnd,$G189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9" s="2">
        <f>LET(id,$A189,code,UPPER(TRIM($D189)),rawStart,$F189,rawEnd,$G189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9" s="2">
        <f>LET(id,$A189,code,UPPER(TRIM($D189)),rawStart,$F189,rawEnd,$G189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9" s="2">
        <f>LET(id,$A189,code,UPPER(TRIM($D189)),rawStart,$F189,rawEnd,$G189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9" s="2">
        <f>LET(id,$A189,code,UPPER(TRIM($D189)),rawStart,$F189,rawEnd,$G189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9" s="2">
        <f>LET(id,$A189,code,UPPER(TRIM($D189)),rawStart,$F189,rawEnd,$G189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9" s="2">
        <f>LET(id,$A189,code,UPPER(TRIM($D189)),rawStart,$F189,rawEnd,$G189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9" s="2">
        <f>LET(id,$A189,code,UPPER(TRIM($D189)),rawStart,$F189,rawEnd,$G189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9" s="2">
        <f>LET(id,$A189,code,UPPER(TRIM($D189)),rawStart,$F189,rawEnd,$G189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9" s="2">
        <f>LET(id,$A189,code,UPPER(TRIM($D189)),rawStart,$F189,rawEnd,$G189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9" s="2">
        <f>LET(id,$A189,code,UPPER(TRIM($D189)),rawStart,$F189,rawEnd,$G189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9" s="2">
        <f>LET(id,$A189,code,UPPER(TRIM($D189)),rawStart,$F189,rawEnd,$G189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9" s="2">
        <f>LET(id,$A189,code,UPPER(TRIM($D189)),rawStart,$F189,rawEnd,$G189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9" s="2">
        <f>LET(id,$A189,code,UPPER(TRIM($D189)),rawStart,$F189,rawEnd,$G189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9" s="2">
        <f>LET(id,$A189,code,UPPER(TRIM($D189)),rawStart,$F189,rawEnd,$G189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9" s="2">
        <f>LET(id,$A189,code,UPPER(TRIM($D189)),rawStart,$F189,rawEnd,$G189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89" s="2">
        <f>Calc_Engine!BD189</f>
        <v/>
      </c>
    </row>
    <row r="190">
      <c r="A190" s="2">
        <f>Calc_Engine!A190</f>
        <v/>
      </c>
      <c r="B190" s="2">
        <f>Calc_Engine!B190</f>
        <v/>
      </c>
      <c r="C190" s="2">
        <f>Calc_Engine!C190</f>
        <v/>
      </c>
      <c r="D190" s="2">
        <f>Calc_Engine!D190</f>
        <v/>
      </c>
      <c r="E190" s="4">
        <f>Calc_Engine!E190</f>
        <v/>
      </c>
      <c r="F190" s="5">
        <f>Calc_Engine!F190</f>
        <v/>
      </c>
      <c r="G190" s="5">
        <f>Calc_Engine!G190</f>
        <v/>
      </c>
      <c r="H190" s="2">
        <f>LET(id,$A190,code,UPPER(TRIM($D190)),rawStart,$F190,rawEnd,$G190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0" s="2">
        <f>LET(id,$A190,code,UPPER(TRIM($D190)),rawStart,$F190,rawEnd,$G190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0" s="2">
        <f>LET(id,$A190,code,UPPER(TRIM($D190)),rawStart,$F190,rawEnd,$G190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0" s="2">
        <f>LET(id,$A190,code,UPPER(TRIM($D190)),rawStart,$F190,rawEnd,$G190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0" s="2">
        <f>LET(id,$A190,code,UPPER(TRIM($D190)),rawStart,$F190,rawEnd,$G190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0" s="2">
        <f>LET(id,$A190,code,UPPER(TRIM($D190)),rawStart,$F190,rawEnd,$G190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0" s="2">
        <f>LET(id,$A190,code,UPPER(TRIM($D190)),rawStart,$F190,rawEnd,$G190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0" s="2">
        <f>LET(id,$A190,code,UPPER(TRIM($D190)),rawStart,$F190,rawEnd,$G190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0" s="2">
        <f>LET(id,$A190,code,UPPER(TRIM($D190)),rawStart,$F190,rawEnd,$G190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0" s="2">
        <f>LET(id,$A190,code,UPPER(TRIM($D190)),rawStart,$F190,rawEnd,$G190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0" s="2">
        <f>LET(id,$A190,code,UPPER(TRIM($D190)),rawStart,$F190,rawEnd,$G190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0" s="2">
        <f>LET(id,$A190,code,UPPER(TRIM($D190)),rawStart,$F190,rawEnd,$G190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0" s="2">
        <f>LET(id,$A190,code,UPPER(TRIM($D190)),rawStart,$F190,rawEnd,$G190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0" s="2">
        <f>LET(id,$A190,code,UPPER(TRIM($D190)),rawStart,$F190,rawEnd,$G190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0" s="2">
        <f>LET(id,$A190,code,UPPER(TRIM($D190)),rawStart,$F190,rawEnd,$G190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0" s="2">
        <f>LET(id,$A190,code,UPPER(TRIM($D190)),rawStart,$F190,rawEnd,$G190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0" s="2">
        <f>LET(id,$A190,code,UPPER(TRIM($D190)),rawStart,$F190,rawEnd,$G190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0" s="2">
        <f>LET(id,$A190,code,UPPER(TRIM($D190)),rawStart,$F190,rawEnd,$G190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0" s="2">
        <f>LET(id,$A190,code,UPPER(TRIM($D190)),rawStart,$F190,rawEnd,$G190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0" s="2">
        <f>LET(id,$A190,code,UPPER(TRIM($D190)),rawStart,$F190,rawEnd,$G190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0" s="2">
        <f>LET(id,$A190,code,UPPER(TRIM($D190)),rawStart,$F190,rawEnd,$G190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0" s="2">
        <f>LET(id,$A190,code,UPPER(TRIM($D190)),rawStart,$F190,rawEnd,$G190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0" s="2">
        <f>LET(id,$A190,code,UPPER(TRIM($D190)),rawStart,$F190,rawEnd,$G190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0" s="2">
        <f>LET(id,$A190,code,UPPER(TRIM($D190)),rawStart,$F190,rawEnd,$G190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0" s="2">
        <f>LET(id,$A190,code,UPPER(TRIM($D190)),rawStart,$F190,rawEnd,$G190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0" s="2">
        <f>LET(id,$A190,code,UPPER(TRIM($D190)),rawStart,$F190,rawEnd,$G190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0" s="2">
        <f>LET(id,$A190,code,UPPER(TRIM($D190)),rawStart,$F190,rawEnd,$G190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0" s="2">
        <f>LET(id,$A190,code,UPPER(TRIM($D190)),rawStart,$F190,rawEnd,$G190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0" s="2">
        <f>LET(id,$A190,code,UPPER(TRIM($D190)),rawStart,$F190,rawEnd,$G190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0" s="2">
        <f>LET(id,$A190,code,UPPER(TRIM($D190)),rawStart,$F190,rawEnd,$G190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0" s="2">
        <f>LET(id,$A190,code,UPPER(TRIM($D190)),rawStart,$F190,rawEnd,$G190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0" s="2">
        <f>LET(id,$A190,code,UPPER(TRIM($D190)),rawStart,$F190,rawEnd,$G190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0" s="2">
        <f>LET(id,$A190,code,UPPER(TRIM($D190)),rawStart,$F190,rawEnd,$G190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0" s="2">
        <f>LET(id,$A190,code,UPPER(TRIM($D190)),rawStart,$F190,rawEnd,$G190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0" s="2">
        <f>LET(id,$A190,code,UPPER(TRIM($D190)),rawStart,$F190,rawEnd,$G190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0" s="2">
        <f>LET(id,$A190,code,UPPER(TRIM($D190)),rawStart,$F190,rawEnd,$G190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0" s="2">
        <f>LET(id,$A190,code,UPPER(TRIM($D190)),rawStart,$F190,rawEnd,$G190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0" s="2">
        <f>LET(id,$A190,code,UPPER(TRIM($D190)),rawStart,$F190,rawEnd,$G190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0" s="2">
        <f>LET(id,$A190,code,UPPER(TRIM($D190)),rawStart,$F190,rawEnd,$G190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0" s="2">
        <f>LET(id,$A190,code,UPPER(TRIM($D190)),rawStart,$F190,rawEnd,$G190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0" s="2">
        <f>LET(id,$A190,code,UPPER(TRIM($D190)),rawStart,$F190,rawEnd,$G190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0" s="2">
        <f>LET(id,$A190,code,UPPER(TRIM($D190)),rawStart,$F190,rawEnd,$G190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0" s="2">
        <f>LET(id,$A190,code,UPPER(TRIM($D190)),rawStart,$F190,rawEnd,$G190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0" s="2">
        <f>LET(id,$A190,code,UPPER(TRIM($D190)),rawStart,$F190,rawEnd,$G190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0" s="2">
        <f>LET(id,$A190,code,UPPER(TRIM($D190)),rawStart,$F190,rawEnd,$G190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0" s="2">
        <f>LET(id,$A190,code,UPPER(TRIM($D190)),rawStart,$F190,rawEnd,$G190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0" s="2">
        <f>LET(id,$A190,code,UPPER(TRIM($D190)),rawStart,$F190,rawEnd,$G190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0" s="2">
        <f>LET(id,$A190,code,UPPER(TRIM($D190)),rawStart,$F190,rawEnd,$G190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90" s="2">
        <f>Calc_Engine!BD190</f>
        <v/>
      </c>
    </row>
    <row r="191">
      <c r="A191" s="2">
        <f>Calc_Engine!A191</f>
        <v/>
      </c>
      <c r="B191" s="2">
        <f>Calc_Engine!B191</f>
        <v/>
      </c>
      <c r="C191" s="2">
        <f>Calc_Engine!C191</f>
        <v/>
      </c>
      <c r="D191" s="2">
        <f>Calc_Engine!D191</f>
        <v/>
      </c>
      <c r="E191" s="4">
        <f>Calc_Engine!E191</f>
        <v/>
      </c>
      <c r="F191" s="5">
        <f>Calc_Engine!F191</f>
        <v/>
      </c>
      <c r="G191" s="5">
        <f>Calc_Engine!G191</f>
        <v/>
      </c>
      <c r="H191" s="2">
        <f>LET(id,$A191,code,UPPER(TRIM($D191)),rawStart,$F191,rawEnd,$G191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1" s="2">
        <f>LET(id,$A191,code,UPPER(TRIM($D191)),rawStart,$F191,rawEnd,$G191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1" s="2">
        <f>LET(id,$A191,code,UPPER(TRIM($D191)),rawStart,$F191,rawEnd,$G191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1" s="2">
        <f>LET(id,$A191,code,UPPER(TRIM($D191)),rawStart,$F191,rawEnd,$G191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1" s="2">
        <f>LET(id,$A191,code,UPPER(TRIM($D191)),rawStart,$F191,rawEnd,$G191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1" s="2">
        <f>LET(id,$A191,code,UPPER(TRIM($D191)),rawStart,$F191,rawEnd,$G191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1" s="2">
        <f>LET(id,$A191,code,UPPER(TRIM($D191)),rawStart,$F191,rawEnd,$G191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1" s="2">
        <f>LET(id,$A191,code,UPPER(TRIM($D191)),rawStart,$F191,rawEnd,$G191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1" s="2">
        <f>LET(id,$A191,code,UPPER(TRIM($D191)),rawStart,$F191,rawEnd,$G191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1" s="2">
        <f>LET(id,$A191,code,UPPER(TRIM($D191)),rawStart,$F191,rawEnd,$G191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1" s="2">
        <f>LET(id,$A191,code,UPPER(TRIM($D191)),rawStart,$F191,rawEnd,$G191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1" s="2">
        <f>LET(id,$A191,code,UPPER(TRIM($D191)),rawStart,$F191,rawEnd,$G191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1" s="2">
        <f>LET(id,$A191,code,UPPER(TRIM($D191)),rawStart,$F191,rawEnd,$G191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1" s="2">
        <f>LET(id,$A191,code,UPPER(TRIM($D191)),rawStart,$F191,rawEnd,$G191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1" s="2">
        <f>LET(id,$A191,code,UPPER(TRIM($D191)),rawStart,$F191,rawEnd,$G191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1" s="2">
        <f>LET(id,$A191,code,UPPER(TRIM($D191)),rawStart,$F191,rawEnd,$G191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1" s="2">
        <f>LET(id,$A191,code,UPPER(TRIM($D191)),rawStart,$F191,rawEnd,$G191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1" s="2">
        <f>LET(id,$A191,code,UPPER(TRIM($D191)),rawStart,$F191,rawEnd,$G191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1" s="2">
        <f>LET(id,$A191,code,UPPER(TRIM($D191)),rawStart,$F191,rawEnd,$G191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1" s="2">
        <f>LET(id,$A191,code,UPPER(TRIM($D191)),rawStart,$F191,rawEnd,$G191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1" s="2">
        <f>LET(id,$A191,code,UPPER(TRIM($D191)),rawStart,$F191,rawEnd,$G191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1" s="2">
        <f>LET(id,$A191,code,UPPER(TRIM($D191)),rawStart,$F191,rawEnd,$G191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1" s="2">
        <f>LET(id,$A191,code,UPPER(TRIM($D191)),rawStart,$F191,rawEnd,$G191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1" s="2">
        <f>LET(id,$A191,code,UPPER(TRIM($D191)),rawStart,$F191,rawEnd,$G191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1" s="2">
        <f>LET(id,$A191,code,UPPER(TRIM($D191)),rawStart,$F191,rawEnd,$G191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1" s="2">
        <f>LET(id,$A191,code,UPPER(TRIM($D191)),rawStart,$F191,rawEnd,$G191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1" s="2">
        <f>LET(id,$A191,code,UPPER(TRIM($D191)),rawStart,$F191,rawEnd,$G191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1" s="2">
        <f>LET(id,$A191,code,UPPER(TRIM($D191)),rawStart,$F191,rawEnd,$G191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1" s="2">
        <f>LET(id,$A191,code,UPPER(TRIM($D191)),rawStart,$F191,rawEnd,$G191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1" s="2">
        <f>LET(id,$A191,code,UPPER(TRIM($D191)),rawStart,$F191,rawEnd,$G191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1" s="2">
        <f>LET(id,$A191,code,UPPER(TRIM($D191)),rawStart,$F191,rawEnd,$G191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1" s="2">
        <f>LET(id,$A191,code,UPPER(TRIM($D191)),rawStart,$F191,rawEnd,$G191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1" s="2">
        <f>LET(id,$A191,code,UPPER(TRIM($D191)),rawStart,$F191,rawEnd,$G191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1" s="2">
        <f>LET(id,$A191,code,UPPER(TRIM($D191)),rawStart,$F191,rawEnd,$G191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1" s="2">
        <f>LET(id,$A191,code,UPPER(TRIM($D191)),rawStart,$F191,rawEnd,$G191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1" s="2">
        <f>LET(id,$A191,code,UPPER(TRIM($D191)),rawStart,$F191,rawEnd,$G191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1" s="2">
        <f>LET(id,$A191,code,UPPER(TRIM($D191)),rawStart,$F191,rawEnd,$G191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1" s="2">
        <f>LET(id,$A191,code,UPPER(TRIM($D191)),rawStart,$F191,rawEnd,$G191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1" s="2">
        <f>LET(id,$A191,code,UPPER(TRIM($D191)),rawStart,$F191,rawEnd,$G191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1" s="2">
        <f>LET(id,$A191,code,UPPER(TRIM($D191)),rawStart,$F191,rawEnd,$G191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1" s="2">
        <f>LET(id,$A191,code,UPPER(TRIM($D191)),rawStart,$F191,rawEnd,$G191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1" s="2">
        <f>LET(id,$A191,code,UPPER(TRIM($D191)),rawStart,$F191,rawEnd,$G191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1" s="2">
        <f>LET(id,$A191,code,UPPER(TRIM($D191)),rawStart,$F191,rawEnd,$G191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1" s="2">
        <f>LET(id,$A191,code,UPPER(TRIM($D191)),rawStart,$F191,rawEnd,$G191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1" s="2">
        <f>LET(id,$A191,code,UPPER(TRIM($D191)),rawStart,$F191,rawEnd,$G191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1" s="2">
        <f>LET(id,$A191,code,UPPER(TRIM($D191)),rawStart,$F191,rawEnd,$G191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1" s="2">
        <f>LET(id,$A191,code,UPPER(TRIM($D191)),rawStart,$F191,rawEnd,$G191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1" s="2">
        <f>LET(id,$A191,code,UPPER(TRIM($D191)),rawStart,$F191,rawEnd,$G191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91" s="2">
        <f>Calc_Engine!BD191</f>
        <v/>
      </c>
    </row>
    <row r="192">
      <c r="A192" s="2">
        <f>Calc_Engine!A192</f>
        <v/>
      </c>
      <c r="B192" s="2">
        <f>Calc_Engine!B192</f>
        <v/>
      </c>
      <c r="C192" s="2">
        <f>Calc_Engine!C192</f>
        <v/>
      </c>
      <c r="D192" s="2">
        <f>Calc_Engine!D192</f>
        <v/>
      </c>
      <c r="E192" s="4">
        <f>Calc_Engine!E192</f>
        <v/>
      </c>
      <c r="F192" s="5">
        <f>Calc_Engine!F192</f>
        <v/>
      </c>
      <c r="G192" s="5">
        <f>Calc_Engine!G192</f>
        <v/>
      </c>
      <c r="H192" s="2">
        <f>LET(id,$A192,code,UPPER(TRIM($D192)),rawStart,$F192,rawEnd,$G192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2" s="2">
        <f>LET(id,$A192,code,UPPER(TRIM($D192)),rawStart,$F192,rawEnd,$G192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2" s="2">
        <f>LET(id,$A192,code,UPPER(TRIM($D192)),rawStart,$F192,rawEnd,$G192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2" s="2">
        <f>LET(id,$A192,code,UPPER(TRIM($D192)),rawStart,$F192,rawEnd,$G192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2" s="2">
        <f>LET(id,$A192,code,UPPER(TRIM($D192)),rawStart,$F192,rawEnd,$G192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2" s="2">
        <f>LET(id,$A192,code,UPPER(TRIM($D192)),rawStart,$F192,rawEnd,$G192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2" s="2">
        <f>LET(id,$A192,code,UPPER(TRIM($D192)),rawStart,$F192,rawEnd,$G192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2" s="2">
        <f>LET(id,$A192,code,UPPER(TRIM($D192)),rawStart,$F192,rawEnd,$G192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2" s="2">
        <f>LET(id,$A192,code,UPPER(TRIM($D192)),rawStart,$F192,rawEnd,$G192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2" s="2">
        <f>LET(id,$A192,code,UPPER(TRIM($D192)),rawStart,$F192,rawEnd,$G192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2" s="2">
        <f>LET(id,$A192,code,UPPER(TRIM($D192)),rawStart,$F192,rawEnd,$G192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2" s="2">
        <f>LET(id,$A192,code,UPPER(TRIM($D192)),rawStart,$F192,rawEnd,$G192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2" s="2">
        <f>LET(id,$A192,code,UPPER(TRIM($D192)),rawStart,$F192,rawEnd,$G192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2" s="2">
        <f>LET(id,$A192,code,UPPER(TRIM($D192)),rawStart,$F192,rawEnd,$G192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2" s="2">
        <f>LET(id,$A192,code,UPPER(TRIM($D192)),rawStart,$F192,rawEnd,$G192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2" s="2">
        <f>LET(id,$A192,code,UPPER(TRIM($D192)),rawStart,$F192,rawEnd,$G192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2" s="2">
        <f>LET(id,$A192,code,UPPER(TRIM($D192)),rawStart,$F192,rawEnd,$G192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2" s="2">
        <f>LET(id,$A192,code,UPPER(TRIM($D192)),rawStart,$F192,rawEnd,$G192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2" s="2">
        <f>LET(id,$A192,code,UPPER(TRIM($D192)),rawStart,$F192,rawEnd,$G192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2" s="2">
        <f>LET(id,$A192,code,UPPER(TRIM($D192)),rawStart,$F192,rawEnd,$G192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2" s="2">
        <f>LET(id,$A192,code,UPPER(TRIM($D192)),rawStart,$F192,rawEnd,$G192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2" s="2">
        <f>LET(id,$A192,code,UPPER(TRIM($D192)),rawStart,$F192,rawEnd,$G192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2" s="2">
        <f>LET(id,$A192,code,UPPER(TRIM($D192)),rawStart,$F192,rawEnd,$G192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2" s="2">
        <f>LET(id,$A192,code,UPPER(TRIM($D192)),rawStart,$F192,rawEnd,$G192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2" s="2">
        <f>LET(id,$A192,code,UPPER(TRIM($D192)),rawStart,$F192,rawEnd,$G192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2" s="2">
        <f>LET(id,$A192,code,UPPER(TRIM($D192)),rawStart,$F192,rawEnd,$G192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2" s="2">
        <f>LET(id,$A192,code,UPPER(TRIM($D192)),rawStart,$F192,rawEnd,$G192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2" s="2">
        <f>LET(id,$A192,code,UPPER(TRIM($D192)),rawStart,$F192,rawEnd,$G192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2" s="2">
        <f>LET(id,$A192,code,UPPER(TRIM($D192)),rawStart,$F192,rawEnd,$G192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2" s="2">
        <f>LET(id,$A192,code,UPPER(TRIM($D192)),rawStart,$F192,rawEnd,$G192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2" s="2">
        <f>LET(id,$A192,code,UPPER(TRIM($D192)),rawStart,$F192,rawEnd,$G192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2" s="2">
        <f>LET(id,$A192,code,UPPER(TRIM($D192)),rawStart,$F192,rawEnd,$G192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2" s="2">
        <f>LET(id,$A192,code,UPPER(TRIM($D192)),rawStart,$F192,rawEnd,$G192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2" s="2">
        <f>LET(id,$A192,code,UPPER(TRIM($D192)),rawStart,$F192,rawEnd,$G192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2" s="2">
        <f>LET(id,$A192,code,UPPER(TRIM($D192)),rawStart,$F192,rawEnd,$G192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2" s="2">
        <f>LET(id,$A192,code,UPPER(TRIM($D192)),rawStart,$F192,rawEnd,$G192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2" s="2">
        <f>LET(id,$A192,code,UPPER(TRIM($D192)),rawStart,$F192,rawEnd,$G192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2" s="2">
        <f>LET(id,$A192,code,UPPER(TRIM($D192)),rawStart,$F192,rawEnd,$G192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2" s="2">
        <f>LET(id,$A192,code,UPPER(TRIM($D192)),rawStart,$F192,rawEnd,$G192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2" s="2">
        <f>LET(id,$A192,code,UPPER(TRIM($D192)),rawStart,$F192,rawEnd,$G192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2" s="2">
        <f>LET(id,$A192,code,UPPER(TRIM($D192)),rawStart,$F192,rawEnd,$G192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2" s="2">
        <f>LET(id,$A192,code,UPPER(TRIM($D192)),rawStart,$F192,rawEnd,$G192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2" s="2">
        <f>LET(id,$A192,code,UPPER(TRIM($D192)),rawStart,$F192,rawEnd,$G192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2" s="2">
        <f>LET(id,$A192,code,UPPER(TRIM($D192)),rawStart,$F192,rawEnd,$G192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2" s="2">
        <f>LET(id,$A192,code,UPPER(TRIM($D192)),rawStart,$F192,rawEnd,$G192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2" s="2">
        <f>LET(id,$A192,code,UPPER(TRIM($D192)),rawStart,$F192,rawEnd,$G192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2" s="2">
        <f>LET(id,$A192,code,UPPER(TRIM($D192)),rawStart,$F192,rawEnd,$G192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2" s="2">
        <f>LET(id,$A192,code,UPPER(TRIM($D192)),rawStart,$F192,rawEnd,$G192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92" s="2">
        <f>Calc_Engine!BD192</f>
        <v/>
      </c>
    </row>
    <row r="193">
      <c r="A193" s="2">
        <f>Calc_Engine!A193</f>
        <v/>
      </c>
      <c r="B193" s="2">
        <f>Calc_Engine!B193</f>
        <v/>
      </c>
      <c r="C193" s="2">
        <f>Calc_Engine!C193</f>
        <v/>
      </c>
      <c r="D193" s="2">
        <f>Calc_Engine!D193</f>
        <v/>
      </c>
      <c r="E193" s="4">
        <f>Calc_Engine!E193</f>
        <v/>
      </c>
      <c r="F193" s="5">
        <f>Calc_Engine!F193</f>
        <v/>
      </c>
      <c r="G193" s="5">
        <f>Calc_Engine!G193</f>
        <v/>
      </c>
      <c r="H193" s="2">
        <f>LET(id,$A193,code,UPPER(TRIM($D193)),rawStart,$F193,rawEnd,$G193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3" s="2">
        <f>LET(id,$A193,code,UPPER(TRIM($D193)),rawStart,$F193,rawEnd,$G193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3" s="2">
        <f>LET(id,$A193,code,UPPER(TRIM($D193)),rawStart,$F193,rawEnd,$G193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3" s="2">
        <f>LET(id,$A193,code,UPPER(TRIM($D193)),rawStart,$F193,rawEnd,$G193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3" s="2">
        <f>LET(id,$A193,code,UPPER(TRIM($D193)),rawStart,$F193,rawEnd,$G193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3" s="2">
        <f>LET(id,$A193,code,UPPER(TRIM($D193)),rawStart,$F193,rawEnd,$G193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3" s="2">
        <f>LET(id,$A193,code,UPPER(TRIM($D193)),rawStart,$F193,rawEnd,$G193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3" s="2">
        <f>LET(id,$A193,code,UPPER(TRIM($D193)),rawStart,$F193,rawEnd,$G193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3" s="2">
        <f>LET(id,$A193,code,UPPER(TRIM($D193)),rawStart,$F193,rawEnd,$G193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3" s="2">
        <f>LET(id,$A193,code,UPPER(TRIM($D193)),rawStart,$F193,rawEnd,$G193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3" s="2">
        <f>LET(id,$A193,code,UPPER(TRIM($D193)),rawStart,$F193,rawEnd,$G193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3" s="2">
        <f>LET(id,$A193,code,UPPER(TRIM($D193)),rawStart,$F193,rawEnd,$G193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3" s="2">
        <f>LET(id,$A193,code,UPPER(TRIM($D193)),rawStart,$F193,rawEnd,$G193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3" s="2">
        <f>LET(id,$A193,code,UPPER(TRIM($D193)),rawStart,$F193,rawEnd,$G193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3" s="2">
        <f>LET(id,$A193,code,UPPER(TRIM($D193)),rawStart,$F193,rawEnd,$G193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3" s="2">
        <f>LET(id,$A193,code,UPPER(TRIM($D193)),rawStart,$F193,rawEnd,$G193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3" s="2">
        <f>LET(id,$A193,code,UPPER(TRIM($D193)),rawStart,$F193,rawEnd,$G193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3" s="2">
        <f>LET(id,$A193,code,UPPER(TRIM($D193)),rawStart,$F193,rawEnd,$G193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3" s="2">
        <f>LET(id,$A193,code,UPPER(TRIM($D193)),rawStart,$F193,rawEnd,$G193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3" s="2">
        <f>LET(id,$A193,code,UPPER(TRIM($D193)),rawStart,$F193,rawEnd,$G193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3" s="2">
        <f>LET(id,$A193,code,UPPER(TRIM($D193)),rawStart,$F193,rawEnd,$G193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3" s="2">
        <f>LET(id,$A193,code,UPPER(TRIM($D193)),rawStart,$F193,rawEnd,$G193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3" s="2">
        <f>LET(id,$A193,code,UPPER(TRIM($D193)),rawStart,$F193,rawEnd,$G193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3" s="2">
        <f>LET(id,$A193,code,UPPER(TRIM($D193)),rawStart,$F193,rawEnd,$G193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3" s="2">
        <f>LET(id,$A193,code,UPPER(TRIM($D193)),rawStart,$F193,rawEnd,$G193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3" s="2">
        <f>LET(id,$A193,code,UPPER(TRIM($D193)),rawStart,$F193,rawEnd,$G193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3" s="2">
        <f>LET(id,$A193,code,UPPER(TRIM($D193)),rawStart,$F193,rawEnd,$G193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3" s="2">
        <f>LET(id,$A193,code,UPPER(TRIM($D193)),rawStart,$F193,rawEnd,$G193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3" s="2">
        <f>LET(id,$A193,code,UPPER(TRIM($D193)),rawStart,$F193,rawEnd,$G193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3" s="2">
        <f>LET(id,$A193,code,UPPER(TRIM($D193)),rawStart,$F193,rawEnd,$G193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3" s="2">
        <f>LET(id,$A193,code,UPPER(TRIM($D193)),rawStart,$F193,rawEnd,$G193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3" s="2">
        <f>LET(id,$A193,code,UPPER(TRIM($D193)),rawStart,$F193,rawEnd,$G193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3" s="2">
        <f>LET(id,$A193,code,UPPER(TRIM($D193)),rawStart,$F193,rawEnd,$G193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3" s="2">
        <f>LET(id,$A193,code,UPPER(TRIM($D193)),rawStart,$F193,rawEnd,$G193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3" s="2">
        <f>LET(id,$A193,code,UPPER(TRIM($D193)),rawStart,$F193,rawEnd,$G193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3" s="2">
        <f>LET(id,$A193,code,UPPER(TRIM($D193)),rawStart,$F193,rawEnd,$G193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3" s="2">
        <f>LET(id,$A193,code,UPPER(TRIM($D193)),rawStart,$F193,rawEnd,$G193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3" s="2">
        <f>LET(id,$A193,code,UPPER(TRIM($D193)),rawStart,$F193,rawEnd,$G193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3" s="2">
        <f>LET(id,$A193,code,UPPER(TRIM($D193)),rawStart,$F193,rawEnd,$G193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3" s="2">
        <f>LET(id,$A193,code,UPPER(TRIM($D193)),rawStart,$F193,rawEnd,$G193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3" s="2">
        <f>LET(id,$A193,code,UPPER(TRIM($D193)),rawStart,$F193,rawEnd,$G193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3" s="2">
        <f>LET(id,$A193,code,UPPER(TRIM($D193)),rawStart,$F193,rawEnd,$G193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3" s="2">
        <f>LET(id,$A193,code,UPPER(TRIM($D193)),rawStart,$F193,rawEnd,$G193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3" s="2">
        <f>LET(id,$A193,code,UPPER(TRIM($D193)),rawStart,$F193,rawEnd,$G193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3" s="2">
        <f>LET(id,$A193,code,UPPER(TRIM($D193)),rawStart,$F193,rawEnd,$G193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3" s="2">
        <f>LET(id,$A193,code,UPPER(TRIM($D193)),rawStart,$F193,rawEnd,$G193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3" s="2">
        <f>LET(id,$A193,code,UPPER(TRIM($D193)),rawStart,$F193,rawEnd,$G193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3" s="2">
        <f>LET(id,$A193,code,UPPER(TRIM($D193)),rawStart,$F193,rawEnd,$G193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93" s="2">
        <f>Calc_Engine!BD193</f>
        <v/>
      </c>
    </row>
    <row r="194">
      <c r="A194" s="2">
        <f>Calc_Engine!A194</f>
        <v/>
      </c>
      <c r="B194" s="2">
        <f>Calc_Engine!B194</f>
        <v/>
      </c>
      <c r="C194" s="2">
        <f>Calc_Engine!C194</f>
        <v/>
      </c>
      <c r="D194" s="2">
        <f>Calc_Engine!D194</f>
        <v/>
      </c>
      <c r="E194" s="4">
        <f>Calc_Engine!E194</f>
        <v/>
      </c>
      <c r="F194" s="5">
        <f>Calc_Engine!F194</f>
        <v/>
      </c>
      <c r="G194" s="5">
        <f>Calc_Engine!G194</f>
        <v/>
      </c>
      <c r="H194" s="2">
        <f>LET(id,$A194,code,UPPER(TRIM($D194)),rawStart,$F194,rawEnd,$G194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4" s="2">
        <f>LET(id,$A194,code,UPPER(TRIM($D194)),rawStart,$F194,rawEnd,$G194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4" s="2">
        <f>LET(id,$A194,code,UPPER(TRIM($D194)),rawStart,$F194,rawEnd,$G194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4" s="2">
        <f>LET(id,$A194,code,UPPER(TRIM($D194)),rawStart,$F194,rawEnd,$G194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4" s="2">
        <f>LET(id,$A194,code,UPPER(TRIM($D194)),rawStart,$F194,rawEnd,$G194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4" s="2">
        <f>LET(id,$A194,code,UPPER(TRIM($D194)),rawStart,$F194,rawEnd,$G194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4" s="2">
        <f>LET(id,$A194,code,UPPER(TRIM($D194)),rawStart,$F194,rawEnd,$G194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4" s="2">
        <f>LET(id,$A194,code,UPPER(TRIM($D194)),rawStart,$F194,rawEnd,$G194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4" s="2">
        <f>LET(id,$A194,code,UPPER(TRIM($D194)),rawStart,$F194,rawEnd,$G194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4" s="2">
        <f>LET(id,$A194,code,UPPER(TRIM($D194)),rawStart,$F194,rawEnd,$G194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4" s="2">
        <f>LET(id,$A194,code,UPPER(TRIM($D194)),rawStart,$F194,rawEnd,$G194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4" s="2">
        <f>LET(id,$A194,code,UPPER(TRIM($D194)),rawStart,$F194,rawEnd,$G194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4" s="2">
        <f>LET(id,$A194,code,UPPER(TRIM($D194)),rawStart,$F194,rawEnd,$G194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4" s="2">
        <f>LET(id,$A194,code,UPPER(TRIM($D194)),rawStart,$F194,rawEnd,$G194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4" s="2">
        <f>LET(id,$A194,code,UPPER(TRIM($D194)),rawStart,$F194,rawEnd,$G194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4" s="2">
        <f>LET(id,$A194,code,UPPER(TRIM($D194)),rawStart,$F194,rawEnd,$G194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4" s="2">
        <f>LET(id,$A194,code,UPPER(TRIM($D194)),rawStart,$F194,rawEnd,$G194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4" s="2">
        <f>LET(id,$A194,code,UPPER(TRIM($D194)),rawStart,$F194,rawEnd,$G194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4" s="2">
        <f>LET(id,$A194,code,UPPER(TRIM($D194)),rawStart,$F194,rawEnd,$G194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4" s="2">
        <f>LET(id,$A194,code,UPPER(TRIM($D194)),rawStart,$F194,rawEnd,$G194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4" s="2">
        <f>LET(id,$A194,code,UPPER(TRIM($D194)),rawStart,$F194,rawEnd,$G194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4" s="2">
        <f>LET(id,$A194,code,UPPER(TRIM($D194)),rawStart,$F194,rawEnd,$G194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4" s="2">
        <f>LET(id,$A194,code,UPPER(TRIM($D194)),rawStart,$F194,rawEnd,$G194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4" s="2">
        <f>LET(id,$A194,code,UPPER(TRIM($D194)),rawStart,$F194,rawEnd,$G194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4" s="2">
        <f>LET(id,$A194,code,UPPER(TRIM($D194)),rawStart,$F194,rawEnd,$G194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4" s="2">
        <f>LET(id,$A194,code,UPPER(TRIM($D194)),rawStart,$F194,rawEnd,$G194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4" s="2">
        <f>LET(id,$A194,code,UPPER(TRIM($D194)),rawStart,$F194,rawEnd,$G194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4" s="2">
        <f>LET(id,$A194,code,UPPER(TRIM($D194)),rawStart,$F194,rawEnd,$G194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4" s="2">
        <f>LET(id,$A194,code,UPPER(TRIM($D194)),rawStart,$F194,rawEnd,$G194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4" s="2">
        <f>LET(id,$A194,code,UPPER(TRIM($D194)),rawStart,$F194,rawEnd,$G194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4" s="2">
        <f>LET(id,$A194,code,UPPER(TRIM($D194)),rawStart,$F194,rawEnd,$G194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4" s="2">
        <f>LET(id,$A194,code,UPPER(TRIM($D194)),rawStart,$F194,rawEnd,$G194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4" s="2">
        <f>LET(id,$A194,code,UPPER(TRIM($D194)),rawStart,$F194,rawEnd,$G194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4" s="2">
        <f>LET(id,$A194,code,UPPER(TRIM($D194)),rawStart,$F194,rawEnd,$G194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4" s="2">
        <f>LET(id,$A194,code,UPPER(TRIM($D194)),rawStart,$F194,rawEnd,$G194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4" s="2">
        <f>LET(id,$A194,code,UPPER(TRIM($D194)),rawStart,$F194,rawEnd,$G194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4" s="2">
        <f>LET(id,$A194,code,UPPER(TRIM($D194)),rawStart,$F194,rawEnd,$G194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4" s="2">
        <f>LET(id,$A194,code,UPPER(TRIM($D194)),rawStart,$F194,rawEnd,$G194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4" s="2">
        <f>LET(id,$A194,code,UPPER(TRIM($D194)),rawStart,$F194,rawEnd,$G194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4" s="2">
        <f>LET(id,$A194,code,UPPER(TRIM($D194)),rawStart,$F194,rawEnd,$G194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4" s="2">
        <f>LET(id,$A194,code,UPPER(TRIM($D194)),rawStart,$F194,rawEnd,$G194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4" s="2">
        <f>LET(id,$A194,code,UPPER(TRIM($D194)),rawStart,$F194,rawEnd,$G194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4" s="2">
        <f>LET(id,$A194,code,UPPER(TRIM($D194)),rawStart,$F194,rawEnd,$G194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4" s="2">
        <f>LET(id,$A194,code,UPPER(TRIM($D194)),rawStart,$F194,rawEnd,$G194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4" s="2">
        <f>LET(id,$A194,code,UPPER(TRIM($D194)),rawStart,$F194,rawEnd,$G194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4" s="2">
        <f>LET(id,$A194,code,UPPER(TRIM($D194)),rawStart,$F194,rawEnd,$G194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4" s="2">
        <f>LET(id,$A194,code,UPPER(TRIM($D194)),rawStart,$F194,rawEnd,$G194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4" s="2">
        <f>LET(id,$A194,code,UPPER(TRIM($D194)),rawStart,$F194,rawEnd,$G194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94" s="2">
        <f>Calc_Engine!BD194</f>
        <v/>
      </c>
    </row>
    <row r="195">
      <c r="A195" s="2">
        <f>Calc_Engine!A195</f>
        <v/>
      </c>
      <c r="B195" s="2">
        <f>Calc_Engine!B195</f>
        <v/>
      </c>
      <c r="C195" s="2">
        <f>Calc_Engine!C195</f>
        <v/>
      </c>
      <c r="D195" s="2">
        <f>Calc_Engine!D195</f>
        <v/>
      </c>
      <c r="E195" s="4">
        <f>Calc_Engine!E195</f>
        <v/>
      </c>
      <c r="F195" s="5">
        <f>Calc_Engine!F195</f>
        <v/>
      </c>
      <c r="G195" s="5">
        <f>Calc_Engine!G195</f>
        <v/>
      </c>
      <c r="H195" s="2">
        <f>LET(id,$A195,code,UPPER(TRIM($D195)),rawStart,$F195,rawEnd,$G195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5" s="2">
        <f>LET(id,$A195,code,UPPER(TRIM($D195)),rawStart,$F195,rawEnd,$G195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5" s="2">
        <f>LET(id,$A195,code,UPPER(TRIM($D195)),rawStart,$F195,rawEnd,$G195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5" s="2">
        <f>LET(id,$A195,code,UPPER(TRIM($D195)),rawStart,$F195,rawEnd,$G195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5" s="2">
        <f>LET(id,$A195,code,UPPER(TRIM($D195)),rawStart,$F195,rawEnd,$G195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5" s="2">
        <f>LET(id,$A195,code,UPPER(TRIM($D195)),rawStart,$F195,rawEnd,$G195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5" s="2">
        <f>LET(id,$A195,code,UPPER(TRIM($D195)),rawStart,$F195,rawEnd,$G195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5" s="2">
        <f>LET(id,$A195,code,UPPER(TRIM($D195)),rawStart,$F195,rawEnd,$G195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5" s="2">
        <f>LET(id,$A195,code,UPPER(TRIM($D195)),rawStart,$F195,rawEnd,$G195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5" s="2">
        <f>LET(id,$A195,code,UPPER(TRIM($D195)),rawStart,$F195,rawEnd,$G195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5" s="2">
        <f>LET(id,$A195,code,UPPER(TRIM($D195)),rawStart,$F195,rawEnd,$G195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5" s="2">
        <f>LET(id,$A195,code,UPPER(TRIM($D195)),rawStart,$F195,rawEnd,$G195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5" s="2">
        <f>LET(id,$A195,code,UPPER(TRIM($D195)),rawStart,$F195,rawEnd,$G195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5" s="2">
        <f>LET(id,$A195,code,UPPER(TRIM($D195)),rawStart,$F195,rawEnd,$G195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5" s="2">
        <f>LET(id,$A195,code,UPPER(TRIM($D195)),rawStart,$F195,rawEnd,$G195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5" s="2">
        <f>LET(id,$A195,code,UPPER(TRIM($D195)),rawStart,$F195,rawEnd,$G195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5" s="2">
        <f>LET(id,$A195,code,UPPER(TRIM($D195)),rawStart,$F195,rawEnd,$G195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5" s="2">
        <f>LET(id,$A195,code,UPPER(TRIM($D195)),rawStart,$F195,rawEnd,$G195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5" s="2">
        <f>LET(id,$A195,code,UPPER(TRIM($D195)),rawStart,$F195,rawEnd,$G195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5" s="2">
        <f>LET(id,$A195,code,UPPER(TRIM($D195)),rawStart,$F195,rawEnd,$G195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5" s="2">
        <f>LET(id,$A195,code,UPPER(TRIM($D195)),rawStart,$F195,rawEnd,$G195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5" s="2">
        <f>LET(id,$A195,code,UPPER(TRIM($D195)),rawStart,$F195,rawEnd,$G195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5" s="2">
        <f>LET(id,$A195,code,UPPER(TRIM($D195)),rawStart,$F195,rawEnd,$G195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5" s="2">
        <f>LET(id,$A195,code,UPPER(TRIM($D195)),rawStart,$F195,rawEnd,$G195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5" s="2">
        <f>LET(id,$A195,code,UPPER(TRIM($D195)),rawStart,$F195,rawEnd,$G195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5" s="2">
        <f>LET(id,$A195,code,UPPER(TRIM($D195)),rawStart,$F195,rawEnd,$G195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5" s="2">
        <f>LET(id,$A195,code,UPPER(TRIM($D195)),rawStart,$F195,rawEnd,$G195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5" s="2">
        <f>LET(id,$A195,code,UPPER(TRIM($D195)),rawStart,$F195,rawEnd,$G195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5" s="2">
        <f>LET(id,$A195,code,UPPER(TRIM($D195)),rawStart,$F195,rawEnd,$G195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5" s="2">
        <f>LET(id,$A195,code,UPPER(TRIM($D195)),rawStart,$F195,rawEnd,$G195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5" s="2">
        <f>LET(id,$A195,code,UPPER(TRIM($D195)),rawStart,$F195,rawEnd,$G195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5" s="2">
        <f>LET(id,$A195,code,UPPER(TRIM($D195)),rawStart,$F195,rawEnd,$G195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5" s="2">
        <f>LET(id,$A195,code,UPPER(TRIM($D195)),rawStart,$F195,rawEnd,$G195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5" s="2">
        <f>LET(id,$A195,code,UPPER(TRIM($D195)),rawStart,$F195,rawEnd,$G195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5" s="2">
        <f>LET(id,$A195,code,UPPER(TRIM($D195)),rawStart,$F195,rawEnd,$G195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5" s="2">
        <f>LET(id,$A195,code,UPPER(TRIM($D195)),rawStart,$F195,rawEnd,$G195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5" s="2">
        <f>LET(id,$A195,code,UPPER(TRIM($D195)),rawStart,$F195,rawEnd,$G195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5" s="2">
        <f>LET(id,$A195,code,UPPER(TRIM($D195)),rawStart,$F195,rawEnd,$G195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5" s="2">
        <f>LET(id,$A195,code,UPPER(TRIM($D195)),rawStart,$F195,rawEnd,$G195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5" s="2">
        <f>LET(id,$A195,code,UPPER(TRIM($D195)),rawStart,$F195,rawEnd,$G195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5" s="2">
        <f>LET(id,$A195,code,UPPER(TRIM($D195)),rawStart,$F195,rawEnd,$G195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5" s="2">
        <f>LET(id,$A195,code,UPPER(TRIM($D195)),rawStart,$F195,rawEnd,$G195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5" s="2">
        <f>LET(id,$A195,code,UPPER(TRIM($D195)),rawStart,$F195,rawEnd,$G195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5" s="2">
        <f>LET(id,$A195,code,UPPER(TRIM($D195)),rawStart,$F195,rawEnd,$G195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5" s="2">
        <f>LET(id,$A195,code,UPPER(TRIM($D195)),rawStart,$F195,rawEnd,$G195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5" s="2">
        <f>LET(id,$A195,code,UPPER(TRIM($D195)),rawStart,$F195,rawEnd,$G195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5" s="2">
        <f>LET(id,$A195,code,UPPER(TRIM($D195)),rawStart,$F195,rawEnd,$G195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5" s="2">
        <f>LET(id,$A195,code,UPPER(TRIM($D195)),rawStart,$F195,rawEnd,$G195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95" s="2">
        <f>Calc_Engine!BD195</f>
        <v/>
      </c>
    </row>
    <row r="196">
      <c r="A196" s="2">
        <f>Calc_Engine!A196</f>
        <v/>
      </c>
      <c r="B196" s="2">
        <f>Calc_Engine!B196</f>
        <v/>
      </c>
      <c r="C196" s="2">
        <f>Calc_Engine!C196</f>
        <v/>
      </c>
      <c r="D196" s="2">
        <f>Calc_Engine!D196</f>
        <v/>
      </c>
      <c r="E196" s="4">
        <f>Calc_Engine!E196</f>
        <v/>
      </c>
      <c r="F196" s="5">
        <f>Calc_Engine!F196</f>
        <v/>
      </c>
      <c r="G196" s="5">
        <f>Calc_Engine!G196</f>
        <v/>
      </c>
      <c r="H196" s="2">
        <f>LET(id,$A196,code,UPPER(TRIM($D196)),rawStart,$F196,rawEnd,$G196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6" s="2">
        <f>LET(id,$A196,code,UPPER(TRIM($D196)),rawStart,$F196,rawEnd,$G196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6" s="2">
        <f>LET(id,$A196,code,UPPER(TRIM($D196)),rawStart,$F196,rawEnd,$G196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6" s="2">
        <f>LET(id,$A196,code,UPPER(TRIM($D196)),rawStart,$F196,rawEnd,$G196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6" s="2">
        <f>LET(id,$A196,code,UPPER(TRIM($D196)),rawStart,$F196,rawEnd,$G196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6" s="2">
        <f>LET(id,$A196,code,UPPER(TRIM($D196)),rawStart,$F196,rawEnd,$G196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6" s="2">
        <f>LET(id,$A196,code,UPPER(TRIM($D196)),rawStart,$F196,rawEnd,$G196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6" s="2">
        <f>LET(id,$A196,code,UPPER(TRIM($D196)),rawStart,$F196,rawEnd,$G196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6" s="2">
        <f>LET(id,$A196,code,UPPER(TRIM($D196)),rawStart,$F196,rawEnd,$G196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6" s="2">
        <f>LET(id,$A196,code,UPPER(TRIM($D196)),rawStart,$F196,rawEnd,$G196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6" s="2">
        <f>LET(id,$A196,code,UPPER(TRIM($D196)),rawStart,$F196,rawEnd,$G196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6" s="2">
        <f>LET(id,$A196,code,UPPER(TRIM($D196)),rawStart,$F196,rawEnd,$G196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6" s="2">
        <f>LET(id,$A196,code,UPPER(TRIM($D196)),rawStart,$F196,rawEnd,$G196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6" s="2">
        <f>LET(id,$A196,code,UPPER(TRIM($D196)),rawStart,$F196,rawEnd,$G196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6" s="2">
        <f>LET(id,$A196,code,UPPER(TRIM($D196)),rawStart,$F196,rawEnd,$G196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6" s="2">
        <f>LET(id,$A196,code,UPPER(TRIM($D196)),rawStart,$F196,rawEnd,$G196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6" s="2">
        <f>LET(id,$A196,code,UPPER(TRIM($D196)),rawStart,$F196,rawEnd,$G196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6" s="2">
        <f>LET(id,$A196,code,UPPER(TRIM($D196)),rawStart,$F196,rawEnd,$G196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6" s="2">
        <f>LET(id,$A196,code,UPPER(TRIM($D196)),rawStart,$F196,rawEnd,$G196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6" s="2">
        <f>LET(id,$A196,code,UPPER(TRIM($D196)),rawStart,$F196,rawEnd,$G196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6" s="2">
        <f>LET(id,$A196,code,UPPER(TRIM($D196)),rawStart,$F196,rawEnd,$G196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6" s="2">
        <f>LET(id,$A196,code,UPPER(TRIM($D196)),rawStart,$F196,rawEnd,$G196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6" s="2">
        <f>LET(id,$A196,code,UPPER(TRIM($D196)),rawStart,$F196,rawEnd,$G196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6" s="2">
        <f>LET(id,$A196,code,UPPER(TRIM($D196)),rawStart,$F196,rawEnd,$G196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6" s="2">
        <f>LET(id,$A196,code,UPPER(TRIM($D196)),rawStart,$F196,rawEnd,$G196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6" s="2">
        <f>LET(id,$A196,code,UPPER(TRIM($D196)),rawStart,$F196,rawEnd,$G196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6" s="2">
        <f>LET(id,$A196,code,UPPER(TRIM($D196)),rawStart,$F196,rawEnd,$G196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6" s="2">
        <f>LET(id,$A196,code,UPPER(TRIM($D196)),rawStart,$F196,rawEnd,$G196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6" s="2">
        <f>LET(id,$A196,code,UPPER(TRIM($D196)),rawStart,$F196,rawEnd,$G196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6" s="2">
        <f>LET(id,$A196,code,UPPER(TRIM($D196)),rawStart,$F196,rawEnd,$G196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6" s="2">
        <f>LET(id,$A196,code,UPPER(TRIM($D196)),rawStart,$F196,rawEnd,$G196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6" s="2">
        <f>LET(id,$A196,code,UPPER(TRIM($D196)),rawStart,$F196,rawEnd,$G196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6" s="2">
        <f>LET(id,$A196,code,UPPER(TRIM($D196)),rawStart,$F196,rawEnd,$G196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6" s="2">
        <f>LET(id,$A196,code,UPPER(TRIM($D196)),rawStart,$F196,rawEnd,$G196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6" s="2">
        <f>LET(id,$A196,code,UPPER(TRIM($D196)),rawStart,$F196,rawEnd,$G196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6" s="2">
        <f>LET(id,$A196,code,UPPER(TRIM($D196)),rawStart,$F196,rawEnd,$G196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6" s="2">
        <f>LET(id,$A196,code,UPPER(TRIM($D196)),rawStart,$F196,rawEnd,$G196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6" s="2">
        <f>LET(id,$A196,code,UPPER(TRIM($D196)),rawStart,$F196,rawEnd,$G196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6" s="2">
        <f>LET(id,$A196,code,UPPER(TRIM($D196)),rawStart,$F196,rawEnd,$G196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6" s="2">
        <f>LET(id,$A196,code,UPPER(TRIM($D196)),rawStart,$F196,rawEnd,$G196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6" s="2">
        <f>LET(id,$A196,code,UPPER(TRIM($D196)),rawStart,$F196,rawEnd,$G196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6" s="2">
        <f>LET(id,$A196,code,UPPER(TRIM($D196)),rawStart,$F196,rawEnd,$G196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6" s="2">
        <f>LET(id,$A196,code,UPPER(TRIM($D196)),rawStart,$F196,rawEnd,$G196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6" s="2">
        <f>LET(id,$A196,code,UPPER(TRIM($D196)),rawStart,$F196,rawEnd,$G196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6" s="2">
        <f>LET(id,$A196,code,UPPER(TRIM($D196)),rawStart,$F196,rawEnd,$G196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6" s="2">
        <f>LET(id,$A196,code,UPPER(TRIM($D196)),rawStart,$F196,rawEnd,$G196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6" s="2">
        <f>LET(id,$A196,code,UPPER(TRIM($D196)),rawStart,$F196,rawEnd,$G196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6" s="2">
        <f>LET(id,$A196,code,UPPER(TRIM($D196)),rawStart,$F196,rawEnd,$G196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96" s="2">
        <f>Calc_Engine!BD196</f>
        <v/>
      </c>
    </row>
    <row r="197">
      <c r="A197" s="2">
        <f>Calc_Engine!A197</f>
        <v/>
      </c>
      <c r="B197" s="2">
        <f>Calc_Engine!B197</f>
        <v/>
      </c>
      <c r="C197" s="2">
        <f>Calc_Engine!C197</f>
        <v/>
      </c>
      <c r="D197" s="2">
        <f>Calc_Engine!D197</f>
        <v/>
      </c>
      <c r="E197" s="4">
        <f>Calc_Engine!E197</f>
        <v/>
      </c>
      <c r="F197" s="5">
        <f>Calc_Engine!F197</f>
        <v/>
      </c>
      <c r="G197" s="5">
        <f>Calc_Engine!G197</f>
        <v/>
      </c>
      <c r="H197" s="2">
        <f>LET(id,$A197,code,UPPER(TRIM($D197)),rawStart,$F197,rawEnd,$G197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7" s="2">
        <f>LET(id,$A197,code,UPPER(TRIM($D197)),rawStart,$F197,rawEnd,$G197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7" s="2">
        <f>LET(id,$A197,code,UPPER(TRIM($D197)),rawStart,$F197,rawEnd,$G197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7" s="2">
        <f>LET(id,$A197,code,UPPER(TRIM($D197)),rawStart,$F197,rawEnd,$G197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7" s="2">
        <f>LET(id,$A197,code,UPPER(TRIM($D197)),rawStart,$F197,rawEnd,$G197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7" s="2">
        <f>LET(id,$A197,code,UPPER(TRIM($D197)),rawStart,$F197,rawEnd,$G197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7" s="2">
        <f>LET(id,$A197,code,UPPER(TRIM($D197)),rawStart,$F197,rawEnd,$G197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7" s="2">
        <f>LET(id,$A197,code,UPPER(TRIM($D197)),rawStart,$F197,rawEnd,$G197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7" s="2">
        <f>LET(id,$A197,code,UPPER(TRIM($D197)),rawStart,$F197,rawEnd,$G197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7" s="2">
        <f>LET(id,$A197,code,UPPER(TRIM($D197)),rawStart,$F197,rawEnd,$G197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7" s="2">
        <f>LET(id,$A197,code,UPPER(TRIM($D197)),rawStart,$F197,rawEnd,$G197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7" s="2">
        <f>LET(id,$A197,code,UPPER(TRIM($D197)),rawStart,$F197,rawEnd,$G197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7" s="2">
        <f>LET(id,$A197,code,UPPER(TRIM($D197)),rawStart,$F197,rawEnd,$G197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7" s="2">
        <f>LET(id,$A197,code,UPPER(TRIM($D197)),rawStart,$F197,rawEnd,$G197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7" s="2">
        <f>LET(id,$A197,code,UPPER(TRIM($D197)),rawStart,$F197,rawEnd,$G197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7" s="2">
        <f>LET(id,$A197,code,UPPER(TRIM($D197)),rawStart,$F197,rawEnd,$G197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7" s="2">
        <f>LET(id,$A197,code,UPPER(TRIM($D197)),rawStart,$F197,rawEnd,$G197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7" s="2">
        <f>LET(id,$A197,code,UPPER(TRIM($D197)),rawStart,$F197,rawEnd,$G197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7" s="2">
        <f>LET(id,$A197,code,UPPER(TRIM($D197)),rawStart,$F197,rawEnd,$G197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7" s="2">
        <f>LET(id,$A197,code,UPPER(TRIM($D197)),rawStart,$F197,rawEnd,$G197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7" s="2">
        <f>LET(id,$A197,code,UPPER(TRIM($D197)),rawStart,$F197,rawEnd,$G197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7" s="2">
        <f>LET(id,$A197,code,UPPER(TRIM($D197)),rawStart,$F197,rawEnd,$G197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7" s="2">
        <f>LET(id,$A197,code,UPPER(TRIM($D197)),rawStart,$F197,rawEnd,$G197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7" s="2">
        <f>LET(id,$A197,code,UPPER(TRIM($D197)),rawStart,$F197,rawEnd,$G197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7" s="2">
        <f>LET(id,$A197,code,UPPER(TRIM($D197)),rawStart,$F197,rawEnd,$G197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7" s="2">
        <f>LET(id,$A197,code,UPPER(TRIM($D197)),rawStart,$F197,rawEnd,$G197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7" s="2">
        <f>LET(id,$A197,code,UPPER(TRIM($D197)),rawStart,$F197,rawEnd,$G197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7" s="2">
        <f>LET(id,$A197,code,UPPER(TRIM($D197)),rawStart,$F197,rawEnd,$G197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7" s="2">
        <f>LET(id,$A197,code,UPPER(TRIM($D197)),rawStart,$F197,rawEnd,$G197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7" s="2">
        <f>LET(id,$A197,code,UPPER(TRIM($D197)),rawStart,$F197,rawEnd,$G197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7" s="2">
        <f>LET(id,$A197,code,UPPER(TRIM($D197)),rawStart,$F197,rawEnd,$G197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7" s="2">
        <f>LET(id,$A197,code,UPPER(TRIM($D197)),rawStart,$F197,rawEnd,$G197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7" s="2">
        <f>LET(id,$A197,code,UPPER(TRIM($D197)),rawStart,$F197,rawEnd,$G197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7" s="2">
        <f>LET(id,$A197,code,UPPER(TRIM($D197)),rawStart,$F197,rawEnd,$G197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7" s="2">
        <f>LET(id,$A197,code,UPPER(TRIM($D197)),rawStart,$F197,rawEnd,$G197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7" s="2">
        <f>LET(id,$A197,code,UPPER(TRIM($D197)),rawStart,$F197,rawEnd,$G197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7" s="2">
        <f>LET(id,$A197,code,UPPER(TRIM($D197)),rawStart,$F197,rawEnd,$G197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7" s="2">
        <f>LET(id,$A197,code,UPPER(TRIM($D197)),rawStart,$F197,rawEnd,$G197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7" s="2">
        <f>LET(id,$A197,code,UPPER(TRIM($D197)),rawStart,$F197,rawEnd,$G197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7" s="2">
        <f>LET(id,$A197,code,UPPER(TRIM($D197)),rawStart,$F197,rawEnd,$G197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7" s="2">
        <f>LET(id,$A197,code,UPPER(TRIM($D197)),rawStart,$F197,rawEnd,$G197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7" s="2">
        <f>LET(id,$A197,code,UPPER(TRIM($D197)),rawStart,$F197,rawEnd,$G197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7" s="2">
        <f>LET(id,$A197,code,UPPER(TRIM($D197)),rawStart,$F197,rawEnd,$G197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7" s="2">
        <f>LET(id,$A197,code,UPPER(TRIM($D197)),rawStart,$F197,rawEnd,$G197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7" s="2">
        <f>LET(id,$A197,code,UPPER(TRIM($D197)),rawStart,$F197,rawEnd,$G197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7" s="2">
        <f>LET(id,$A197,code,UPPER(TRIM($D197)),rawStart,$F197,rawEnd,$G197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7" s="2">
        <f>LET(id,$A197,code,UPPER(TRIM($D197)),rawStart,$F197,rawEnd,$G197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7" s="2">
        <f>LET(id,$A197,code,UPPER(TRIM($D197)),rawStart,$F197,rawEnd,$G197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97" s="2">
        <f>Calc_Engine!BD197</f>
        <v/>
      </c>
    </row>
    <row r="198">
      <c r="A198" s="2">
        <f>Calc_Engine!A198</f>
        <v/>
      </c>
      <c r="B198" s="2">
        <f>Calc_Engine!B198</f>
        <v/>
      </c>
      <c r="C198" s="2">
        <f>Calc_Engine!C198</f>
        <v/>
      </c>
      <c r="D198" s="2">
        <f>Calc_Engine!D198</f>
        <v/>
      </c>
      <c r="E198" s="4">
        <f>Calc_Engine!E198</f>
        <v/>
      </c>
      <c r="F198" s="5">
        <f>Calc_Engine!F198</f>
        <v/>
      </c>
      <c r="G198" s="5">
        <f>Calc_Engine!G198</f>
        <v/>
      </c>
      <c r="H198" s="2">
        <f>LET(id,$A198,code,UPPER(TRIM($D198)),rawStart,$F198,rawEnd,$G198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8" s="2">
        <f>LET(id,$A198,code,UPPER(TRIM($D198)),rawStart,$F198,rawEnd,$G198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8" s="2">
        <f>LET(id,$A198,code,UPPER(TRIM($D198)),rawStart,$F198,rawEnd,$G198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8" s="2">
        <f>LET(id,$A198,code,UPPER(TRIM($D198)),rawStart,$F198,rawEnd,$G198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8" s="2">
        <f>LET(id,$A198,code,UPPER(TRIM($D198)),rawStart,$F198,rawEnd,$G198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8" s="2">
        <f>LET(id,$A198,code,UPPER(TRIM($D198)),rawStart,$F198,rawEnd,$G198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8" s="2">
        <f>LET(id,$A198,code,UPPER(TRIM($D198)),rawStart,$F198,rawEnd,$G198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8" s="2">
        <f>LET(id,$A198,code,UPPER(TRIM($D198)),rawStart,$F198,rawEnd,$G198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8" s="2">
        <f>LET(id,$A198,code,UPPER(TRIM($D198)),rawStart,$F198,rawEnd,$G198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8" s="2">
        <f>LET(id,$A198,code,UPPER(TRIM($D198)),rawStart,$F198,rawEnd,$G198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8" s="2">
        <f>LET(id,$A198,code,UPPER(TRIM($D198)),rawStart,$F198,rawEnd,$G198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8" s="2">
        <f>LET(id,$A198,code,UPPER(TRIM($D198)),rawStart,$F198,rawEnd,$G198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8" s="2">
        <f>LET(id,$A198,code,UPPER(TRIM($D198)),rawStart,$F198,rawEnd,$G198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8" s="2">
        <f>LET(id,$A198,code,UPPER(TRIM($D198)),rawStart,$F198,rawEnd,$G198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8" s="2">
        <f>LET(id,$A198,code,UPPER(TRIM($D198)),rawStart,$F198,rawEnd,$G198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8" s="2">
        <f>LET(id,$A198,code,UPPER(TRIM($D198)),rawStart,$F198,rawEnd,$G198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8" s="2">
        <f>LET(id,$A198,code,UPPER(TRIM($D198)),rawStart,$F198,rawEnd,$G198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8" s="2">
        <f>LET(id,$A198,code,UPPER(TRIM($D198)),rawStart,$F198,rawEnd,$G198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8" s="2">
        <f>LET(id,$A198,code,UPPER(TRIM($D198)),rawStart,$F198,rawEnd,$G198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8" s="2">
        <f>LET(id,$A198,code,UPPER(TRIM($D198)),rawStart,$F198,rawEnd,$G198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8" s="2">
        <f>LET(id,$A198,code,UPPER(TRIM($D198)),rawStart,$F198,rawEnd,$G198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8" s="2">
        <f>LET(id,$A198,code,UPPER(TRIM($D198)),rawStart,$F198,rawEnd,$G198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8" s="2">
        <f>LET(id,$A198,code,UPPER(TRIM($D198)),rawStart,$F198,rawEnd,$G198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8" s="2">
        <f>LET(id,$A198,code,UPPER(TRIM($D198)),rawStart,$F198,rawEnd,$G198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8" s="2">
        <f>LET(id,$A198,code,UPPER(TRIM($D198)),rawStart,$F198,rawEnd,$G198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8" s="2">
        <f>LET(id,$A198,code,UPPER(TRIM($D198)),rawStart,$F198,rawEnd,$G198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8" s="2">
        <f>LET(id,$A198,code,UPPER(TRIM($D198)),rawStart,$F198,rawEnd,$G198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8" s="2">
        <f>LET(id,$A198,code,UPPER(TRIM($D198)),rawStart,$F198,rawEnd,$G198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8" s="2">
        <f>LET(id,$A198,code,UPPER(TRIM($D198)),rawStart,$F198,rawEnd,$G198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8" s="2">
        <f>LET(id,$A198,code,UPPER(TRIM($D198)),rawStart,$F198,rawEnd,$G198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8" s="2">
        <f>LET(id,$A198,code,UPPER(TRIM($D198)),rawStart,$F198,rawEnd,$G198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8" s="2">
        <f>LET(id,$A198,code,UPPER(TRIM($D198)),rawStart,$F198,rawEnd,$G198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8" s="2">
        <f>LET(id,$A198,code,UPPER(TRIM($D198)),rawStart,$F198,rawEnd,$G198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8" s="2">
        <f>LET(id,$A198,code,UPPER(TRIM($D198)),rawStart,$F198,rawEnd,$G198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8" s="2">
        <f>LET(id,$A198,code,UPPER(TRIM($D198)),rawStart,$F198,rawEnd,$G198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8" s="2">
        <f>LET(id,$A198,code,UPPER(TRIM($D198)),rawStart,$F198,rawEnd,$G198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8" s="2">
        <f>LET(id,$A198,code,UPPER(TRIM($D198)),rawStart,$F198,rawEnd,$G198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8" s="2">
        <f>LET(id,$A198,code,UPPER(TRIM($D198)),rawStart,$F198,rawEnd,$G198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8" s="2">
        <f>LET(id,$A198,code,UPPER(TRIM($D198)),rawStart,$F198,rawEnd,$G198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8" s="2">
        <f>LET(id,$A198,code,UPPER(TRIM($D198)),rawStart,$F198,rawEnd,$G198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8" s="2">
        <f>LET(id,$A198,code,UPPER(TRIM($D198)),rawStart,$F198,rawEnd,$G198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8" s="2">
        <f>LET(id,$A198,code,UPPER(TRIM($D198)),rawStart,$F198,rawEnd,$G198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8" s="2">
        <f>LET(id,$A198,code,UPPER(TRIM($D198)),rawStart,$F198,rawEnd,$G198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8" s="2">
        <f>LET(id,$A198,code,UPPER(TRIM($D198)),rawStart,$F198,rawEnd,$G198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8" s="2">
        <f>LET(id,$A198,code,UPPER(TRIM($D198)),rawStart,$F198,rawEnd,$G198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8" s="2">
        <f>LET(id,$A198,code,UPPER(TRIM($D198)),rawStart,$F198,rawEnd,$G198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8" s="2">
        <f>LET(id,$A198,code,UPPER(TRIM($D198)),rawStart,$F198,rawEnd,$G198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8" s="2">
        <f>LET(id,$A198,code,UPPER(TRIM($D198)),rawStart,$F198,rawEnd,$G198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98" s="2">
        <f>Calc_Engine!BD198</f>
        <v/>
      </c>
    </row>
    <row r="199">
      <c r="A199" s="2">
        <f>Calc_Engine!A199</f>
        <v/>
      </c>
      <c r="B199" s="2">
        <f>Calc_Engine!B199</f>
        <v/>
      </c>
      <c r="C199" s="2">
        <f>Calc_Engine!C199</f>
        <v/>
      </c>
      <c r="D199" s="2">
        <f>Calc_Engine!D199</f>
        <v/>
      </c>
      <c r="E199" s="4">
        <f>Calc_Engine!E199</f>
        <v/>
      </c>
      <c r="F199" s="5">
        <f>Calc_Engine!F199</f>
        <v/>
      </c>
      <c r="G199" s="5">
        <f>Calc_Engine!G199</f>
        <v/>
      </c>
      <c r="H199" s="2">
        <f>LET(id,$A199,code,UPPER(TRIM($D199)),rawStart,$F199,rawEnd,$G199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9" s="2">
        <f>LET(id,$A199,code,UPPER(TRIM($D199)),rawStart,$F199,rawEnd,$G199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9" s="2">
        <f>LET(id,$A199,code,UPPER(TRIM($D199)),rawStart,$F199,rawEnd,$G199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9" s="2">
        <f>LET(id,$A199,code,UPPER(TRIM($D199)),rawStart,$F199,rawEnd,$G199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9" s="2">
        <f>LET(id,$A199,code,UPPER(TRIM($D199)),rawStart,$F199,rawEnd,$G199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9" s="2">
        <f>LET(id,$A199,code,UPPER(TRIM($D199)),rawStart,$F199,rawEnd,$G199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9" s="2">
        <f>LET(id,$A199,code,UPPER(TRIM($D199)),rawStart,$F199,rawEnd,$G199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9" s="2">
        <f>LET(id,$A199,code,UPPER(TRIM($D199)),rawStart,$F199,rawEnd,$G199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9" s="2">
        <f>LET(id,$A199,code,UPPER(TRIM($D199)),rawStart,$F199,rawEnd,$G199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9" s="2">
        <f>LET(id,$A199,code,UPPER(TRIM($D199)),rawStart,$F199,rawEnd,$G199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9" s="2">
        <f>LET(id,$A199,code,UPPER(TRIM($D199)),rawStart,$F199,rawEnd,$G199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9" s="2">
        <f>LET(id,$A199,code,UPPER(TRIM($D199)),rawStart,$F199,rawEnd,$G199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9" s="2">
        <f>LET(id,$A199,code,UPPER(TRIM($D199)),rawStart,$F199,rawEnd,$G199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9" s="2">
        <f>LET(id,$A199,code,UPPER(TRIM($D199)),rawStart,$F199,rawEnd,$G199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9" s="2">
        <f>LET(id,$A199,code,UPPER(TRIM($D199)),rawStart,$F199,rawEnd,$G199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9" s="2">
        <f>LET(id,$A199,code,UPPER(TRIM($D199)),rawStart,$F199,rawEnd,$G199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9" s="2">
        <f>LET(id,$A199,code,UPPER(TRIM($D199)),rawStart,$F199,rawEnd,$G199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9" s="2">
        <f>LET(id,$A199,code,UPPER(TRIM($D199)),rawStart,$F199,rawEnd,$G199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9" s="2">
        <f>LET(id,$A199,code,UPPER(TRIM($D199)),rawStart,$F199,rawEnd,$G199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9" s="2">
        <f>LET(id,$A199,code,UPPER(TRIM($D199)),rawStart,$F199,rawEnd,$G199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9" s="2">
        <f>LET(id,$A199,code,UPPER(TRIM($D199)),rawStart,$F199,rawEnd,$G199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9" s="2">
        <f>LET(id,$A199,code,UPPER(TRIM($D199)),rawStart,$F199,rawEnd,$G199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9" s="2">
        <f>LET(id,$A199,code,UPPER(TRIM($D199)),rawStart,$F199,rawEnd,$G199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9" s="2">
        <f>LET(id,$A199,code,UPPER(TRIM($D199)),rawStart,$F199,rawEnd,$G199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9" s="2">
        <f>LET(id,$A199,code,UPPER(TRIM($D199)),rawStart,$F199,rawEnd,$G199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9" s="2">
        <f>LET(id,$A199,code,UPPER(TRIM($D199)),rawStart,$F199,rawEnd,$G199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9" s="2">
        <f>LET(id,$A199,code,UPPER(TRIM($D199)),rawStart,$F199,rawEnd,$G199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9" s="2">
        <f>LET(id,$A199,code,UPPER(TRIM($D199)),rawStart,$F199,rawEnd,$G199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9" s="2">
        <f>LET(id,$A199,code,UPPER(TRIM($D199)),rawStart,$F199,rawEnd,$G199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9" s="2">
        <f>LET(id,$A199,code,UPPER(TRIM($D199)),rawStart,$F199,rawEnd,$G199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9" s="2">
        <f>LET(id,$A199,code,UPPER(TRIM($D199)),rawStart,$F199,rawEnd,$G199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9" s="2">
        <f>LET(id,$A199,code,UPPER(TRIM($D199)),rawStart,$F199,rawEnd,$G199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9" s="2">
        <f>LET(id,$A199,code,UPPER(TRIM($D199)),rawStart,$F199,rawEnd,$G199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9" s="2">
        <f>LET(id,$A199,code,UPPER(TRIM($D199)),rawStart,$F199,rawEnd,$G199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9" s="2">
        <f>LET(id,$A199,code,UPPER(TRIM($D199)),rawStart,$F199,rawEnd,$G199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9" s="2">
        <f>LET(id,$A199,code,UPPER(TRIM($D199)),rawStart,$F199,rawEnd,$G199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9" s="2">
        <f>LET(id,$A199,code,UPPER(TRIM($D199)),rawStart,$F199,rawEnd,$G199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9" s="2">
        <f>LET(id,$A199,code,UPPER(TRIM($D199)),rawStart,$F199,rawEnd,$G199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9" s="2">
        <f>LET(id,$A199,code,UPPER(TRIM($D199)),rawStart,$F199,rawEnd,$G199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9" s="2">
        <f>LET(id,$A199,code,UPPER(TRIM($D199)),rawStart,$F199,rawEnd,$G199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9" s="2">
        <f>LET(id,$A199,code,UPPER(TRIM($D199)),rawStart,$F199,rawEnd,$G199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9" s="2">
        <f>LET(id,$A199,code,UPPER(TRIM($D199)),rawStart,$F199,rawEnd,$G199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9" s="2">
        <f>LET(id,$A199,code,UPPER(TRIM($D199)),rawStart,$F199,rawEnd,$G199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9" s="2">
        <f>LET(id,$A199,code,UPPER(TRIM($D199)),rawStart,$F199,rawEnd,$G199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9" s="2">
        <f>LET(id,$A199,code,UPPER(TRIM($D199)),rawStart,$F199,rawEnd,$G199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9" s="2">
        <f>LET(id,$A199,code,UPPER(TRIM($D199)),rawStart,$F199,rawEnd,$G199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9" s="2">
        <f>LET(id,$A199,code,UPPER(TRIM($D199)),rawStart,$F199,rawEnd,$G199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9" s="2">
        <f>LET(id,$A199,code,UPPER(TRIM($D199)),rawStart,$F199,rawEnd,$G199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199" s="2">
        <f>Calc_Engine!BD199</f>
        <v/>
      </c>
    </row>
    <row r="200">
      <c r="A200" s="2">
        <f>Calc_Engine!A200</f>
        <v/>
      </c>
      <c r="B200" s="2">
        <f>Calc_Engine!B200</f>
        <v/>
      </c>
      <c r="C200" s="2">
        <f>Calc_Engine!C200</f>
        <v/>
      </c>
      <c r="D200" s="2">
        <f>Calc_Engine!D200</f>
        <v/>
      </c>
      <c r="E200" s="4">
        <f>Calc_Engine!E200</f>
        <v/>
      </c>
      <c r="F200" s="5">
        <f>Calc_Engine!F200</f>
        <v/>
      </c>
      <c r="G200" s="5">
        <f>Calc_Engine!G200</f>
        <v/>
      </c>
      <c r="H200" s="2">
        <f>LET(id,$A200,code,UPPER(TRIM($D200)),rawStart,$F200,rawEnd,$G200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0" s="2">
        <f>LET(id,$A200,code,UPPER(TRIM($D200)),rawStart,$F200,rawEnd,$G200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0" s="2">
        <f>LET(id,$A200,code,UPPER(TRIM($D200)),rawStart,$F200,rawEnd,$G200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0" s="2">
        <f>LET(id,$A200,code,UPPER(TRIM($D200)),rawStart,$F200,rawEnd,$G200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0" s="2">
        <f>LET(id,$A200,code,UPPER(TRIM($D200)),rawStart,$F200,rawEnd,$G200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0" s="2">
        <f>LET(id,$A200,code,UPPER(TRIM($D200)),rawStart,$F200,rawEnd,$G200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0" s="2">
        <f>LET(id,$A200,code,UPPER(TRIM($D200)),rawStart,$F200,rawEnd,$G200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0" s="2">
        <f>LET(id,$A200,code,UPPER(TRIM($D200)),rawStart,$F200,rawEnd,$G200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0" s="2">
        <f>LET(id,$A200,code,UPPER(TRIM($D200)),rawStart,$F200,rawEnd,$G200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0" s="2">
        <f>LET(id,$A200,code,UPPER(TRIM($D200)),rawStart,$F200,rawEnd,$G200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0" s="2">
        <f>LET(id,$A200,code,UPPER(TRIM($D200)),rawStart,$F200,rawEnd,$G200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0" s="2">
        <f>LET(id,$A200,code,UPPER(TRIM($D200)),rawStart,$F200,rawEnd,$G200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0" s="2">
        <f>LET(id,$A200,code,UPPER(TRIM($D200)),rawStart,$F200,rawEnd,$G200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0" s="2">
        <f>LET(id,$A200,code,UPPER(TRIM($D200)),rawStart,$F200,rawEnd,$G200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0" s="2">
        <f>LET(id,$A200,code,UPPER(TRIM($D200)),rawStart,$F200,rawEnd,$G200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0" s="2">
        <f>LET(id,$A200,code,UPPER(TRIM($D200)),rawStart,$F200,rawEnd,$G200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0" s="2">
        <f>LET(id,$A200,code,UPPER(TRIM($D200)),rawStart,$F200,rawEnd,$G200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0" s="2">
        <f>LET(id,$A200,code,UPPER(TRIM($D200)),rawStart,$F200,rawEnd,$G200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0" s="2">
        <f>LET(id,$A200,code,UPPER(TRIM($D200)),rawStart,$F200,rawEnd,$G200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0" s="2">
        <f>LET(id,$A200,code,UPPER(TRIM($D200)),rawStart,$F200,rawEnd,$G200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0" s="2">
        <f>LET(id,$A200,code,UPPER(TRIM($D200)),rawStart,$F200,rawEnd,$G200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0" s="2">
        <f>LET(id,$A200,code,UPPER(TRIM($D200)),rawStart,$F200,rawEnd,$G200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0" s="2">
        <f>LET(id,$A200,code,UPPER(TRIM($D200)),rawStart,$F200,rawEnd,$G200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0" s="2">
        <f>LET(id,$A200,code,UPPER(TRIM($D200)),rawStart,$F200,rawEnd,$G200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0" s="2">
        <f>LET(id,$A200,code,UPPER(TRIM($D200)),rawStart,$F200,rawEnd,$G200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0" s="2">
        <f>LET(id,$A200,code,UPPER(TRIM($D200)),rawStart,$F200,rawEnd,$G200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0" s="2">
        <f>LET(id,$A200,code,UPPER(TRIM($D200)),rawStart,$F200,rawEnd,$G200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0" s="2">
        <f>LET(id,$A200,code,UPPER(TRIM($D200)),rawStart,$F200,rawEnd,$G200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0" s="2">
        <f>LET(id,$A200,code,UPPER(TRIM($D200)),rawStart,$F200,rawEnd,$G200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0" s="2">
        <f>LET(id,$A200,code,UPPER(TRIM($D200)),rawStart,$F200,rawEnd,$G200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0" s="2">
        <f>LET(id,$A200,code,UPPER(TRIM($D200)),rawStart,$F200,rawEnd,$G200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0" s="2">
        <f>LET(id,$A200,code,UPPER(TRIM($D200)),rawStart,$F200,rawEnd,$G200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0" s="2">
        <f>LET(id,$A200,code,UPPER(TRIM($D200)),rawStart,$F200,rawEnd,$G200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0" s="2">
        <f>LET(id,$A200,code,UPPER(TRIM($D200)),rawStart,$F200,rawEnd,$G200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0" s="2">
        <f>LET(id,$A200,code,UPPER(TRIM($D200)),rawStart,$F200,rawEnd,$G200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0" s="2">
        <f>LET(id,$A200,code,UPPER(TRIM($D200)),rawStart,$F200,rawEnd,$G200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0" s="2">
        <f>LET(id,$A200,code,UPPER(TRIM($D200)),rawStart,$F200,rawEnd,$G200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0" s="2">
        <f>LET(id,$A200,code,UPPER(TRIM($D200)),rawStart,$F200,rawEnd,$G200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0" s="2">
        <f>LET(id,$A200,code,UPPER(TRIM($D200)),rawStart,$F200,rawEnd,$G200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0" s="2">
        <f>LET(id,$A200,code,UPPER(TRIM($D200)),rawStart,$F200,rawEnd,$G200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0" s="2">
        <f>LET(id,$A200,code,UPPER(TRIM($D200)),rawStart,$F200,rawEnd,$G200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0" s="2">
        <f>LET(id,$A200,code,UPPER(TRIM($D200)),rawStart,$F200,rawEnd,$G200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0" s="2">
        <f>LET(id,$A200,code,UPPER(TRIM($D200)),rawStart,$F200,rawEnd,$G200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0" s="2">
        <f>LET(id,$A200,code,UPPER(TRIM($D200)),rawStart,$F200,rawEnd,$G200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0" s="2">
        <f>LET(id,$A200,code,UPPER(TRIM($D200)),rawStart,$F200,rawEnd,$G200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0" s="2">
        <f>LET(id,$A200,code,UPPER(TRIM($D200)),rawStart,$F200,rawEnd,$G200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0" s="2">
        <f>LET(id,$A200,code,UPPER(TRIM($D200)),rawStart,$F200,rawEnd,$G200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0" s="2">
        <f>LET(id,$A200,code,UPPER(TRIM($D200)),rawStart,$F200,rawEnd,$G200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00" s="2">
        <f>Calc_Engine!BD200</f>
        <v/>
      </c>
    </row>
    <row r="201">
      <c r="A201" s="2">
        <f>Calc_Engine!A201</f>
        <v/>
      </c>
      <c r="B201" s="2">
        <f>Calc_Engine!B201</f>
        <v/>
      </c>
      <c r="C201" s="2">
        <f>Calc_Engine!C201</f>
        <v/>
      </c>
      <c r="D201" s="2">
        <f>Calc_Engine!D201</f>
        <v/>
      </c>
      <c r="E201" s="4">
        <f>Calc_Engine!E201</f>
        <v/>
      </c>
      <c r="F201" s="5">
        <f>Calc_Engine!F201</f>
        <v/>
      </c>
      <c r="G201" s="5">
        <f>Calc_Engine!G201</f>
        <v/>
      </c>
      <c r="H201" s="2">
        <f>LET(id,$A201,code,UPPER(TRIM($D201)),rawStart,$F201,rawEnd,$G201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1" s="2">
        <f>LET(id,$A201,code,UPPER(TRIM($D201)),rawStart,$F201,rawEnd,$G201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1" s="2">
        <f>LET(id,$A201,code,UPPER(TRIM($D201)),rawStart,$F201,rawEnd,$G201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1" s="2">
        <f>LET(id,$A201,code,UPPER(TRIM($D201)),rawStart,$F201,rawEnd,$G201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1" s="2">
        <f>LET(id,$A201,code,UPPER(TRIM($D201)),rawStart,$F201,rawEnd,$G201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1" s="2">
        <f>LET(id,$A201,code,UPPER(TRIM($D201)),rawStart,$F201,rawEnd,$G201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1" s="2">
        <f>LET(id,$A201,code,UPPER(TRIM($D201)),rawStart,$F201,rawEnd,$G201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1" s="2">
        <f>LET(id,$A201,code,UPPER(TRIM($D201)),rawStart,$F201,rawEnd,$G201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1" s="2">
        <f>LET(id,$A201,code,UPPER(TRIM($D201)),rawStart,$F201,rawEnd,$G201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1" s="2">
        <f>LET(id,$A201,code,UPPER(TRIM($D201)),rawStart,$F201,rawEnd,$G201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1" s="2">
        <f>LET(id,$A201,code,UPPER(TRIM($D201)),rawStart,$F201,rawEnd,$G201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1" s="2">
        <f>LET(id,$A201,code,UPPER(TRIM($D201)),rawStart,$F201,rawEnd,$G201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1" s="2">
        <f>LET(id,$A201,code,UPPER(TRIM($D201)),rawStart,$F201,rawEnd,$G201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1" s="2">
        <f>LET(id,$A201,code,UPPER(TRIM($D201)),rawStart,$F201,rawEnd,$G201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1" s="2">
        <f>LET(id,$A201,code,UPPER(TRIM($D201)),rawStart,$F201,rawEnd,$G201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1" s="2">
        <f>LET(id,$A201,code,UPPER(TRIM($D201)),rawStart,$F201,rawEnd,$G201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1" s="2">
        <f>LET(id,$A201,code,UPPER(TRIM($D201)),rawStart,$F201,rawEnd,$G201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1" s="2">
        <f>LET(id,$A201,code,UPPER(TRIM($D201)),rawStart,$F201,rawEnd,$G201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1" s="2">
        <f>LET(id,$A201,code,UPPER(TRIM($D201)),rawStart,$F201,rawEnd,$G201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1" s="2">
        <f>LET(id,$A201,code,UPPER(TRIM($D201)),rawStart,$F201,rawEnd,$G201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1" s="2">
        <f>LET(id,$A201,code,UPPER(TRIM($D201)),rawStart,$F201,rawEnd,$G201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1" s="2">
        <f>LET(id,$A201,code,UPPER(TRIM($D201)),rawStart,$F201,rawEnd,$G201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1" s="2">
        <f>LET(id,$A201,code,UPPER(TRIM($D201)),rawStart,$F201,rawEnd,$G201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1" s="2">
        <f>LET(id,$A201,code,UPPER(TRIM($D201)),rawStart,$F201,rawEnd,$G201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1" s="2">
        <f>LET(id,$A201,code,UPPER(TRIM($D201)),rawStart,$F201,rawEnd,$G201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1" s="2">
        <f>LET(id,$A201,code,UPPER(TRIM($D201)),rawStart,$F201,rawEnd,$G201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1" s="2">
        <f>LET(id,$A201,code,UPPER(TRIM($D201)),rawStart,$F201,rawEnd,$G201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1" s="2">
        <f>LET(id,$A201,code,UPPER(TRIM($D201)),rawStart,$F201,rawEnd,$G201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1" s="2">
        <f>LET(id,$A201,code,UPPER(TRIM($D201)),rawStart,$F201,rawEnd,$G201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1" s="2">
        <f>LET(id,$A201,code,UPPER(TRIM($D201)),rawStart,$F201,rawEnd,$G201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1" s="2">
        <f>LET(id,$A201,code,UPPER(TRIM($D201)),rawStart,$F201,rawEnd,$G201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1" s="2">
        <f>LET(id,$A201,code,UPPER(TRIM($D201)),rawStart,$F201,rawEnd,$G201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1" s="2">
        <f>LET(id,$A201,code,UPPER(TRIM($D201)),rawStart,$F201,rawEnd,$G201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1" s="2">
        <f>LET(id,$A201,code,UPPER(TRIM($D201)),rawStart,$F201,rawEnd,$G201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1" s="2">
        <f>LET(id,$A201,code,UPPER(TRIM($D201)),rawStart,$F201,rawEnd,$G201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1" s="2">
        <f>LET(id,$A201,code,UPPER(TRIM($D201)),rawStart,$F201,rawEnd,$G201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1" s="2">
        <f>LET(id,$A201,code,UPPER(TRIM($D201)),rawStart,$F201,rawEnd,$G201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1" s="2">
        <f>LET(id,$A201,code,UPPER(TRIM($D201)),rawStart,$F201,rawEnd,$G201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1" s="2">
        <f>LET(id,$A201,code,UPPER(TRIM($D201)),rawStart,$F201,rawEnd,$G201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1" s="2">
        <f>LET(id,$A201,code,UPPER(TRIM($D201)),rawStart,$F201,rawEnd,$G201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1" s="2">
        <f>LET(id,$A201,code,UPPER(TRIM($D201)),rawStart,$F201,rawEnd,$G201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1" s="2">
        <f>LET(id,$A201,code,UPPER(TRIM($D201)),rawStart,$F201,rawEnd,$G201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1" s="2">
        <f>LET(id,$A201,code,UPPER(TRIM($D201)),rawStart,$F201,rawEnd,$G201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1" s="2">
        <f>LET(id,$A201,code,UPPER(TRIM($D201)),rawStart,$F201,rawEnd,$G201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1" s="2">
        <f>LET(id,$A201,code,UPPER(TRIM($D201)),rawStart,$F201,rawEnd,$G201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1" s="2">
        <f>LET(id,$A201,code,UPPER(TRIM($D201)),rawStart,$F201,rawEnd,$G201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1" s="2">
        <f>LET(id,$A201,code,UPPER(TRIM($D201)),rawStart,$F201,rawEnd,$G201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1" s="2">
        <f>LET(id,$A201,code,UPPER(TRIM($D201)),rawStart,$F201,rawEnd,$G201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01" s="2">
        <f>Calc_Engine!BD201</f>
        <v/>
      </c>
    </row>
    <row r="202">
      <c r="A202" s="2">
        <f>Calc_Engine!A202</f>
        <v/>
      </c>
      <c r="B202" s="2">
        <f>Calc_Engine!B202</f>
        <v/>
      </c>
      <c r="C202" s="2">
        <f>Calc_Engine!C202</f>
        <v/>
      </c>
      <c r="D202" s="2">
        <f>Calc_Engine!D202</f>
        <v/>
      </c>
      <c r="E202" s="4">
        <f>Calc_Engine!E202</f>
        <v/>
      </c>
      <c r="F202" s="5">
        <f>Calc_Engine!F202</f>
        <v/>
      </c>
      <c r="G202" s="5">
        <f>Calc_Engine!G202</f>
        <v/>
      </c>
      <c r="H202" s="2">
        <f>LET(id,$A202,code,UPPER(TRIM($D202)),rawStart,$F202,rawEnd,$G202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2" s="2">
        <f>LET(id,$A202,code,UPPER(TRIM($D202)),rawStart,$F202,rawEnd,$G202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2" s="2">
        <f>LET(id,$A202,code,UPPER(TRIM($D202)),rawStart,$F202,rawEnd,$G202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2" s="2">
        <f>LET(id,$A202,code,UPPER(TRIM($D202)),rawStart,$F202,rawEnd,$G202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2" s="2">
        <f>LET(id,$A202,code,UPPER(TRIM($D202)),rawStart,$F202,rawEnd,$G202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2" s="2">
        <f>LET(id,$A202,code,UPPER(TRIM($D202)),rawStart,$F202,rawEnd,$G202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2" s="2">
        <f>LET(id,$A202,code,UPPER(TRIM($D202)),rawStart,$F202,rawEnd,$G202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2" s="2">
        <f>LET(id,$A202,code,UPPER(TRIM($D202)),rawStart,$F202,rawEnd,$G202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2" s="2">
        <f>LET(id,$A202,code,UPPER(TRIM($D202)),rawStart,$F202,rawEnd,$G202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2" s="2">
        <f>LET(id,$A202,code,UPPER(TRIM($D202)),rawStart,$F202,rawEnd,$G202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2" s="2">
        <f>LET(id,$A202,code,UPPER(TRIM($D202)),rawStart,$F202,rawEnd,$G202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2" s="2">
        <f>LET(id,$A202,code,UPPER(TRIM($D202)),rawStart,$F202,rawEnd,$G202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2" s="2">
        <f>LET(id,$A202,code,UPPER(TRIM($D202)),rawStart,$F202,rawEnd,$G202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2" s="2">
        <f>LET(id,$A202,code,UPPER(TRIM($D202)),rawStart,$F202,rawEnd,$G202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2" s="2">
        <f>LET(id,$A202,code,UPPER(TRIM($D202)),rawStart,$F202,rawEnd,$G202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2" s="2">
        <f>LET(id,$A202,code,UPPER(TRIM($D202)),rawStart,$F202,rawEnd,$G202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2" s="2">
        <f>LET(id,$A202,code,UPPER(TRIM($D202)),rawStart,$F202,rawEnd,$G202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2" s="2">
        <f>LET(id,$A202,code,UPPER(TRIM($D202)),rawStart,$F202,rawEnd,$G202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2" s="2">
        <f>LET(id,$A202,code,UPPER(TRIM($D202)),rawStart,$F202,rawEnd,$G202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2" s="2">
        <f>LET(id,$A202,code,UPPER(TRIM($D202)),rawStart,$F202,rawEnd,$G202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2" s="2">
        <f>LET(id,$A202,code,UPPER(TRIM($D202)),rawStart,$F202,rawEnd,$G202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2" s="2">
        <f>LET(id,$A202,code,UPPER(TRIM($D202)),rawStart,$F202,rawEnd,$G202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2" s="2">
        <f>LET(id,$A202,code,UPPER(TRIM($D202)),rawStart,$F202,rawEnd,$G202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2" s="2">
        <f>LET(id,$A202,code,UPPER(TRIM($D202)),rawStart,$F202,rawEnd,$G202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2" s="2">
        <f>LET(id,$A202,code,UPPER(TRIM($D202)),rawStart,$F202,rawEnd,$G202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2" s="2">
        <f>LET(id,$A202,code,UPPER(TRIM($D202)),rawStart,$F202,rawEnd,$G202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2" s="2">
        <f>LET(id,$A202,code,UPPER(TRIM($D202)),rawStart,$F202,rawEnd,$G202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2" s="2">
        <f>LET(id,$A202,code,UPPER(TRIM($D202)),rawStart,$F202,rawEnd,$G202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2" s="2">
        <f>LET(id,$A202,code,UPPER(TRIM($D202)),rawStart,$F202,rawEnd,$G202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2" s="2">
        <f>LET(id,$A202,code,UPPER(TRIM($D202)),rawStart,$F202,rawEnd,$G202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2" s="2">
        <f>LET(id,$A202,code,UPPER(TRIM($D202)),rawStart,$F202,rawEnd,$G202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2" s="2">
        <f>LET(id,$A202,code,UPPER(TRIM($D202)),rawStart,$F202,rawEnd,$G202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2" s="2">
        <f>LET(id,$A202,code,UPPER(TRIM($D202)),rawStart,$F202,rawEnd,$G202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2" s="2">
        <f>LET(id,$A202,code,UPPER(TRIM($D202)),rawStart,$F202,rawEnd,$G202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2" s="2">
        <f>LET(id,$A202,code,UPPER(TRIM($D202)),rawStart,$F202,rawEnd,$G202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2" s="2">
        <f>LET(id,$A202,code,UPPER(TRIM($D202)),rawStart,$F202,rawEnd,$G202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2" s="2">
        <f>LET(id,$A202,code,UPPER(TRIM($D202)),rawStart,$F202,rawEnd,$G202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2" s="2">
        <f>LET(id,$A202,code,UPPER(TRIM($D202)),rawStart,$F202,rawEnd,$G202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2" s="2">
        <f>LET(id,$A202,code,UPPER(TRIM($D202)),rawStart,$F202,rawEnd,$G202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2" s="2">
        <f>LET(id,$A202,code,UPPER(TRIM($D202)),rawStart,$F202,rawEnd,$G202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2" s="2">
        <f>LET(id,$A202,code,UPPER(TRIM($D202)),rawStart,$F202,rawEnd,$G202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2" s="2">
        <f>LET(id,$A202,code,UPPER(TRIM($D202)),rawStart,$F202,rawEnd,$G202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2" s="2">
        <f>LET(id,$A202,code,UPPER(TRIM($D202)),rawStart,$F202,rawEnd,$G202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2" s="2">
        <f>LET(id,$A202,code,UPPER(TRIM($D202)),rawStart,$F202,rawEnd,$G202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2" s="2">
        <f>LET(id,$A202,code,UPPER(TRIM($D202)),rawStart,$F202,rawEnd,$G202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2" s="2">
        <f>LET(id,$A202,code,UPPER(TRIM($D202)),rawStart,$F202,rawEnd,$G202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2" s="2">
        <f>LET(id,$A202,code,UPPER(TRIM($D202)),rawStart,$F202,rawEnd,$G202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2" s="2">
        <f>LET(id,$A202,code,UPPER(TRIM($D202)),rawStart,$F202,rawEnd,$G202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02" s="2">
        <f>Calc_Engine!BD202</f>
        <v/>
      </c>
    </row>
    <row r="203">
      <c r="A203" s="2">
        <f>Calc_Engine!A203</f>
        <v/>
      </c>
      <c r="B203" s="2">
        <f>Calc_Engine!B203</f>
        <v/>
      </c>
      <c r="C203" s="2">
        <f>Calc_Engine!C203</f>
        <v/>
      </c>
      <c r="D203" s="2">
        <f>Calc_Engine!D203</f>
        <v/>
      </c>
      <c r="E203" s="4">
        <f>Calc_Engine!E203</f>
        <v/>
      </c>
      <c r="F203" s="5">
        <f>Calc_Engine!F203</f>
        <v/>
      </c>
      <c r="G203" s="5">
        <f>Calc_Engine!G203</f>
        <v/>
      </c>
      <c r="H203" s="2">
        <f>LET(id,$A203,code,UPPER(TRIM($D203)),rawStart,$F203,rawEnd,$G203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3" s="2">
        <f>LET(id,$A203,code,UPPER(TRIM($D203)),rawStart,$F203,rawEnd,$G203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3" s="2">
        <f>LET(id,$A203,code,UPPER(TRIM($D203)),rawStart,$F203,rawEnd,$G203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3" s="2">
        <f>LET(id,$A203,code,UPPER(TRIM($D203)),rawStart,$F203,rawEnd,$G203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3" s="2">
        <f>LET(id,$A203,code,UPPER(TRIM($D203)),rawStart,$F203,rawEnd,$G203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3" s="2">
        <f>LET(id,$A203,code,UPPER(TRIM($D203)),rawStart,$F203,rawEnd,$G203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3" s="2">
        <f>LET(id,$A203,code,UPPER(TRIM($D203)),rawStart,$F203,rawEnd,$G203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3" s="2">
        <f>LET(id,$A203,code,UPPER(TRIM($D203)),rawStart,$F203,rawEnd,$G203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3" s="2">
        <f>LET(id,$A203,code,UPPER(TRIM($D203)),rawStart,$F203,rawEnd,$G203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3" s="2">
        <f>LET(id,$A203,code,UPPER(TRIM($D203)),rawStart,$F203,rawEnd,$G203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3" s="2">
        <f>LET(id,$A203,code,UPPER(TRIM($D203)),rawStart,$F203,rawEnd,$G203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3" s="2">
        <f>LET(id,$A203,code,UPPER(TRIM($D203)),rawStart,$F203,rawEnd,$G203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3" s="2">
        <f>LET(id,$A203,code,UPPER(TRIM($D203)),rawStart,$F203,rawEnd,$G203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3" s="2">
        <f>LET(id,$A203,code,UPPER(TRIM($D203)),rawStart,$F203,rawEnd,$G203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3" s="2">
        <f>LET(id,$A203,code,UPPER(TRIM($D203)),rawStart,$F203,rawEnd,$G203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3" s="2">
        <f>LET(id,$A203,code,UPPER(TRIM($D203)),rawStart,$F203,rawEnd,$G203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3" s="2">
        <f>LET(id,$A203,code,UPPER(TRIM($D203)),rawStart,$F203,rawEnd,$G203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3" s="2">
        <f>LET(id,$A203,code,UPPER(TRIM($D203)),rawStart,$F203,rawEnd,$G203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3" s="2">
        <f>LET(id,$A203,code,UPPER(TRIM($D203)),rawStart,$F203,rawEnd,$G203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3" s="2">
        <f>LET(id,$A203,code,UPPER(TRIM($D203)),rawStart,$F203,rawEnd,$G203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3" s="2">
        <f>LET(id,$A203,code,UPPER(TRIM($D203)),rawStart,$F203,rawEnd,$G203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3" s="2">
        <f>LET(id,$A203,code,UPPER(TRIM($D203)),rawStart,$F203,rawEnd,$G203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3" s="2">
        <f>LET(id,$A203,code,UPPER(TRIM($D203)),rawStart,$F203,rawEnd,$G203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3" s="2">
        <f>LET(id,$A203,code,UPPER(TRIM($D203)),rawStart,$F203,rawEnd,$G203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3" s="2">
        <f>LET(id,$A203,code,UPPER(TRIM($D203)),rawStart,$F203,rawEnd,$G203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3" s="2">
        <f>LET(id,$A203,code,UPPER(TRIM($D203)),rawStart,$F203,rawEnd,$G203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3" s="2">
        <f>LET(id,$A203,code,UPPER(TRIM($D203)),rawStart,$F203,rawEnd,$G203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3" s="2">
        <f>LET(id,$A203,code,UPPER(TRIM($D203)),rawStart,$F203,rawEnd,$G203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3" s="2">
        <f>LET(id,$A203,code,UPPER(TRIM($D203)),rawStart,$F203,rawEnd,$G203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3" s="2">
        <f>LET(id,$A203,code,UPPER(TRIM($D203)),rawStart,$F203,rawEnd,$G203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3" s="2">
        <f>LET(id,$A203,code,UPPER(TRIM($D203)),rawStart,$F203,rawEnd,$G203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3" s="2">
        <f>LET(id,$A203,code,UPPER(TRIM($D203)),rawStart,$F203,rawEnd,$G203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3" s="2">
        <f>LET(id,$A203,code,UPPER(TRIM($D203)),rawStart,$F203,rawEnd,$G203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3" s="2">
        <f>LET(id,$A203,code,UPPER(TRIM($D203)),rawStart,$F203,rawEnd,$G203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3" s="2">
        <f>LET(id,$A203,code,UPPER(TRIM($D203)),rawStart,$F203,rawEnd,$G203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3" s="2">
        <f>LET(id,$A203,code,UPPER(TRIM($D203)),rawStart,$F203,rawEnd,$G203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3" s="2">
        <f>LET(id,$A203,code,UPPER(TRIM($D203)),rawStart,$F203,rawEnd,$G203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3" s="2">
        <f>LET(id,$A203,code,UPPER(TRIM($D203)),rawStart,$F203,rawEnd,$G203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3" s="2">
        <f>LET(id,$A203,code,UPPER(TRIM($D203)),rawStart,$F203,rawEnd,$G203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3" s="2">
        <f>LET(id,$A203,code,UPPER(TRIM($D203)),rawStart,$F203,rawEnd,$G203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3" s="2">
        <f>LET(id,$A203,code,UPPER(TRIM($D203)),rawStart,$F203,rawEnd,$G203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3" s="2">
        <f>LET(id,$A203,code,UPPER(TRIM($D203)),rawStart,$F203,rawEnd,$G203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3" s="2">
        <f>LET(id,$A203,code,UPPER(TRIM($D203)),rawStart,$F203,rawEnd,$G203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3" s="2">
        <f>LET(id,$A203,code,UPPER(TRIM($D203)),rawStart,$F203,rawEnd,$G203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3" s="2">
        <f>LET(id,$A203,code,UPPER(TRIM($D203)),rawStart,$F203,rawEnd,$G203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3" s="2">
        <f>LET(id,$A203,code,UPPER(TRIM($D203)),rawStart,$F203,rawEnd,$G203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3" s="2">
        <f>LET(id,$A203,code,UPPER(TRIM($D203)),rawStart,$F203,rawEnd,$G203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3" s="2">
        <f>LET(id,$A203,code,UPPER(TRIM($D203)),rawStart,$F203,rawEnd,$G203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03" s="2">
        <f>Calc_Engine!BD203</f>
        <v/>
      </c>
    </row>
    <row r="204">
      <c r="A204" s="2">
        <f>Calc_Engine!A204</f>
        <v/>
      </c>
      <c r="B204" s="2">
        <f>Calc_Engine!B204</f>
        <v/>
      </c>
      <c r="C204" s="2">
        <f>Calc_Engine!C204</f>
        <v/>
      </c>
      <c r="D204" s="2">
        <f>Calc_Engine!D204</f>
        <v/>
      </c>
      <c r="E204" s="4">
        <f>Calc_Engine!E204</f>
        <v/>
      </c>
      <c r="F204" s="5">
        <f>Calc_Engine!F204</f>
        <v/>
      </c>
      <c r="G204" s="5">
        <f>Calc_Engine!G204</f>
        <v/>
      </c>
      <c r="H204" s="2">
        <f>LET(id,$A204,code,UPPER(TRIM($D204)),rawStart,$F204,rawEnd,$G204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4" s="2">
        <f>LET(id,$A204,code,UPPER(TRIM($D204)),rawStart,$F204,rawEnd,$G204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4" s="2">
        <f>LET(id,$A204,code,UPPER(TRIM($D204)),rawStart,$F204,rawEnd,$G204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4" s="2">
        <f>LET(id,$A204,code,UPPER(TRIM($D204)),rawStart,$F204,rawEnd,$G204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4" s="2">
        <f>LET(id,$A204,code,UPPER(TRIM($D204)),rawStart,$F204,rawEnd,$G204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4" s="2">
        <f>LET(id,$A204,code,UPPER(TRIM($D204)),rawStart,$F204,rawEnd,$G204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4" s="2">
        <f>LET(id,$A204,code,UPPER(TRIM($D204)),rawStart,$F204,rawEnd,$G204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4" s="2">
        <f>LET(id,$A204,code,UPPER(TRIM($D204)),rawStart,$F204,rawEnd,$G204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4" s="2">
        <f>LET(id,$A204,code,UPPER(TRIM($D204)),rawStart,$F204,rawEnd,$G204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4" s="2">
        <f>LET(id,$A204,code,UPPER(TRIM($D204)),rawStart,$F204,rawEnd,$G204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4" s="2">
        <f>LET(id,$A204,code,UPPER(TRIM($D204)),rawStart,$F204,rawEnd,$G204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4" s="2">
        <f>LET(id,$A204,code,UPPER(TRIM($D204)),rawStart,$F204,rawEnd,$G204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4" s="2">
        <f>LET(id,$A204,code,UPPER(TRIM($D204)),rawStart,$F204,rawEnd,$G204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4" s="2">
        <f>LET(id,$A204,code,UPPER(TRIM($D204)),rawStart,$F204,rawEnd,$G204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4" s="2">
        <f>LET(id,$A204,code,UPPER(TRIM($D204)),rawStart,$F204,rawEnd,$G204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4" s="2">
        <f>LET(id,$A204,code,UPPER(TRIM($D204)),rawStart,$F204,rawEnd,$G204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4" s="2">
        <f>LET(id,$A204,code,UPPER(TRIM($D204)),rawStart,$F204,rawEnd,$G204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4" s="2">
        <f>LET(id,$A204,code,UPPER(TRIM($D204)),rawStart,$F204,rawEnd,$G204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4" s="2">
        <f>LET(id,$A204,code,UPPER(TRIM($D204)),rawStart,$F204,rawEnd,$G204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4" s="2">
        <f>LET(id,$A204,code,UPPER(TRIM($D204)),rawStart,$F204,rawEnd,$G204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4" s="2">
        <f>LET(id,$A204,code,UPPER(TRIM($D204)),rawStart,$F204,rawEnd,$G204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4" s="2">
        <f>LET(id,$A204,code,UPPER(TRIM($D204)),rawStart,$F204,rawEnd,$G204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4" s="2">
        <f>LET(id,$A204,code,UPPER(TRIM($D204)),rawStart,$F204,rawEnd,$G204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4" s="2">
        <f>LET(id,$A204,code,UPPER(TRIM($D204)),rawStart,$F204,rawEnd,$G204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4" s="2">
        <f>LET(id,$A204,code,UPPER(TRIM($D204)),rawStart,$F204,rawEnd,$G204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4" s="2">
        <f>LET(id,$A204,code,UPPER(TRIM($D204)),rawStart,$F204,rawEnd,$G204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4" s="2">
        <f>LET(id,$A204,code,UPPER(TRIM($D204)),rawStart,$F204,rawEnd,$G204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4" s="2">
        <f>LET(id,$A204,code,UPPER(TRIM($D204)),rawStart,$F204,rawEnd,$G204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4" s="2">
        <f>LET(id,$A204,code,UPPER(TRIM($D204)),rawStart,$F204,rawEnd,$G204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4" s="2">
        <f>LET(id,$A204,code,UPPER(TRIM($D204)),rawStart,$F204,rawEnd,$G204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4" s="2">
        <f>LET(id,$A204,code,UPPER(TRIM($D204)),rawStart,$F204,rawEnd,$G204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4" s="2">
        <f>LET(id,$A204,code,UPPER(TRIM($D204)),rawStart,$F204,rawEnd,$G204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4" s="2">
        <f>LET(id,$A204,code,UPPER(TRIM($D204)),rawStart,$F204,rawEnd,$G204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4" s="2">
        <f>LET(id,$A204,code,UPPER(TRIM($D204)),rawStart,$F204,rawEnd,$G204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4" s="2">
        <f>LET(id,$A204,code,UPPER(TRIM($D204)),rawStart,$F204,rawEnd,$G204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4" s="2">
        <f>LET(id,$A204,code,UPPER(TRIM($D204)),rawStart,$F204,rawEnd,$G204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4" s="2">
        <f>LET(id,$A204,code,UPPER(TRIM($D204)),rawStart,$F204,rawEnd,$G204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4" s="2">
        <f>LET(id,$A204,code,UPPER(TRIM($D204)),rawStart,$F204,rawEnd,$G204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4" s="2">
        <f>LET(id,$A204,code,UPPER(TRIM($D204)),rawStart,$F204,rawEnd,$G204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4" s="2">
        <f>LET(id,$A204,code,UPPER(TRIM($D204)),rawStart,$F204,rawEnd,$G204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4" s="2">
        <f>LET(id,$A204,code,UPPER(TRIM($D204)),rawStart,$F204,rawEnd,$G204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4" s="2">
        <f>LET(id,$A204,code,UPPER(TRIM($D204)),rawStart,$F204,rawEnd,$G204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4" s="2">
        <f>LET(id,$A204,code,UPPER(TRIM($D204)),rawStart,$F204,rawEnd,$G204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4" s="2">
        <f>LET(id,$A204,code,UPPER(TRIM($D204)),rawStart,$F204,rawEnd,$G204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4" s="2">
        <f>LET(id,$A204,code,UPPER(TRIM($D204)),rawStart,$F204,rawEnd,$G204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4" s="2">
        <f>LET(id,$A204,code,UPPER(TRIM($D204)),rawStart,$F204,rawEnd,$G204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4" s="2">
        <f>LET(id,$A204,code,UPPER(TRIM($D204)),rawStart,$F204,rawEnd,$G204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4" s="2">
        <f>LET(id,$A204,code,UPPER(TRIM($D204)),rawStart,$F204,rawEnd,$G204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04" s="2">
        <f>Calc_Engine!BD204</f>
        <v/>
      </c>
    </row>
    <row r="205">
      <c r="A205" s="2">
        <f>Calc_Engine!A205</f>
        <v/>
      </c>
      <c r="B205" s="2">
        <f>Calc_Engine!B205</f>
        <v/>
      </c>
      <c r="C205" s="2">
        <f>Calc_Engine!C205</f>
        <v/>
      </c>
      <c r="D205" s="2">
        <f>Calc_Engine!D205</f>
        <v/>
      </c>
      <c r="E205" s="4">
        <f>Calc_Engine!E205</f>
        <v/>
      </c>
      <c r="F205" s="5">
        <f>Calc_Engine!F205</f>
        <v/>
      </c>
      <c r="G205" s="5">
        <f>Calc_Engine!G205</f>
        <v/>
      </c>
      <c r="H205" s="2">
        <f>LET(id,$A205,code,UPPER(TRIM($D205)),rawStart,$F205,rawEnd,$G205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5" s="2">
        <f>LET(id,$A205,code,UPPER(TRIM($D205)),rawStart,$F205,rawEnd,$G205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5" s="2">
        <f>LET(id,$A205,code,UPPER(TRIM($D205)),rawStart,$F205,rawEnd,$G205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5" s="2">
        <f>LET(id,$A205,code,UPPER(TRIM($D205)),rawStart,$F205,rawEnd,$G205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5" s="2">
        <f>LET(id,$A205,code,UPPER(TRIM($D205)),rawStart,$F205,rawEnd,$G205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5" s="2">
        <f>LET(id,$A205,code,UPPER(TRIM($D205)),rawStart,$F205,rawEnd,$G205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5" s="2">
        <f>LET(id,$A205,code,UPPER(TRIM($D205)),rawStart,$F205,rawEnd,$G205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5" s="2">
        <f>LET(id,$A205,code,UPPER(TRIM($D205)),rawStart,$F205,rawEnd,$G205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5" s="2">
        <f>LET(id,$A205,code,UPPER(TRIM($D205)),rawStart,$F205,rawEnd,$G205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5" s="2">
        <f>LET(id,$A205,code,UPPER(TRIM($D205)),rawStart,$F205,rawEnd,$G205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5" s="2">
        <f>LET(id,$A205,code,UPPER(TRIM($D205)),rawStart,$F205,rawEnd,$G205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5" s="2">
        <f>LET(id,$A205,code,UPPER(TRIM($D205)),rawStart,$F205,rawEnd,$G205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5" s="2">
        <f>LET(id,$A205,code,UPPER(TRIM($D205)),rawStart,$F205,rawEnd,$G205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5" s="2">
        <f>LET(id,$A205,code,UPPER(TRIM($D205)),rawStart,$F205,rawEnd,$G205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5" s="2">
        <f>LET(id,$A205,code,UPPER(TRIM($D205)),rawStart,$F205,rawEnd,$G205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5" s="2">
        <f>LET(id,$A205,code,UPPER(TRIM($D205)),rawStart,$F205,rawEnd,$G205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5" s="2">
        <f>LET(id,$A205,code,UPPER(TRIM($D205)),rawStart,$F205,rawEnd,$G205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5" s="2">
        <f>LET(id,$A205,code,UPPER(TRIM($D205)),rawStart,$F205,rawEnd,$G205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5" s="2">
        <f>LET(id,$A205,code,UPPER(TRIM($D205)),rawStart,$F205,rawEnd,$G205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5" s="2">
        <f>LET(id,$A205,code,UPPER(TRIM($D205)),rawStart,$F205,rawEnd,$G205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5" s="2">
        <f>LET(id,$A205,code,UPPER(TRIM($D205)),rawStart,$F205,rawEnd,$G205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5" s="2">
        <f>LET(id,$A205,code,UPPER(TRIM($D205)),rawStart,$F205,rawEnd,$G205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5" s="2">
        <f>LET(id,$A205,code,UPPER(TRIM($D205)),rawStart,$F205,rawEnd,$G205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5" s="2">
        <f>LET(id,$A205,code,UPPER(TRIM($D205)),rawStart,$F205,rawEnd,$G205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5" s="2">
        <f>LET(id,$A205,code,UPPER(TRIM($D205)),rawStart,$F205,rawEnd,$G205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5" s="2">
        <f>LET(id,$A205,code,UPPER(TRIM($D205)),rawStart,$F205,rawEnd,$G205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5" s="2">
        <f>LET(id,$A205,code,UPPER(TRIM($D205)),rawStart,$F205,rawEnd,$G205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5" s="2">
        <f>LET(id,$A205,code,UPPER(TRIM($D205)),rawStart,$F205,rawEnd,$G205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5" s="2">
        <f>LET(id,$A205,code,UPPER(TRIM($D205)),rawStart,$F205,rawEnd,$G205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5" s="2">
        <f>LET(id,$A205,code,UPPER(TRIM($D205)),rawStart,$F205,rawEnd,$G205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5" s="2">
        <f>LET(id,$A205,code,UPPER(TRIM($D205)),rawStart,$F205,rawEnd,$G205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5" s="2">
        <f>LET(id,$A205,code,UPPER(TRIM($D205)),rawStart,$F205,rawEnd,$G205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5" s="2">
        <f>LET(id,$A205,code,UPPER(TRIM($D205)),rawStart,$F205,rawEnd,$G205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5" s="2">
        <f>LET(id,$A205,code,UPPER(TRIM($D205)),rawStart,$F205,rawEnd,$G205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5" s="2">
        <f>LET(id,$A205,code,UPPER(TRIM($D205)),rawStart,$F205,rawEnd,$G205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5" s="2">
        <f>LET(id,$A205,code,UPPER(TRIM($D205)),rawStart,$F205,rawEnd,$G205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5" s="2">
        <f>LET(id,$A205,code,UPPER(TRIM($D205)),rawStart,$F205,rawEnd,$G205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5" s="2">
        <f>LET(id,$A205,code,UPPER(TRIM($D205)),rawStart,$F205,rawEnd,$G205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5" s="2">
        <f>LET(id,$A205,code,UPPER(TRIM($D205)),rawStart,$F205,rawEnd,$G205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5" s="2">
        <f>LET(id,$A205,code,UPPER(TRIM($D205)),rawStart,$F205,rawEnd,$G205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5" s="2">
        <f>LET(id,$A205,code,UPPER(TRIM($D205)),rawStart,$F205,rawEnd,$G205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5" s="2">
        <f>LET(id,$A205,code,UPPER(TRIM($D205)),rawStart,$F205,rawEnd,$G205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5" s="2">
        <f>LET(id,$A205,code,UPPER(TRIM($D205)),rawStart,$F205,rawEnd,$G205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5" s="2">
        <f>LET(id,$A205,code,UPPER(TRIM($D205)),rawStart,$F205,rawEnd,$G205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5" s="2">
        <f>LET(id,$A205,code,UPPER(TRIM($D205)),rawStart,$F205,rawEnd,$G205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5" s="2">
        <f>LET(id,$A205,code,UPPER(TRIM($D205)),rawStart,$F205,rawEnd,$G205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5" s="2">
        <f>LET(id,$A205,code,UPPER(TRIM($D205)),rawStart,$F205,rawEnd,$G205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5" s="2">
        <f>LET(id,$A205,code,UPPER(TRIM($D205)),rawStart,$F205,rawEnd,$G205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05" s="2">
        <f>Calc_Engine!BD205</f>
        <v/>
      </c>
    </row>
    <row r="206">
      <c r="A206" s="2">
        <f>Calc_Engine!A206</f>
        <v/>
      </c>
      <c r="B206" s="2">
        <f>Calc_Engine!B206</f>
        <v/>
      </c>
      <c r="C206" s="2">
        <f>Calc_Engine!C206</f>
        <v/>
      </c>
      <c r="D206" s="2">
        <f>Calc_Engine!D206</f>
        <v/>
      </c>
      <c r="E206" s="4">
        <f>Calc_Engine!E206</f>
        <v/>
      </c>
      <c r="F206" s="5">
        <f>Calc_Engine!F206</f>
        <v/>
      </c>
      <c r="G206" s="5">
        <f>Calc_Engine!G206</f>
        <v/>
      </c>
      <c r="H206" s="2">
        <f>LET(id,$A206,code,UPPER(TRIM($D206)),rawStart,$F206,rawEnd,$G206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6" s="2">
        <f>LET(id,$A206,code,UPPER(TRIM($D206)),rawStart,$F206,rawEnd,$G206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6" s="2">
        <f>LET(id,$A206,code,UPPER(TRIM($D206)),rawStart,$F206,rawEnd,$G206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6" s="2">
        <f>LET(id,$A206,code,UPPER(TRIM($D206)),rawStart,$F206,rawEnd,$G206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6" s="2">
        <f>LET(id,$A206,code,UPPER(TRIM($D206)),rawStart,$F206,rawEnd,$G206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6" s="2">
        <f>LET(id,$A206,code,UPPER(TRIM($D206)),rawStart,$F206,rawEnd,$G206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6" s="2">
        <f>LET(id,$A206,code,UPPER(TRIM($D206)),rawStart,$F206,rawEnd,$G206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6" s="2">
        <f>LET(id,$A206,code,UPPER(TRIM($D206)),rawStart,$F206,rawEnd,$G206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6" s="2">
        <f>LET(id,$A206,code,UPPER(TRIM($D206)),rawStart,$F206,rawEnd,$G206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6" s="2">
        <f>LET(id,$A206,code,UPPER(TRIM($D206)),rawStart,$F206,rawEnd,$G206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6" s="2">
        <f>LET(id,$A206,code,UPPER(TRIM($D206)),rawStart,$F206,rawEnd,$G206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6" s="2">
        <f>LET(id,$A206,code,UPPER(TRIM($D206)),rawStart,$F206,rawEnd,$G206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6" s="2">
        <f>LET(id,$A206,code,UPPER(TRIM($D206)),rawStart,$F206,rawEnd,$G206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6" s="2">
        <f>LET(id,$A206,code,UPPER(TRIM($D206)),rawStart,$F206,rawEnd,$G206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6" s="2">
        <f>LET(id,$A206,code,UPPER(TRIM($D206)),rawStart,$F206,rawEnd,$G206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6" s="2">
        <f>LET(id,$A206,code,UPPER(TRIM($D206)),rawStart,$F206,rawEnd,$G206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6" s="2">
        <f>LET(id,$A206,code,UPPER(TRIM($D206)),rawStart,$F206,rawEnd,$G206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6" s="2">
        <f>LET(id,$A206,code,UPPER(TRIM($D206)),rawStart,$F206,rawEnd,$G206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6" s="2">
        <f>LET(id,$A206,code,UPPER(TRIM($D206)),rawStart,$F206,rawEnd,$G206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6" s="2">
        <f>LET(id,$A206,code,UPPER(TRIM($D206)),rawStart,$F206,rawEnd,$G206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6" s="2">
        <f>LET(id,$A206,code,UPPER(TRIM($D206)),rawStart,$F206,rawEnd,$G206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6" s="2">
        <f>LET(id,$A206,code,UPPER(TRIM($D206)),rawStart,$F206,rawEnd,$G206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6" s="2">
        <f>LET(id,$A206,code,UPPER(TRIM($D206)),rawStart,$F206,rawEnd,$G206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6" s="2">
        <f>LET(id,$A206,code,UPPER(TRIM($D206)),rawStart,$F206,rawEnd,$G206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6" s="2">
        <f>LET(id,$A206,code,UPPER(TRIM($D206)),rawStart,$F206,rawEnd,$G206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6" s="2">
        <f>LET(id,$A206,code,UPPER(TRIM($D206)),rawStart,$F206,rawEnd,$G206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6" s="2">
        <f>LET(id,$A206,code,UPPER(TRIM($D206)),rawStart,$F206,rawEnd,$G206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6" s="2">
        <f>LET(id,$A206,code,UPPER(TRIM($D206)),rawStart,$F206,rawEnd,$G206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6" s="2">
        <f>LET(id,$A206,code,UPPER(TRIM($D206)),rawStart,$F206,rawEnd,$G206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6" s="2">
        <f>LET(id,$A206,code,UPPER(TRIM($D206)),rawStart,$F206,rawEnd,$G206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6" s="2">
        <f>LET(id,$A206,code,UPPER(TRIM($D206)),rawStart,$F206,rawEnd,$G206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6" s="2">
        <f>LET(id,$A206,code,UPPER(TRIM($D206)),rawStart,$F206,rawEnd,$G206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6" s="2">
        <f>LET(id,$A206,code,UPPER(TRIM($D206)),rawStart,$F206,rawEnd,$G206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6" s="2">
        <f>LET(id,$A206,code,UPPER(TRIM($D206)),rawStart,$F206,rawEnd,$G206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6" s="2">
        <f>LET(id,$A206,code,UPPER(TRIM($D206)),rawStart,$F206,rawEnd,$G206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6" s="2">
        <f>LET(id,$A206,code,UPPER(TRIM($D206)),rawStart,$F206,rawEnd,$G206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6" s="2">
        <f>LET(id,$A206,code,UPPER(TRIM($D206)),rawStart,$F206,rawEnd,$G206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6" s="2">
        <f>LET(id,$A206,code,UPPER(TRIM($D206)),rawStart,$F206,rawEnd,$G206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6" s="2">
        <f>LET(id,$A206,code,UPPER(TRIM($D206)),rawStart,$F206,rawEnd,$G206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6" s="2">
        <f>LET(id,$A206,code,UPPER(TRIM($D206)),rawStart,$F206,rawEnd,$G206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6" s="2">
        <f>LET(id,$A206,code,UPPER(TRIM($D206)),rawStart,$F206,rawEnd,$G206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6" s="2">
        <f>LET(id,$A206,code,UPPER(TRIM($D206)),rawStart,$F206,rawEnd,$G206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6" s="2">
        <f>LET(id,$A206,code,UPPER(TRIM($D206)),rawStart,$F206,rawEnd,$G206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6" s="2">
        <f>LET(id,$A206,code,UPPER(TRIM($D206)),rawStart,$F206,rawEnd,$G206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6" s="2">
        <f>LET(id,$A206,code,UPPER(TRIM($D206)),rawStart,$F206,rawEnd,$G206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6" s="2">
        <f>LET(id,$A206,code,UPPER(TRIM($D206)),rawStart,$F206,rawEnd,$G206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6" s="2">
        <f>LET(id,$A206,code,UPPER(TRIM($D206)),rawStart,$F206,rawEnd,$G206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6" s="2">
        <f>LET(id,$A206,code,UPPER(TRIM($D206)),rawStart,$F206,rawEnd,$G206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06" s="2">
        <f>Calc_Engine!BD206</f>
        <v/>
      </c>
    </row>
    <row r="207">
      <c r="A207" s="2">
        <f>Calc_Engine!A207</f>
        <v/>
      </c>
      <c r="B207" s="2">
        <f>Calc_Engine!B207</f>
        <v/>
      </c>
      <c r="C207" s="2">
        <f>Calc_Engine!C207</f>
        <v/>
      </c>
      <c r="D207" s="2">
        <f>Calc_Engine!D207</f>
        <v/>
      </c>
      <c r="E207" s="4">
        <f>Calc_Engine!E207</f>
        <v/>
      </c>
      <c r="F207" s="5">
        <f>Calc_Engine!F207</f>
        <v/>
      </c>
      <c r="G207" s="5">
        <f>Calc_Engine!G207</f>
        <v/>
      </c>
      <c r="H207" s="2">
        <f>LET(id,$A207,code,UPPER(TRIM($D207)),rawStart,$F207,rawEnd,$G207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7" s="2">
        <f>LET(id,$A207,code,UPPER(TRIM($D207)),rawStart,$F207,rawEnd,$G207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7" s="2">
        <f>LET(id,$A207,code,UPPER(TRIM($D207)),rawStart,$F207,rawEnd,$G207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7" s="2">
        <f>LET(id,$A207,code,UPPER(TRIM($D207)),rawStart,$F207,rawEnd,$G207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7" s="2">
        <f>LET(id,$A207,code,UPPER(TRIM($D207)),rawStart,$F207,rawEnd,$G207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7" s="2">
        <f>LET(id,$A207,code,UPPER(TRIM($D207)),rawStart,$F207,rawEnd,$G207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7" s="2">
        <f>LET(id,$A207,code,UPPER(TRIM($D207)),rawStart,$F207,rawEnd,$G207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7" s="2">
        <f>LET(id,$A207,code,UPPER(TRIM($D207)),rawStart,$F207,rawEnd,$G207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7" s="2">
        <f>LET(id,$A207,code,UPPER(TRIM($D207)),rawStart,$F207,rawEnd,$G207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7" s="2">
        <f>LET(id,$A207,code,UPPER(TRIM($D207)),rawStart,$F207,rawEnd,$G207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7" s="2">
        <f>LET(id,$A207,code,UPPER(TRIM($D207)),rawStart,$F207,rawEnd,$G207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7" s="2">
        <f>LET(id,$A207,code,UPPER(TRIM($D207)),rawStart,$F207,rawEnd,$G207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7" s="2">
        <f>LET(id,$A207,code,UPPER(TRIM($D207)),rawStart,$F207,rawEnd,$G207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7" s="2">
        <f>LET(id,$A207,code,UPPER(TRIM($D207)),rawStart,$F207,rawEnd,$G207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7" s="2">
        <f>LET(id,$A207,code,UPPER(TRIM($D207)),rawStart,$F207,rawEnd,$G207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7" s="2">
        <f>LET(id,$A207,code,UPPER(TRIM($D207)),rawStart,$F207,rawEnd,$G207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7" s="2">
        <f>LET(id,$A207,code,UPPER(TRIM($D207)),rawStart,$F207,rawEnd,$G207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7" s="2">
        <f>LET(id,$A207,code,UPPER(TRIM($D207)),rawStart,$F207,rawEnd,$G207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7" s="2">
        <f>LET(id,$A207,code,UPPER(TRIM($D207)),rawStart,$F207,rawEnd,$G207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7" s="2">
        <f>LET(id,$A207,code,UPPER(TRIM($D207)),rawStart,$F207,rawEnd,$G207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7" s="2">
        <f>LET(id,$A207,code,UPPER(TRIM($D207)),rawStart,$F207,rawEnd,$G207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7" s="2">
        <f>LET(id,$A207,code,UPPER(TRIM($D207)),rawStart,$F207,rawEnd,$G207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7" s="2">
        <f>LET(id,$A207,code,UPPER(TRIM($D207)),rawStart,$F207,rawEnd,$G207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7" s="2">
        <f>LET(id,$A207,code,UPPER(TRIM($D207)),rawStart,$F207,rawEnd,$G207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7" s="2">
        <f>LET(id,$A207,code,UPPER(TRIM($D207)),rawStart,$F207,rawEnd,$G207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7" s="2">
        <f>LET(id,$A207,code,UPPER(TRIM($D207)),rawStart,$F207,rawEnd,$G207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7" s="2">
        <f>LET(id,$A207,code,UPPER(TRIM($D207)),rawStart,$F207,rawEnd,$G207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7" s="2">
        <f>LET(id,$A207,code,UPPER(TRIM($D207)),rawStart,$F207,rawEnd,$G207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7" s="2">
        <f>LET(id,$A207,code,UPPER(TRIM($D207)),rawStart,$F207,rawEnd,$G207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7" s="2">
        <f>LET(id,$A207,code,UPPER(TRIM($D207)),rawStart,$F207,rawEnd,$G207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7" s="2">
        <f>LET(id,$A207,code,UPPER(TRIM($D207)),rawStart,$F207,rawEnd,$G207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7" s="2">
        <f>LET(id,$A207,code,UPPER(TRIM($D207)),rawStart,$F207,rawEnd,$G207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7" s="2">
        <f>LET(id,$A207,code,UPPER(TRIM($D207)),rawStart,$F207,rawEnd,$G207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7" s="2">
        <f>LET(id,$A207,code,UPPER(TRIM($D207)),rawStart,$F207,rawEnd,$G207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7" s="2">
        <f>LET(id,$A207,code,UPPER(TRIM($D207)),rawStart,$F207,rawEnd,$G207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7" s="2">
        <f>LET(id,$A207,code,UPPER(TRIM($D207)),rawStart,$F207,rawEnd,$G207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7" s="2">
        <f>LET(id,$A207,code,UPPER(TRIM($D207)),rawStart,$F207,rawEnd,$G207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7" s="2">
        <f>LET(id,$A207,code,UPPER(TRIM($D207)),rawStart,$F207,rawEnd,$G207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7" s="2">
        <f>LET(id,$A207,code,UPPER(TRIM($D207)),rawStart,$F207,rawEnd,$G207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7" s="2">
        <f>LET(id,$A207,code,UPPER(TRIM($D207)),rawStart,$F207,rawEnd,$G207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7" s="2">
        <f>LET(id,$A207,code,UPPER(TRIM($D207)),rawStart,$F207,rawEnd,$G207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7" s="2">
        <f>LET(id,$A207,code,UPPER(TRIM($D207)),rawStart,$F207,rawEnd,$G207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7" s="2">
        <f>LET(id,$A207,code,UPPER(TRIM($D207)),rawStart,$F207,rawEnd,$G207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7" s="2">
        <f>LET(id,$A207,code,UPPER(TRIM($D207)),rawStart,$F207,rawEnd,$G207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7" s="2">
        <f>LET(id,$A207,code,UPPER(TRIM($D207)),rawStart,$F207,rawEnd,$G207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7" s="2">
        <f>LET(id,$A207,code,UPPER(TRIM($D207)),rawStart,$F207,rawEnd,$G207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7" s="2">
        <f>LET(id,$A207,code,UPPER(TRIM($D207)),rawStart,$F207,rawEnd,$G207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7" s="2">
        <f>LET(id,$A207,code,UPPER(TRIM($D207)),rawStart,$F207,rawEnd,$G207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07" s="2">
        <f>Calc_Engine!BD207</f>
        <v/>
      </c>
    </row>
    <row r="208">
      <c r="A208" s="2">
        <f>Calc_Engine!A208</f>
        <v/>
      </c>
      <c r="B208" s="2">
        <f>Calc_Engine!B208</f>
        <v/>
      </c>
      <c r="C208" s="2">
        <f>Calc_Engine!C208</f>
        <v/>
      </c>
      <c r="D208" s="2">
        <f>Calc_Engine!D208</f>
        <v/>
      </c>
      <c r="E208" s="4">
        <f>Calc_Engine!E208</f>
        <v/>
      </c>
      <c r="F208" s="5">
        <f>Calc_Engine!F208</f>
        <v/>
      </c>
      <c r="G208" s="5">
        <f>Calc_Engine!G208</f>
        <v/>
      </c>
      <c r="H208" s="2">
        <f>LET(id,$A208,code,UPPER(TRIM($D208)),rawStart,$F208,rawEnd,$G208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8" s="2">
        <f>LET(id,$A208,code,UPPER(TRIM($D208)),rawStart,$F208,rawEnd,$G208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8" s="2">
        <f>LET(id,$A208,code,UPPER(TRIM($D208)),rawStart,$F208,rawEnd,$G208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8" s="2">
        <f>LET(id,$A208,code,UPPER(TRIM($D208)),rawStart,$F208,rawEnd,$G208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8" s="2">
        <f>LET(id,$A208,code,UPPER(TRIM($D208)),rawStart,$F208,rawEnd,$G208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8" s="2">
        <f>LET(id,$A208,code,UPPER(TRIM($D208)),rawStart,$F208,rawEnd,$G208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8" s="2">
        <f>LET(id,$A208,code,UPPER(TRIM($D208)),rawStart,$F208,rawEnd,$G208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8" s="2">
        <f>LET(id,$A208,code,UPPER(TRIM($D208)),rawStart,$F208,rawEnd,$G208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8" s="2">
        <f>LET(id,$A208,code,UPPER(TRIM($D208)),rawStart,$F208,rawEnd,$G208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8" s="2">
        <f>LET(id,$A208,code,UPPER(TRIM($D208)),rawStart,$F208,rawEnd,$G208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8" s="2">
        <f>LET(id,$A208,code,UPPER(TRIM($D208)),rawStart,$F208,rawEnd,$G208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8" s="2">
        <f>LET(id,$A208,code,UPPER(TRIM($D208)),rawStart,$F208,rawEnd,$G208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8" s="2">
        <f>LET(id,$A208,code,UPPER(TRIM($D208)),rawStart,$F208,rawEnd,$G208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8" s="2">
        <f>LET(id,$A208,code,UPPER(TRIM($D208)),rawStart,$F208,rawEnd,$G208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8" s="2">
        <f>LET(id,$A208,code,UPPER(TRIM($D208)),rawStart,$F208,rawEnd,$G208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8" s="2">
        <f>LET(id,$A208,code,UPPER(TRIM($D208)),rawStart,$F208,rawEnd,$G208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8" s="2">
        <f>LET(id,$A208,code,UPPER(TRIM($D208)),rawStart,$F208,rawEnd,$G208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8" s="2">
        <f>LET(id,$A208,code,UPPER(TRIM($D208)),rawStart,$F208,rawEnd,$G208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8" s="2">
        <f>LET(id,$A208,code,UPPER(TRIM($D208)),rawStart,$F208,rawEnd,$G208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8" s="2">
        <f>LET(id,$A208,code,UPPER(TRIM($D208)),rawStart,$F208,rawEnd,$G208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8" s="2">
        <f>LET(id,$A208,code,UPPER(TRIM($D208)),rawStart,$F208,rawEnd,$G208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8" s="2">
        <f>LET(id,$A208,code,UPPER(TRIM($D208)),rawStart,$F208,rawEnd,$G208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8" s="2">
        <f>LET(id,$A208,code,UPPER(TRIM($D208)),rawStart,$F208,rawEnd,$G208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8" s="2">
        <f>LET(id,$A208,code,UPPER(TRIM($D208)),rawStart,$F208,rawEnd,$G208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8" s="2">
        <f>LET(id,$A208,code,UPPER(TRIM($D208)),rawStart,$F208,rawEnd,$G208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8" s="2">
        <f>LET(id,$A208,code,UPPER(TRIM($D208)),rawStart,$F208,rawEnd,$G208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8" s="2">
        <f>LET(id,$A208,code,UPPER(TRIM($D208)),rawStart,$F208,rawEnd,$G208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8" s="2">
        <f>LET(id,$A208,code,UPPER(TRIM($D208)),rawStart,$F208,rawEnd,$G208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8" s="2">
        <f>LET(id,$A208,code,UPPER(TRIM($D208)),rawStart,$F208,rawEnd,$G208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8" s="2">
        <f>LET(id,$A208,code,UPPER(TRIM($D208)),rawStart,$F208,rawEnd,$G208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8" s="2">
        <f>LET(id,$A208,code,UPPER(TRIM($D208)),rawStart,$F208,rawEnd,$G208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8" s="2">
        <f>LET(id,$A208,code,UPPER(TRIM($D208)),rawStart,$F208,rawEnd,$G208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8" s="2">
        <f>LET(id,$A208,code,UPPER(TRIM($D208)),rawStart,$F208,rawEnd,$G208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8" s="2">
        <f>LET(id,$A208,code,UPPER(TRIM($D208)),rawStart,$F208,rawEnd,$G208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8" s="2">
        <f>LET(id,$A208,code,UPPER(TRIM($D208)),rawStart,$F208,rawEnd,$G208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8" s="2">
        <f>LET(id,$A208,code,UPPER(TRIM($D208)),rawStart,$F208,rawEnd,$G208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8" s="2">
        <f>LET(id,$A208,code,UPPER(TRIM($D208)),rawStart,$F208,rawEnd,$G208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8" s="2">
        <f>LET(id,$A208,code,UPPER(TRIM($D208)),rawStart,$F208,rawEnd,$G208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8" s="2">
        <f>LET(id,$A208,code,UPPER(TRIM($D208)),rawStart,$F208,rawEnd,$G208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8" s="2">
        <f>LET(id,$A208,code,UPPER(TRIM($D208)),rawStart,$F208,rawEnd,$G208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8" s="2">
        <f>LET(id,$A208,code,UPPER(TRIM($D208)),rawStart,$F208,rawEnd,$G208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8" s="2">
        <f>LET(id,$A208,code,UPPER(TRIM($D208)),rawStart,$F208,rawEnd,$G208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8" s="2">
        <f>LET(id,$A208,code,UPPER(TRIM($D208)),rawStart,$F208,rawEnd,$G208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8" s="2">
        <f>LET(id,$A208,code,UPPER(TRIM($D208)),rawStart,$F208,rawEnd,$G208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8" s="2">
        <f>LET(id,$A208,code,UPPER(TRIM($D208)),rawStart,$F208,rawEnd,$G208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8" s="2">
        <f>LET(id,$A208,code,UPPER(TRIM($D208)),rawStart,$F208,rawEnd,$G208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8" s="2">
        <f>LET(id,$A208,code,UPPER(TRIM($D208)),rawStart,$F208,rawEnd,$G208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8" s="2">
        <f>LET(id,$A208,code,UPPER(TRIM($D208)),rawStart,$F208,rawEnd,$G208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08" s="2">
        <f>Calc_Engine!BD208</f>
        <v/>
      </c>
    </row>
    <row r="209">
      <c r="A209" s="2">
        <f>Calc_Engine!A209</f>
        <v/>
      </c>
      <c r="B209" s="2">
        <f>Calc_Engine!B209</f>
        <v/>
      </c>
      <c r="C209" s="2">
        <f>Calc_Engine!C209</f>
        <v/>
      </c>
      <c r="D209" s="2">
        <f>Calc_Engine!D209</f>
        <v/>
      </c>
      <c r="E209" s="4">
        <f>Calc_Engine!E209</f>
        <v/>
      </c>
      <c r="F209" s="5">
        <f>Calc_Engine!F209</f>
        <v/>
      </c>
      <c r="G209" s="5">
        <f>Calc_Engine!G209</f>
        <v/>
      </c>
      <c r="H209" s="2">
        <f>LET(id,$A209,code,UPPER(TRIM($D209)),rawStart,$F209,rawEnd,$G209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9" s="2">
        <f>LET(id,$A209,code,UPPER(TRIM($D209)),rawStart,$F209,rawEnd,$G209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9" s="2">
        <f>LET(id,$A209,code,UPPER(TRIM($D209)),rawStart,$F209,rawEnd,$G209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9" s="2">
        <f>LET(id,$A209,code,UPPER(TRIM($D209)),rawStart,$F209,rawEnd,$G209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9" s="2">
        <f>LET(id,$A209,code,UPPER(TRIM($D209)),rawStart,$F209,rawEnd,$G209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9" s="2">
        <f>LET(id,$A209,code,UPPER(TRIM($D209)),rawStart,$F209,rawEnd,$G209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9" s="2">
        <f>LET(id,$A209,code,UPPER(TRIM($D209)),rawStart,$F209,rawEnd,$G209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9" s="2">
        <f>LET(id,$A209,code,UPPER(TRIM($D209)),rawStart,$F209,rawEnd,$G209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9" s="2">
        <f>LET(id,$A209,code,UPPER(TRIM($D209)),rawStart,$F209,rawEnd,$G209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9" s="2">
        <f>LET(id,$A209,code,UPPER(TRIM($D209)),rawStart,$F209,rawEnd,$G209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9" s="2">
        <f>LET(id,$A209,code,UPPER(TRIM($D209)),rawStart,$F209,rawEnd,$G209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9" s="2">
        <f>LET(id,$A209,code,UPPER(TRIM($D209)),rawStart,$F209,rawEnd,$G209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9" s="2">
        <f>LET(id,$A209,code,UPPER(TRIM($D209)),rawStart,$F209,rawEnd,$G209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9" s="2">
        <f>LET(id,$A209,code,UPPER(TRIM($D209)),rawStart,$F209,rawEnd,$G209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9" s="2">
        <f>LET(id,$A209,code,UPPER(TRIM($D209)),rawStart,$F209,rawEnd,$G209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9" s="2">
        <f>LET(id,$A209,code,UPPER(TRIM($D209)),rawStart,$F209,rawEnd,$G209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9" s="2">
        <f>LET(id,$A209,code,UPPER(TRIM($D209)),rawStart,$F209,rawEnd,$G209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9" s="2">
        <f>LET(id,$A209,code,UPPER(TRIM($D209)),rawStart,$F209,rawEnd,$G209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9" s="2">
        <f>LET(id,$A209,code,UPPER(TRIM($D209)),rawStart,$F209,rawEnd,$G209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9" s="2">
        <f>LET(id,$A209,code,UPPER(TRIM($D209)),rawStart,$F209,rawEnd,$G209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9" s="2">
        <f>LET(id,$A209,code,UPPER(TRIM($D209)),rawStart,$F209,rawEnd,$G209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9" s="2">
        <f>LET(id,$A209,code,UPPER(TRIM($D209)),rawStart,$F209,rawEnd,$G209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9" s="2">
        <f>LET(id,$A209,code,UPPER(TRIM($D209)),rawStart,$F209,rawEnd,$G209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9" s="2">
        <f>LET(id,$A209,code,UPPER(TRIM($D209)),rawStart,$F209,rawEnd,$G209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9" s="2">
        <f>LET(id,$A209,code,UPPER(TRIM($D209)),rawStart,$F209,rawEnd,$G209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9" s="2">
        <f>LET(id,$A209,code,UPPER(TRIM($D209)),rawStart,$F209,rawEnd,$G209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9" s="2">
        <f>LET(id,$A209,code,UPPER(TRIM($D209)),rawStart,$F209,rawEnd,$G209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9" s="2">
        <f>LET(id,$A209,code,UPPER(TRIM($D209)),rawStart,$F209,rawEnd,$G209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9" s="2">
        <f>LET(id,$A209,code,UPPER(TRIM($D209)),rawStart,$F209,rawEnd,$G209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9" s="2">
        <f>LET(id,$A209,code,UPPER(TRIM($D209)),rawStart,$F209,rawEnd,$G209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9" s="2">
        <f>LET(id,$A209,code,UPPER(TRIM($D209)),rawStart,$F209,rawEnd,$G209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9" s="2">
        <f>LET(id,$A209,code,UPPER(TRIM($D209)),rawStart,$F209,rawEnd,$G209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9" s="2">
        <f>LET(id,$A209,code,UPPER(TRIM($D209)),rawStart,$F209,rawEnd,$G209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9" s="2">
        <f>LET(id,$A209,code,UPPER(TRIM($D209)),rawStart,$F209,rawEnd,$G209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9" s="2">
        <f>LET(id,$A209,code,UPPER(TRIM($D209)),rawStart,$F209,rawEnd,$G209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9" s="2">
        <f>LET(id,$A209,code,UPPER(TRIM($D209)),rawStart,$F209,rawEnd,$G209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9" s="2">
        <f>LET(id,$A209,code,UPPER(TRIM($D209)),rawStart,$F209,rawEnd,$G209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9" s="2">
        <f>LET(id,$A209,code,UPPER(TRIM($D209)),rawStart,$F209,rawEnd,$G209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9" s="2">
        <f>LET(id,$A209,code,UPPER(TRIM($D209)),rawStart,$F209,rawEnd,$G209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9" s="2">
        <f>LET(id,$A209,code,UPPER(TRIM($D209)),rawStart,$F209,rawEnd,$G209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9" s="2">
        <f>LET(id,$A209,code,UPPER(TRIM($D209)),rawStart,$F209,rawEnd,$G209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9" s="2">
        <f>LET(id,$A209,code,UPPER(TRIM($D209)),rawStart,$F209,rawEnd,$G209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9" s="2">
        <f>LET(id,$A209,code,UPPER(TRIM($D209)),rawStart,$F209,rawEnd,$G209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9" s="2">
        <f>LET(id,$A209,code,UPPER(TRIM($D209)),rawStart,$F209,rawEnd,$G209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9" s="2">
        <f>LET(id,$A209,code,UPPER(TRIM($D209)),rawStart,$F209,rawEnd,$G209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9" s="2">
        <f>LET(id,$A209,code,UPPER(TRIM($D209)),rawStart,$F209,rawEnd,$G209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9" s="2">
        <f>LET(id,$A209,code,UPPER(TRIM($D209)),rawStart,$F209,rawEnd,$G209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9" s="2">
        <f>LET(id,$A209,code,UPPER(TRIM($D209)),rawStart,$F209,rawEnd,$G209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09" s="2">
        <f>Calc_Engine!BD209</f>
        <v/>
      </c>
    </row>
    <row r="210">
      <c r="A210" s="2">
        <f>Calc_Engine!A210</f>
        <v/>
      </c>
      <c r="B210" s="2">
        <f>Calc_Engine!B210</f>
        <v/>
      </c>
      <c r="C210" s="2">
        <f>Calc_Engine!C210</f>
        <v/>
      </c>
      <c r="D210" s="2">
        <f>Calc_Engine!D210</f>
        <v/>
      </c>
      <c r="E210" s="4">
        <f>Calc_Engine!E210</f>
        <v/>
      </c>
      <c r="F210" s="5">
        <f>Calc_Engine!F210</f>
        <v/>
      </c>
      <c r="G210" s="5">
        <f>Calc_Engine!G210</f>
        <v/>
      </c>
      <c r="H210" s="2">
        <f>LET(id,$A210,code,UPPER(TRIM($D210)),rawStart,$F210,rawEnd,$G210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0" s="2">
        <f>LET(id,$A210,code,UPPER(TRIM($D210)),rawStart,$F210,rawEnd,$G210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0" s="2">
        <f>LET(id,$A210,code,UPPER(TRIM($D210)),rawStart,$F210,rawEnd,$G210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0" s="2">
        <f>LET(id,$A210,code,UPPER(TRIM($D210)),rawStart,$F210,rawEnd,$G210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0" s="2">
        <f>LET(id,$A210,code,UPPER(TRIM($D210)),rawStart,$F210,rawEnd,$G210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0" s="2">
        <f>LET(id,$A210,code,UPPER(TRIM($D210)),rawStart,$F210,rawEnd,$G210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0" s="2">
        <f>LET(id,$A210,code,UPPER(TRIM($D210)),rawStart,$F210,rawEnd,$G210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0" s="2">
        <f>LET(id,$A210,code,UPPER(TRIM($D210)),rawStart,$F210,rawEnd,$G210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0" s="2">
        <f>LET(id,$A210,code,UPPER(TRIM($D210)),rawStart,$F210,rawEnd,$G210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0" s="2">
        <f>LET(id,$A210,code,UPPER(TRIM($D210)),rawStart,$F210,rawEnd,$G210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0" s="2">
        <f>LET(id,$A210,code,UPPER(TRIM($D210)),rawStart,$F210,rawEnd,$G210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0" s="2">
        <f>LET(id,$A210,code,UPPER(TRIM($D210)),rawStart,$F210,rawEnd,$G210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0" s="2">
        <f>LET(id,$A210,code,UPPER(TRIM($D210)),rawStart,$F210,rawEnd,$G210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0" s="2">
        <f>LET(id,$A210,code,UPPER(TRIM($D210)),rawStart,$F210,rawEnd,$G210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0" s="2">
        <f>LET(id,$A210,code,UPPER(TRIM($D210)),rawStart,$F210,rawEnd,$G210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0" s="2">
        <f>LET(id,$A210,code,UPPER(TRIM($D210)),rawStart,$F210,rawEnd,$G210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0" s="2">
        <f>LET(id,$A210,code,UPPER(TRIM($D210)),rawStart,$F210,rawEnd,$G210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0" s="2">
        <f>LET(id,$A210,code,UPPER(TRIM($D210)),rawStart,$F210,rawEnd,$G210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0" s="2">
        <f>LET(id,$A210,code,UPPER(TRIM($D210)),rawStart,$F210,rawEnd,$G210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0" s="2">
        <f>LET(id,$A210,code,UPPER(TRIM($D210)),rawStart,$F210,rawEnd,$G210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0" s="2">
        <f>LET(id,$A210,code,UPPER(TRIM($D210)),rawStart,$F210,rawEnd,$G210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0" s="2">
        <f>LET(id,$A210,code,UPPER(TRIM($D210)),rawStart,$F210,rawEnd,$G210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0" s="2">
        <f>LET(id,$A210,code,UPPER(TRIM($D210)),rawStart,$F210,rawEnd,$G210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0" s="2">
        <f>LET(id,$A210,code,UPPER(TRIM($D210)),rawStart,$F210,rawEnd,$G210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0" s="2">
        <f>LET(id,$A210,code,UPPER(TRIM($D210)),rawStart,$F210,rawEnd,$G210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0" s="2">
        <f>LET(id,$A210,code,UPPER(TRIM($D210)),rawStart,$F210,rawEnd,$G210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0" s="2">
        <f>LET(id,$A210,code,UPPER(TRIM($D210)),rawStart,$F210,rawEnd,$G210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0" s="2">
        <f>LET(id,$A210,code,UPPER(TRIM($D210)),rawStart,$F210,rawEnd,$G210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0" s="2">
        <f>LET(id,$A210,code,UPPER(TRIM($D210)),rawStart,$F210,rawEnd,$G210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0" s="2">
        <f>LET(id,$A210,code,UPPER(TRIM($D210)),rawStart,$F210,rawEnd,$G210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0" s="2">
        <f>LET(id,$A210,code,UPPER(TRIM($D210)),rawStart,$F210,rawEnd,$G210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0" s="2">
        <f>LET(id,$A210,code,UPPER(TRIM($D210)),rawStart,$F210,rawEnd,$G210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0" s="2">
        <f>LET(id,$A210,code,UPPER(TRIM($D210)),rawStart,$F210,rawEnd,$G210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0" s="2">
        <f>LET(id,$A210,code,UPPER(TRIM($D210)),rawStart,$F210,rawEnd,$G210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0" s="2">
        <f>LET(id,$A210,code,UPPER(TRIM($D210)),rawStart,$F210,rawEnd,$G210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0" s="2">
        <f>LET(id,$A210,code,UPPER(TRIM($D210)),rawStart,$F210,rawEnd,$G210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0" s="2">
        <f>LET(id,$A210,code,UPPER(TRIM($D210)),rawStart,$F210,rawEnd,$G210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0" s="2">
        <f>LET(id,$A210,code,UPPER(TRIM($D210)),rawStart,$F210,rawEnd,$G210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0" s="2">
        <f>LET(id,$A210,code,UPPER(TRIM($D210)),rawStart,$F210,rawEnd,$G210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0" s="2">
        <f>LET(id,$A210,code,UPPER(TRIM($D210)),rawStart,$F210,rawEnd,$G210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0" s="2">
        <f>LET(id,$A210,code,UPPER(TRIM($D210)),rawStart,$F210,rawEnd,$G210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0" s="2">
        <f>LET(id,$A210,code,UPPER(TRIM($D210)),rawStart,$F210,rawEnd,$G210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0" s="2">
        <f>LET(id,$A210,code,UPPER(TRIM($D210)),rawStart,$F210,rawEnd,$G210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0" s="2">
        <f>LET(id,$A210,code,UPPER(TRIM($D210)),rawStart,$F210,rawEnd,$G210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0" s="2">
        <f>LET(id,$A210,code,UPPER(TRIM($D210)),rawStart,$F210,rawEnd,$G210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0" s="2">
        <f>LET(id,$A210,code,UPPER(TRIM($D210)),rawStart,$F210,rawEnd,$G210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0" s="2">
        <f>LET(id,$A210,code,UPPER(TRIM($D210)),rawStart,$F210,rawEnd,$G210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0" s="2">
        <f>LET(id,$A210,code,UPPER(TRIM($D210)),rawStart,$F210,rawEnd,$G210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10" s="2">
        <f>Calc_Engine!BD210</f>
        <v/>
      </c>
    </row>
    <row r="211">
      <c r="A211" s="2">
        <f>Calc_Engine!A211</f>
        <v/>
      </c>
      <c r="B211" s="2">
        <f>Calc_Engine!B211</f>
        <v/>
      </c>
      <c r="C211" s="2">
        <f>Calc_Engine!C211</f>
        <v/>
      </c>
      <c r="D211" s="2">
        <f>Calc_Engine!D211</f>
        <v/>
      </c>
      <c r="E211" s="4">
        <f>Calc_Engine!E211</f>
        <v/>
      </c>
      <c r="F211" s="5">
        <f>Calc_Engine!F211</f>
        <v/>
      </c>
      <c r="G211" s="5">
        <f>Calc_Engine!G211</f>
        <v/>
      </c>
      <c r="H211" s="2">
        <f>LET(id,$A211,code,UPPER(TRIM($D211)),rawStart,$F211,rawEnd,$G211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1" s="2">
        <f>LET(id,$A211,code,UPPER(TRIM($D211)),rawStart,$F211,rawEnd,$G211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1" s="2">
        <f>LET(id,$A211,code,UPPER(TRIM($D211)),rawStart,$F211,rawEnd,$G211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1" s="2">
        <f>LET(id,$A211,code,UPPER(TRIM($D211)),rawStart,$F211,rawEnd,$G211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1" s="2">
        <f>LET(id,$A211,code,UPPER(TRIM($D211)),rawStart,$F211,rawEnd,$G211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1" s="2">
        <f>LET(id,$A211,code,UPPER(TRIM($D211)),rawStart,$F211,rawEnd,$G211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1" s="2">
        <f>LET(id,$A211,code,UPPER(TRIM($D211)),rawStart,$F211,rawEnd,$G211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1" s="2">
        <f>LET(id,$A211,code,UPPER(TRIM($D211)),rawStart,$F211,rawEnd,$G211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1" s="2">
        <f>LET(id,$A211,code,UPPER(TRIM($D211)),rawStart,$F211,rawEnd,$G211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1" s="2">
        <f>LET(id,$A211,code,UPPER(TRIM($D211)),rawStart,$F211,rawEnd,$G211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1" s="2">
        <f>LET(id,$A211,code,UPPER(TRIM($D211)),rawStart,$F211,rawEnd,$G211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1" s="2">
        <f>LET(id,$A211,code,UPPER(TRIM($D211)),rawStart,$F211,rawEnd,$G211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1" s="2">
        <f>LET(id,$A211,code,UPPER(TRIM($D211)),rawStart,$F211,rawEnd,$G211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1" s="2">
        <f>LET(id,$A211,code,UPPER(TRIM($D211)),rawStart,$F211,rawEnd,$G211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1" s="2">
        <f>LET(id,$A211,code,UPPER(TRIM($D211)),rawStart,$F211,rawEnd,$G211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1" s="2">
        <f>LET(id,$A211,code,UPPER(TRIM($D211)),rawStart,$F211,rawEnd,$G211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1" s="2">
        <f>LET(id,$A211,code,UPPER(TRIM($D211)),rawStart,$F211,rawEnd,$G211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1" s="2">
        <f>LET(id,$A211,code,UPPER(TRIM($D211)),rawStart,$F211,rawEnd,$G211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1" s="2">
        <f>LET(id,$A211,code,UPPER(TRIM($D211)),rawStart,$F211,rawEnd,$G211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1" s="2">
        <f>LET(id,$A211,code,UPPER(TRIM($D211)),rawStart,$F211,rawEnd,$G211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1" s="2">
        <f>LET(id,$A211,code,UPPER(TRIM($D211)),rawStart,$F211,rawEnd,$G211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1" s="2">
        <f>LET(id,$A211,code,UPPER(TRIM($D211)),rawStart,$F211,rawEnd,$G211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1" s="2">
        <f>LET(id,$A211,code,UPPER(TRIM($D211)),rawStart,$F211,rawEnd,$G211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1" s="2">
        <f>LET(id,$A211,code,UPPER(TRIM($D211)),rawStart,$F211,rawEnd,$G211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1" s="2">
        <f>LET(id,$A211,code,UPPER(TRIM($D211)),rawStart,$F211,rawEnd,$G211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1" s="2">
        <f>LET(id,$A211,code,UPPER(TRIM($D211)),rawStart,$F211,rawEnd,$G211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1" s="2">
        <f>LET(id,$A211,code,UPPER(TRIM($D211)),rawStart,$F211,rawEnd,$G211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1" s="2">
        <f>LET(id,$A211,code,UPPER(TRIM($D211)),rawStart,$F211,rawEnd,$G211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1" s="2">
        <f>LET(id,$A211,code,UPPER(TRIM($D211)),rawStart,$F211,rawEnd,$G211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1" s="2">
        <f>LET(id,$A211,code,UPPER(TRIM($D211)),rawStart,$F211,rawEnd,$G211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1" s="2">
        <f>LET(id,$A211,code,UPPER(TRIM($D211)),rawStart,$F211,rawEnd,$G211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1" s="2">
        <f>LET(id,$A211,code,UPPER(TRIM($D211)),rawStart,$F211,rawEnd,$G211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1" s="2">
        <f>LET(id,$A211,code,UPPER(TRIM($D211)),rawStart,$F211,rawEnd,$G211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1" s="2">
        <f>LET(id,$A211,code,UPPER(TRIM($D211)),rawStart,$F211,rawEnd,$G211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1" s="2">
        <f>LET(id,$A211,code,UPPER(TRIM($D211)),rawStart,$F211,rawEnd,$G211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1" s="2">
        <f>LET(id,$A211,code,UPPER(TRIM($D211)),rawStart,$F211,rawEnd,$G211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1" s="2">
        <f>LET(id,$A211,code,UPPER(TRIM($D211)),rawStart,$F211,rawEnd,$G211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1" s="2">
        <f>LET(id,$A211,code,UPPER(TRIM($D211)),rawStart,$F211,rawEnd,$G211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1" s="2">
        <f>LET(id,$A211,code,UPPER(TRIM($D211)),rawStart,$F211,rawEnd,$G211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1" s="2">
        <f>LET(id,$A211,code,UPPER(TRIM($D211)),rawStart,$F211,rawEnd,$G211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1" s="2">
        <f>LET(id,$A211,code,UPPER(TRIM($D211)),rawStart,$F211,rawEnd,$G211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1" s="2">
        <f>LET(id,$A211,code,UPPER(TRIM($D211)),rawStart,$F211,rawEnd,$G211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1" s="2">
        <f>LET(id,$A211,code,UPPER(TRIM($D211)),rawStart,$F211,rawEnd,$G211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1" s="2">
        <f>LET(id,$A211,code,UPPER(TRIM($D211)),rawStart,$F211,rawEnd,$G211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1" s="2">
        <f>LET(id,$A211,code,UPPER(TRIM($D211)),rawStart,$F211,rawEnd,$G211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1" s="2">
        <f>LET(id,$A211,code,UPPER(TRIM($D211)),rawStart,$F211,rawEnd,$G211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1" s="2">
        <f>LET(id,$A211,code,UPPER(TRIM($D211)),rawStart,$F211,rawEnd,$G211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1" s="2">
        <f>LET(id,$A211,code,UPPER(TRIM($D211)),rawStart,$F211,rawEnd,$G211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11" s="2">
        <f>Calc_Engine!BD211</f>
        <v/>
      </c>
    </row>
    <row r="212">
      <c r="A212" s="2">
        <f>Calc_Engine!A212</f>
        <v/>
      </c>
      <c r="B212" s="2">
        <f>Calc_Engine!B212</f>
        <v/>
      </c>
      <c r="C212" s="2">
        <f>Calc_Engine!C212</f>
        <v/>
      </c>
      <c r="D212" s="2">
        <f>Calc_Engine!D212</f>
        <v/>
      </c>
      <c r="E212" s="4">
        <f>Calc_Engine!E212</f>
        <v/>
      </c>
      <c r="F212" s="5">
        <f>Calc_Engine!F212</f>
        <v/>
      </c>
      <c r="G212" s="5">
        <f>Calc_Engine!G212</f>
        <v/>
      </c>
      <c r="H212" s="2">
        <f>LET(id,$A212,code,UPPER(TRIM($D212)),rawStart,$F212,rawEnd,$G212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2" s="2">
        <f>LET(id,$A212,code,UPPER(TRIM($D212)),rawStart,$F212,rawEnd,$G212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2" s="2">
        <f>LET(id,$A212,code,UPPER(TRIM($D212)),rawStart,$F212,rawEnd,$G212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2" s="2">
        <f>LET(id,$A212,code,UPPER(TRIM($D212)),rawStart,$F212,rawEnd,$G212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2" s="2">
        <f>LET(id,$A212,code,UPPER(TRIM($D212)),rawStart,$F212,rawEnd,$G212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2" s="2">
        <f>LET(id,$A212,code,UPPER(TRIM($D212)),rawStart,$F212,rawEnd,$G212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2" s="2">
        <f>LET(id,$A212,code,UPPER(TRIM($D212)),rawStart,$F212,rawEnd,$G212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2" s="2">
        <f>LET(id,$A212,code,UPPER(TRIM($D212)),rawStart,$F212,rawEnd,$G212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2" s="2">
        <f>LET(id,$A212,code,UPPER(TRIM($D212)),rawStart,$F212,rawEnd,$G212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2" s="2">
        <f>LET(id,$A212,code,UPPER(TRIM($D212)),rawStart,$F212,rawEnd,$G212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2" s="2">
        <f>LET(id,$A212,code,UPPER(TRIM($D212)),rawStart,$F212,rawEnd,$G212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2" s="2">
        <f>LET(id,$A212,code,UPPER(TRIM($D212)),rawStart,$F212,rawEnd,$G212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2" s="2">
        <f>LET(id,$A212,code,UPPER(TRIM($D212)),rawStart,$F212,rawEnd,$G212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2" s="2">
        <f>LET(id,$A212,code,UPPER(TRIM($D212)),rawStart,$F212,rawEnd,$G212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2" s="2">
        <f>LET(id,$A212,code,UPPER(TRIM($D212)),rawStart,$F212,rawEnd,$G212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2" s="2">
        <f>LET(id,$A212,code,UPPER(TRIM($D212)),rawStart,$F212,rawEnd,$G212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2" s="2">
        <f>LET(id,$A212,code,UPPER(TRIM($D212)),rawStart,$F212,rawEnd,$G212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2" s="2">
        <f>LET(id,$A212,code,UPPER(TRIM($D212)),rawStart,$F212,rawEnd,$G212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2" s="2">
        <f>LET(id,$A212,code,UPPER(TRIM($D212)),rawStart,$F212,rawEnd,$G212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2" s="2">
        <f>LET(id,$A212,code,UPPER(TRIM($D212)),rawStart,$F212,rawEnd,$G212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2" s="2">
        <f>LET(id,$A212,code,UPPER(TRIM($D212)),rawStart,$F212,rawEnd,$G212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2" s="2">
        <f>LET(id,$A212,code,UPPER(TRIM($D212)),rawStart,$F212,rawEnd,$G212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2" s="2">
        <f>LET(id,$A212,code,UPPER(TRIM($D212)),rawStart,$F212,rawEnd,$G212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2" s="2">
        <f>LET(id,$A212,code,UPPER(TRIM($D212)),rawStart,$F212,rawEnd,$G212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2" s="2">
        <f>LET(id,$A212,code,UPPER(TRIM($D212)),rawStart,$F212,rawEnd,$G212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2" s="2">
        <f>LET(id,$A212,code,UPPER(TRIM($D212)),rawStart,$F212,rawEnd,$G212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2" s="2">
        <f>LET(id,$A212,code,UPPER(TRIM($D212)),rawStart,$F212,rawEnd,$G212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2" s="2">
        <f>LET(id,$A212,code,UPPER(TRIM($D212)),rawStart,$F212,rawEnd,$G212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2" s="2">
        <f>LET(id,$A212,code,UPPER(TRIM($D212)),rawStart,$F212,rawEnd,$G212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2" s="2">
        <f>LET(id,$A212,code,UPPER(TRIM($D212)),rawStart,$F212,rawEnd,$G212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2" s="2">
        <f>LET(id,$A212,code,UPPER(TRIM($D212)),rawStart,$F212,rawEnd,$G212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2" s="2">
        <f>LET(id,$A212,code,UPPER(TRIM($D212)),rawStart,$F212,rawEnd,$G212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2" s="2">
        <f>LET(id,$A212,code,UPPER(TRIM($D212)),rawStart,$F212,rawEnd,$G212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2" s="2">
        <f>LET(id,$A212,code,UPPER(TRIM($D212)),rawStart,$F212,rawEnd,$G212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2" s="2">
        <f>LET(id,$A212,code,UPPER(TRIM($D212)),rawStart,$F212,rawEnd,$G212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2" s="2">
        <f>LET(id,$A212,code,UPPER(TRIM($D212)),rawStart,$F212,rawEnd,$G212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2" s="2">
        <f>LET(id,$A212,code,UPPER(TRIM($D212)),rawStart,$F212,rawEnd,$G212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2" s="2">
        <f>LET(id,$A212,code,UPPER(TRIM($D212)),rawStart,$F212,rawEnd,$G212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2" s="2">
        <f>LET(id,$A212,code,UPPER(TRIM($D212)),rawStart,$F212,rawEnd,$G212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2" s="2">
        <f>LET(id,$A212,code,UPPER(TRIM($D212)),rawStart,$F212,rawEnd,$G212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2" s="2">
        <f>LET(id,$A212,code,UPPER(TRIM($D212)),rawStart,$F212,rawEnd,$G212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2" s="2">
        <f>LET(id,$A212,code,UPPER(TRIM($D212)),rawStart,$F212,rawEnd,$G212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2" s="2">
        <f>LET(id,$A212,code,UPPER(TRIM($D212)),rawStart,$F212,rawEnd,$G212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2" s="2">
        <f>LET(id,$A212,code,UPPER(TRIM($D212)),rawStart,$F212,rawEnd,$G212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2" s="2">
        <f>LET(id,$A212,code,UPPER(TRIM($D212)),rawStart,$F212,rawEnd,$G212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2" s="2">
        <f>LET(id,$A212,code,UPPER(TRIM($D212)),rawStart,$F212,rawEnd,$G212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2" s="2">
        <f>LET(id,$A212,code,UPPER(TRIM($D212)),rawStart,$F212,rawEnd,$G212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2" s="2">
        <f>LET(id,$A212,code,UPPER(TRIM($D212)),rawStart,$F212,rawEnd,$G212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12" s="2">
        <f>Calc_Engine!BD212</f>
        <v/>
      </c>
    </row>
    <row r="213">
      <c r="A213" s="2">
        <f>Calc_Engine!A213</f>
        <v/>
      </c>
      <c r="B213" s="2">
        <f>Calc_Engine!B213</f>
        <v/>
      </c>
      <c r="C213" s="2">
        <f>Calc_Engine!C213</f>
        <v/>
      </c>
      <c r="D213" s="2">
        <f>Calc_Engine!D213</f>
        <v/>
      </c>
      <c r="E213" s="4">
        <f>Calc_Engine!E213</f>
        <v/>
      </c>
      <c r="F213" s="5">
        <f>Calc_Engine!F213</f>
        <v/>
      </c>
      <c r="G213" s="5">
        <f>Calc_Engine!G213</f>
        <v/>
      </c>
      <c r="H213" s="2">
        <f>LET(id,$A213,code,UPPER(TRIM($D213)),rawStart,$F213,rawEnd,$G213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3" s="2">
        <f>LET(id,$A213,code,UPPER(TRIM($D213)),rawStart,$F213,rawEnd,$G213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3" s="2">
        <f>LET(id,$A213,code,UPPER(TRIM($D213)),rawStart,$F213,rawEnd,$G213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3" s="2">
        <f>LET(id,$A213,code,UPPER(TRIM($D213)),rawStart,$F213,rawEnd,$G213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3" s="2">
        <f>LET(id,$A213,code,UPPER(TRIM($D213)),rawStart,$F213,rawEnd,$G213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3" s="2">
        <f>LET(id,$A213,code,UPPER(TRIM($D213)),rawStart,$F213,rawEnd,$G213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3" s="2">
        <f>LET(id,$A213,code,UPPER(TRIM($D213)),rawStart,$F213,rawEnd,$G213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3" s="2">
        <f>LET(id,$A213,code,UPPER(TRIM($D213)),rawStart,$F213,rawEnd,$G213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3" s="2">
        <f>LET(id,$A213,code,UPPER(TRIM($D213)),rawStart,$F213,rawEnd,$G213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3" s="2">
        <f>LET(id,$A213,code,UPPER(TRIM($D213)),rawStart,$F213,rawEnd,$G213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3" s="2">
        <f>LET(id,$A213,code,UPPER(TRIM($D213)),rawStart,$F213,rawEnd,$G213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3" s="2">
        <f>LET(id,$A213,code,UPPER(TRIM($D213)),rawStart,$F213,rawEnd,$G213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3" s="2">
        <f>LET(id,$A213,code,UPPER(TRIM($D213)),rawStart,$F213,rawEnd,$G213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3" s="2">
        <f>LET(id,$A213,code,UPPER(TRIM($D213)),rawStart,$F213,rawEnd,$G213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3" s="2">
        <f>LET(id,$A213,code,UPPER(TRIM($D213)),rawStart,$F213,rawEnd,$G213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3" s="2">
        <f>LET(id,$A213,code,UPPER(TRIM($D213)),rawStart,$F213,rawEnd,$G213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3" s="2">
        <f>LET(id,$A213,code,UPPER(TRIM($D213)),rawStart,$F213,rawEnd,$G213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3" s="2">
        <f>LET(id,$A213,code,UPPER(TRIM($D213)),rawStart,$F213,rawEnd,$G213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3" s="2">
        <f>LET(id,$A213,code,UPPER(TRIM($D213)),rawStart,$F213,rawEnd,$G213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3" s="2">
        <f>LET(id,$A213,code,UPPER(TRIM($D213)),rawStart,$F213,rawEnd,$G213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3" s="2">
        <f>LET(id,$A213,code,UPPER(TRIM($D213)),rawStart,$F213,rawEnd,$G213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3" s="2">
        <f>LET(id,$A213,code,UPPER(TRIM($D213)),rawStart,$F213,rawEnd,$G213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3" s="2">
        <f>LET(id,$A213,code,UPPER(TRIM($D213)),rawStart,$F213,rawEnd,$G213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3" s="2">
        <f>LET(id,$A213,code,UPPER(TRIM($D213)),rawStart,$F213,rawEnd,$G213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3" s="2">
        <f>LET(id,$A213,code,UPPER(TRIM($D213)),rawStart,$F213,rawEnd,$G213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3" s="2">
        <f>LET(id,$A213,code,UPPER(TRIM($D213)),rawStart,$F213,rawEnd,$G213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3" s="2">
        <f>LET(id,$A213,code,UPPER(TRIM($D213)),rawStart,$F213,rawEnd,$G213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3" s="2">
        <f>LET(id,$A213,code,UPPER(TRIM($D213)),rawStart,$F213,rawEnd,$G213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3" s="2">
        <f>LET(id,$A213,code,UPPER(TRIM($D213)),rawStart,$F213,rawEnd,$G213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3" s="2">
        <f>LET(id,$A213,code,UPPER(TRIM($D213)),rawStart,$F213,rawEnd,$G213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3" s="2">
        <f>LET(id,$A213,code,UPPER(TRIM($D213)),rawStart,$F213,rawEnd,$G213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3" s="2">
        <f>LET(id,$A213,code,UPPER(TRIM($D213)),rawStart,$F213,rawEnd,$G213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3" s="2">
        <f>LET(id,$A213,code,UPPER(TRIM($D213)),rawStart,$F213,rawEnd,$G213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3" s="2">
        <f>LET(id,$A213,code,UPPER(TRIM($D213)),rawStart,$F213,rawEnd,$G213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3" s="2">
        <f>LET(id,$A213,code,UPPER(TRIM($D213)),rawStart,$F213,rawEnd,$G213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3" s="2">
        <f>LET(id,$A213,code,UPPER(TRIM($D213)),rawStart,$F213,rawEnd,$G213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3" s="2">
        <f>LET(id,$A213,code,UPPER(TRIM($D213)),rawStart,$F213,rawEnd,$G213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3" s="2">
        <f>LET(id,$A213,code,UPPER(TRIM($D213)),rawStart,$F213,rawEnd,$G213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3" s="2">
        <f>LET(id,$A213,code,UPPER(TRIM($D213)),rawStart,$F213,rawEnd,$G213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3" s="2">
        <f>LET(id,$A213,code,UPPER(TRIM($D213)),rawStart,$F213,rawEnd,$G213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3" s="2">
        <f>LET(id,$A213,code,UPPER(TRIM($D213)),rawStart,$F213,rawEnd,$G213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3" s="2">
        <f>LET(id,$A213,code,UPPER(TRIM($D213)),rawStart,$F213,rawEnd,$G213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3" s="2">
        <f>LET(id,$A213,code,UPPER(TRIM($D213)),rawStart,$F213,rawEnd,$G213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3" s="2">
        <f>LET(id,$A213,code,UPPER(TRIM($D213)),rawStart,$F213,rawEnd,$G213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3" s="2">
        <f>LET(id,$A213,code,UPPER(TRIM($D213)),rawStart,$F213,rawEnd,$G213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3" s="2">
        <f>LET(id,$A213,code,UPPER(TRIM($D213)),rawStart,$F213,rawEnd,$G213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3" s="2">
        <f>LET(id,$A213,code,UPPER(TRIM($D213)),rawStart,$F213,rawEnd,$G213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3" s="2">
        <f>LET(id,$A213,code,UPPER(TRIM($D213)),rawStart,$F213,rawEnd,$G213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13" s="2">
        <f>Calc_Engine!BD213</f>
        <v/>
      </c>
    </row>
    <row r="214">
      <c r="A214" s="2">
        <f>Calc_Engine!A214</f>
        <v/>
      </c>
      <c r="B214" s="2">
        <f>Calc_Engine!B214</f>
        <v/>
      </c>
      <c r="C214" s="2">
        <f>Calc_Engine!C214</f>
        <v/>
      </c>
      <c r="D214" s="2">
        <f>Calc_Engine!D214</f>
        <v/>
      </c>
      <c r="E214" s="4">
        <f>Calc_Engine!E214</f>
        <v/>
      </c>
      <c r="F214" s="5">
        <f>Calc_Engine!F214</f>
        <v/>
      </c>
      <c r="G214" s="5">
        <f>Calc_Engine!G214</f>
        <v/>
      </c>
      <c r="H214" s="2">
        <f>LET(id,$A214,code,UPPER(TRIM($D214)),rawStart,$F214,rawEnd,$G214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4" s="2">
        <f>LET(id,$A214,code,UPPER(TRIM($D214)),rawStart,$F214,rawEnd,$G214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4" s="2">
        <f>LET(id,$A214,code,UPPER(TRIM($D214)),rawStart,$F214,rawEnd,$G214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4" s="2">
        <f>LET(id,$A214,code,UPPER(TRIM($D214)),rawStart,$F214,rawEnd,$G214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4" s="2">
        <f>LET(id,$A214,code,UPPER(TRIM($D214)),rawStart,$F214,rawEnd,$G214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4" s="2">
        <f>LET(id,$A214,code,UPPER(TRIM($D214)),rawStart,$F214,rawEnd,$G214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4" s="2">
        <f>LET(id,$A214,code,UPPER(TRIM($D214)),rawStart,$F214,rawEnd,$G214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4" s="2">
        <f>LET(id,$A214,code,UPPER(TRIM($D214)),rawStart,$F214,rawEnd,$G214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4" s="2">
        <f>LET(id,$A214,code,UPPER(TRIM($D214)),rawStart,$F214,rawEnd,$G214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4" s="2">
        <f>LET(id,$A214,code,UPPER(TRIM($D214)),rawStart,$F214,rawEnd,$G214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4" s="2">
        <f>LET(id,$A214,code,UPPER(TRIM($D214)),rawStart,$F214,rawEnd,$G214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4" s="2">
        <f>LET(id,$A214,code,UPPER(TRIM($D214)),rawStart,$F214,rawEnd,$G214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4" s="2">
        <f>LET(id,$A214,code,UPPER(TRIM($D214)),rawStart,$F214,rawEnd,$G214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4" s="2">
        <f>LET(id,$A214,code,UPPER(TRIM($D214)),rawStart,$F214,rawEnd,$G214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4" s="2">
        <f>LET(id,$A214,code,UPPER(TRIM($D214)),rawStart,$F214,rawEnd,$G214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4" s="2">
        <f>LET(id,$A214,code,UPPER(TRIM($D214)),rawStart,$F214,rawEnd,$G214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4" s="2">
        <f>LET(id,$A214,code,UPPER(TRIM($D214)),rawStart,$F214,rawEnd,$G214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4" s="2">
        <f>LET(id,$A214,code,UPPER(TRIM($D214)),rawStart,$F214,rawEnd,$G214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4" s="2">
        <f>LET(id,$A214,code,UPPER(TRIM($D214)),rawStart,$F214,rawEnd,$G214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4" s="2">
        <f>LET(id,$A214,code,UPPER(TRIM($D214)),rawStart,$F214,rawEnd,$G214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4" s="2">
        <f>LET(id,$A214,code,UPPER(TRIM($D214)),rawStart,$F214,rawEnd,$G214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4" s="2">
        <f>LET(id,$A214,code,UPPER(TRIM($D214)),rawStart,$F214,rawEnd,$G214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4" s="2">
        <f>LET(id,$A214,code,UPPER(TRIM($D214)),rawStart,$F214,rawEnd,$G214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4" s="2">
        <f>LET(id,$A214,code,UPPER(TRIM($D214)),rawStart,$F214,rawEnd,$G214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4" s="2">
        <f>LET(id,$A214,code,UPPER(TRIM($D214)),rawStart,$F214,rawEnd,$G214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4" s="2">
        <f>LET(id,$A214,code,UPPER(TRIM($D214)),rawStart,$F214,rawEnd,$G214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4" s="2">
        <f>LET(id,$A214,code,UPPER(TRIM($D214)),rawStart,$F214,rawEnd,$G214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4" s="2">
        <f>LET(id,$A214,code,UPPER(TRIM($D214)),rawStart,$F214,rawEnd,$G214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4" s="2">
        <f>LET(id,$A214,code,UPPER(TRIM($D214)),rawStart,$F214,rawEnd,$G214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4" s="2">
        <f>LET(id,$A214,code,UPPER(TRIM($D214)),rawStart,$F214,rawEnd,$G214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4" s="2">
        <f>LET(id,$A214,code,UPPER(TRIM($D214)),rawStart,$F214,rawEnd,$G214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4" s="2">
        <f>LET(id,$A214,code,UPPER(TRIM($D214)),rawStart,$F214,rawEnd,$G214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4" s="2">
        <f>LET(id,$A214,code,UPPER(TRIM($D214)),rawStart,$F214,rawEnd,$G214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4" s="2">
        <f>LET(id,$A214,code,UPPER(TRIM($D214)),rawStart,$F214,rawEnd,$G214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4" s="2">
        <f>LET(id,$A214,code,UPPER(TRIM($D214)),rawStart,$F214,rawEnd,$G214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4" s="2">
        <f>LET(id,$A214,code,UPPER(TRIM($D214)),rawStart,$F214,rawEnd,$G214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4" s="2">
        <f>LET(id,$A214,code,UPPER(TRIM($D214)),rawStart,$F214,rawEnd,$G214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4" s="2">
        <f>LET(id,$A214,code,UPPER(TRIM($D214)),rawStart,$F214,rawEnd,$G214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4" s="2">
        <f>LET(id,$A214,code,UPPER(TRIM($D214)),rawStart,$F214,rawEnd,$G214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4" s="2">
        <f>LET(id,$A214,code,UPPER(TRIM($D214)),rawStart,$F214,rawEnd,$G214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4" s="2">
        <f>LET(id,$A214,code,UPPER(TRIM($D214)),rawStart,$F214,rawEnd,$G214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4" s="2">
        <f>LET(id,$A214,code,UPPER(TRIM($D214)),rawStart,$F214,rawEnd,$G214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4" s="2">
        <f>LET(id,$A214,code,UPPER(TRIM($D214)),rawStart,$F214,rawEnd,$G214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4" s="2">
        <f>LET(id,$A214,code,UPPER(TRIM($D214)),rawStart,$F214,rawEnd,$G214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4" s="2">
        <f>LET(id,$A214,code,UPPER(TRIM($D214)),rawStart,$F214,rawEnd,$G214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4" s="2">
        <f>LET(id,$A214,code,UPPER(TRIM($D214)),rawStart,$F214,rawEnd,$G214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4" s="2">
        <f>LET(id,$A214,code,UPPER(TRIM($D214)),rawStart,$F214,rawEnd,$G214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4" s="2">
        <f>LET(id,$A214,code,UPPER(TRIM($D214)),rawStart,$F214,rawEnd,$G214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14" s="2">
        <f>Calc_Engine!BD214</f>
        <v/>
      </c>
    </row>
    <row r="215">
      <c r="A215" s="2">
        <f>Calc_Engine!A215</f>
        <v/>
      </c>
      <c r="B215" s="2">
        <f>Calc_Engine!B215</f>
        <v/>
      </c>
      <c r="C215" s="2">
        <f>Calc_Engine!C215</f>
        <v/>
      </c>
      <c r="D215" s="2">
        <f>Calc_Engine!D215</f>
        <v/>
      </c>
      <c r="E215" s="4">
        <f>Calc_Engine!E215</f>
        <v/>
      </c>
      <c r="F215" s="5">
        <f>Calc_Engine!F215</f>
        <v/>
      </c>
      <c r="G215" s="5">
        <f>Calc_Engine!G215</f>
        <v/>
      </c>
      <c r="H215" s="2">
        <f>LET(id,$A215,code,UPPER(TRIM($D215)),rawStart,$F215,rawEnd,$G215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5" s="2">
        <f>LET(id,$A215,code,UPPER(TRIM($D215)),rawStart,$F215,rawEnd,$G215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5" s="2">
        <f>LET(id,$A215,code,UPPER(TRIM($D215)),rawStart,$F215,rawEnd,$G215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5" s="2">
        <f>LET(id,$A215,code,UPPER(TRIM($D215)),rawStart,$F215,rawEnd,$G215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5" s="2">
        <f>LET(id,$A215,code,UPPER(TRIM($D215)),rawStart,$F215,rawEnd,$G215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5" s="2">
        <f>LET(id,$A215,code,UPPER(TRIM($D215)),rawStart,$F215,rawEnd,$G215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5" s="2">
        <f>LET(id,$A215,code,UPPER(TRIM($D215)),rawStart,$F215,rawEnd,$G215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5" s="2">
        <f>LET(id,$A215,code,UPPER(TRIM($D215)),rawStart,$F215,rawEnd,$G215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5" s="2">
        <f>LET(id,$A215,code,UPPER(TRIM($D215)),rawStart,$F215,rawEnd,$G215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5" s="2">
        <f>LET(id,$A215,code,UPPER(TRIM($D215)),rawStart,$F215,rawEnd,$G215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5" s="2">
        <f>LET(id,$A215,code,UPPER(TRIM($D215)),rawStart,$F215,rawEnd,$G215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5" s="2">
        <f>LET(id,$A215,code,UPPER(TRIM($D215)),rawStart,$F215,rawEnd,$G215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5" s="2">
        <f>LET(id,$A215,code,UPPER(TRIM($D215)),rawStart,$F215,rawEnd,$G215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5" s="2">
        <f>LET(id,$A215,code,UPPER(TRIM($D215)),rawStart,$F215,rawEnd,$G215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5" s="2">
        <f>LET(id,$A215,code,UPPER(TRIM($D215)),rawStart,$F215,rawEnd,$G215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5" s="2">
        <f>LET(id,$A215,code,UPPER(TRIM($D215)),rawStart,$F215,rawEnd,$G215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5" s="2">
        <f>LET(id,$A215,code,UPPER(TRIM($D215)),rawStart,$F215,rawEnd,$G215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5" s="2">
        <f>LET(id,$A215,code,UPPER(TRIM($D215)),rawStart,$F215,rawEnd,$G215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5" s="2">
        <f>LET(id,$A215,code,UPPER(TRIM($D215)),rawStart,$F215,rawEnd,$G215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5" s="2">
        <f>LET(id,$A215,code,UPPER(TRIM($D215)),rawStart,$F215,rawEnd,$G215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5" s="2">
        <f>LET(id,$A215,code,UPPER(TRIM($D215)),rawStart,$F215,rawEnd,$G215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5" s="2">
        <f>LET(id,$A215,code,UPPER(TRIM($D215)),rawStart,$F215,rawEnd,$G215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5" s="2">
        <f>LET(id,$A215,code,UPPER(TRIM($D215)),rawStart,$F215,rawEnd,$G215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5" s="2">
        <f>LET(id,$A215,code,UPPER(TRIM($D215)),rawStart,$F215,rawEnd,$G215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5" s="2">
        <f>LET(id,$A215,code,UPPER(TRIM($D215)),rawStart,$F215,rawEnd,$G215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5" s="2">
        <f>LET(id,$A215,code,UPPER(TRIM($D215)),rawStart,$F215,rawEnd,$G215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5" s="2">
        <f>LET(id,$A215,code,UPPER(TRIM($D215)),rawStart,$F215,rawEnd,$G215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5" s="2">
        <f>LET(id,$A215,code,UPPER(TRIM($D215)),rawStart,$F215,rawEnd,$G215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5" s="2">
        <f>LET(id,$A215,code,UPPER(TRIM($D215)),rawStart,$F215,rawEnd,$G215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5" s="2">
        <f>LET(id,$A215,code,UPPER(TRIM($D215)),rawStart,$F215,rawEnd,$G215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5" s="2">
        <f>LET(id,$A215,code,UPPER(TRIM($D215)),rawStart,$F215,rawEnd,$G215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5" s="2">
        <f>LET(id,$A215,code,UPPER(TRIM($D215)),rawStart,$F215,rawEnd,$G215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5" s="2">
        <f>LET(id,$A215,code,UPPER(TRIM($D215)),rawStart,$F215,rawEnd,$G215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5" s="2">
        <f>LET(id,$A215,code,UPPER(TRIM($D215)),rawStart,$F215,rawEnd,$G215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5" s="2">
        <f>LET(id,$A215,code,UPPER(TRIM($D215)),rawStart,$F215,rawEnd,$G215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5" s="2">
        <f>LET(id,$A215,code,UPPER(TRIM($D215)),rawStart,$F215,rawEnd,$G215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5" s="2">
        <f>LET(id,$A215,code,UPPER(TRIM($D215)),rawStart,$F215,rawEnd,$G215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5" s="2">
        <f>LET(id,$A215,code,UPPER(TRIM($D215)),rawStart,$F215,rawEnd,$G215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5" s="2">
        <f>LET(id,$A215,code,UPPER(TRIM($D215)),rawStart,$F215,rawEnd,$G215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5" s="2">
        <f>LET(id,$A215,code,UPPER(TRIM($D215)),rawStart,$F215,rawEnd,$G215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5" s="2">
        <f>LET(id,$A215,code,UPPER(TRIM($D215)),rawStart,$F215,rawEnd,$G215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5" s="2">
        <f>LET(id,$A215,code,UPPER(TRIM($D215)),rawStart,$F215,rawEnd,$G215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5" s="2">
        <f>LET(id,$A215,code,UPPER(TRIM($D215)),rawStart,$F215,rawEnd,$G215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5" s="2">
        <f>LET(id,$A215,code,UPPER(TRIM($D215)),rawStart,$F215,rawEnd,$G215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5" s="2">
        <f>LET(id,$A215,code,UPPER(TRIM($D215)),rawStart,$F215,rawEnd,$G215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5" s="2">
        <f>LET(id,$A215,code,UPPER(TRIM($D215)),rawStart,$F215,rawEnd,$G215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5" s="2">
        <f>LET(id,$A215,code,UPPER(TRIM($D215)),rawStart,$F215,rawEnd,$G215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5" s="2">
        <f>LET(id,$A215,code,UPPER(TRIM($D215)),rawStart,$F215,rawEnd,$G215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15" s="2">
        <f>Calc_Engine!BD215</f>
        <v/>
      </c>
    </row>
    <row r="216">
      <c r="A216" s="2">
        <f>Calc_Engine!A216</f>
        <v/>
      </c>
      <c r="B216" s="2">
        <f>Calc_Engine!B216</f>
        <v/>
      </c>
      <c r="C216" s="2">
        <f>Calc_Engine!C216</f>
        <v/>
      </c>
      <c r="D216" s="2">
        <f>Calc_Engine!D216</f>
        <v/>
      </c>
      <c r="E216" s="4">
        <f>Calc_Engine!E216</f>
        <v/>
      </c>
      <c r="F216" s="5">
        <f>Calc_Engine!F216</f>
        <v/>
      </c>
      <c r="G216" s="5">
        <f>Calc_Engine!G216</f>
        <v/>
      </c>
      <c r="H216" s="2">
        <f>LET(id,$A216,code,UPPER(TRIM($D216)),rawStart,$F216,rawEnd,$G216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6" s="2">
        <f>LET(id,$A216,code,UPPER(TRIM($D216)),rawStart,$F216,rawEnd,$G216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6" s="2">
        <f>LET(id,$A216,code,UPPER(TRIM($D216)),rawStart,$F216,rawEnd,$G216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6" s="2">
        <f>LET(id,$A216,code,UPPER(TRIM($D216)),rawStart,$F216,rawEnd,$G216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6" s="2">
        <f>LET(id,$A216,code,UPPER(TRIM($D216)),rawStart,$F216,rawEnd,$G216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6" s="2">
        <f>LET(id,$A216,code,UPPER(TRIM($D216)),rawStart,$F216,rawEnd,$G216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6" s="2">
        <f>LET(id,$A216,code,UPPER(TRIM($D216)),rawStart,$F216,rawEnd,$G216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6" s="2">
        <f>LET(id,$A216,code,UPPER(TRIM($D216)),rawStart,$F216,rawEnd,$G216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6" s="2">
        <f>LET(id,$A216,code,UPPER(TRIM($D216)),rawStart,$F216,rawEnd,$G216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6" s="2">
        <f>LET(id,$A216,code,UPPER(TRIM($D216)),rawStart,$F216,rawEnd,$G216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6" s="2">
        <f>LET(id,$A216,code,UPPER(TRIM($D216)),rawStart,$F216,rawEnd,$G216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6" s="2">
        <f>LET(id,$A216,code,UPPER(TRIM($D216)),rawStart,$F216,rawEnd,$G216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6" s="2">
        <f>LET(id,$A216,code,UPPER(TRIM($D216)),rawStart,$F216,rawEnd,$G216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6" s="2">
        <f>LET(id,$A216,code,UPPER(TRIM($D216)),rawStart,$F216,rawEnd,$G216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6" s="2">
        <f>LET(id,$A216,code,UPPER(TRIM($D216)),rawStart,$F216,rawEnd,$G216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6" s="2">
        <f>LET(id,$A216,code,UPPER(TRIM($D216)),rawStart,$F216,rawEnd,$G216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6" s="2">
        <f>LET(id,$A216,code,UPPER(TRIM($D216)),rawStart,$F216,rawEnd,$G216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6" s="2">
        <f>LET(id,$A216,code,UPPER(TRIM($D216)),rawStart,$F216,rawEnd,$G216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6" s="2">
        <f>LET(id,$A216,code,UPPER(TRIM($D216)),rawStart,$F216,rawEnd,$G216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6" s="2">
        <f>LET(id,$A216,code,UPPER(TRIM($D216)),rawStart,$F216,rawEnd,$G216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6" s="2">
        <f>LET(id,$A216,code,UPPER(TRIM($D216)),rawStart,$F216,rawEnd,$G216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6" s="2">
        <f>LET(id,$A216,code,UPPER(TRIM($D216)),rawStart,$F216,rawEnd,$G216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6" s="2">
        <f>LET(id,$A216,code,UPPER(TRIM($D216)),rawStart,$F216,rawEnd,$G216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6" s="2">
        <f>LET(id,$A216,code,UPPER(TRIM($D216)),rawStart,$F216,rawEnd,$G216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6" s="2">
        <f>LET(id,$A216,code,UPPER(TRIM($D216)),rawStart,$F216,rawEnd,$G216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6" s="2">
        <f>LET(id,$A216,code,UPPER(TRIM($D216)),rawStart,$F216,rawEnd,$G216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6" s="2">
        <f>LET(id,$A216,code,UPPER(TRIM($D216)),rawStart,$F216,rawEnd,$G216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6" s="2">
        <f>LET(id,$A216,code,UPPER(TRIM($D216)),rawStart,$F216,rawEnd,$G216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6" s="2">
        <f>LET(id,$A216,code,UPPER(TRIM($D216)),rawStart,$F216,rawEnd,$G216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6" s="2">
        <f>LET(id,$A216,code,UPPER(TRIM($D216)),rawStart,$F216,rawEnd,$G216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6" s="2">
        <f>LET(id,$A216,code,UPPER(TRIM($D216)),rawStart,$F216,rawEnd,$G216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6" s="2">
        <f>LET(id,$A216,code,UPPER(TRIM($D216)),rawStart,$F216,rawEnd,$G216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6" s="2">
        <f>LET(id,$A216,code,UPPER(TRIM($D216)),rawStart,$F216,rawEnd,$G216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6" s="2">
        <f>LET(id,$A216,code,UPPER(TRIM($D216)),rawStart,$F216,rawEnd,$G216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6" s="2">
        <f>LET(id,$A216,code,UPPER(TRIM($D216)),rawStart,$F216,rawEnd,$G216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6" s="2">
        <f>LET(id,$A216,code,UPPER(TRIM($D216)),rawStart,$F216,rawEnd,$G216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6" s="2">
        <f>LET(id,$A216,code,UPPER(TRIM($D216)),rawStart,$F216,rawEnd,$G216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6" s="2">
        <f>LET(id,$A216,code,UPPER(TRIM($D216)),rawStart,$F216,rawEnd,$G216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6" s="2">
        <f>LET(id,$A216,code,UPPER(TRIM($D216)),rawStart,$F216,rawEnd,$G216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6" s="2">
        <f>LET(id,$A216,code,UPPER(TRIM($D216)),rawStart,$F216,rawEnd,$G216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6" s="2">
        <f>LET(id,$A216,code,UPPER(TRIM($D216)),rawStart,$F216,rawEnd,$G216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6" s="2">
        <f>LET(id,$A216,code,UPPER(TRIM($D216)),rawStart,$F216,rawEnd,$G216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6" s="2">
        <f>LET(id,$A216,code,UPPER(TRIM($D216)),rawStart,$F216,rawEnd,$G216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6" s="2">
        <f>LET(id,$A216,code,UPPER(TRIM($D216)),rawStart,$F216,rawEnd,$G216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6" s="2">
        <f>LET(id,$A216,code,UPPER(TRIM($D216)),rawStart,$F216,rawEnd,$G216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6" s="2">
        <f>LET(id,$A216,code,UPPER(TRIM($D216)),rawStart,$F216,rawEnd,$G216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6" s="2">
        <f>LET(id,$A216,code,UPPER(TRIM($D216)),rawStart,$F216,rawEnd,$G216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6" s="2">
        <f>LET(id,$A216,code,UPPER(TRIM($D216)),rawStart,$F216,rawEnd,$G216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16" s="2">
        <f>Calc_Engine!BD216</f>
        <v/>
      </c>
    </row>
    <row r="217">
      <c r="A217" s="2">
        <f>Calc_Engine!A217</f>
        <v/>
      </c>
      <c r="B217" s="2">
        <f>Calc_Engine!B217</f>
        <v/>
      </c>
      <c r="C217" s="2">
        <f>Calc_Engine!C217</f>
        <v/>
      </c>
      <c r="D217" s="2">
        <f>Calc_Engine!D217</f>
        <v/>
      </c>
      <c r="E217" s="4">
        <f>Calc_Engine!E217</f>
        <v/>
      </c>
      <c r="F217" s="5">
        <f>Calc_Engine!F217</f>
        <v/>
      </c>
      <c r="G217" s="5">
        <f>Calc_Engine!G217</f>
        <v/>
      </c>
      <c r="H217" s="2">
        <f>LET(id,$A217,code,UPPER(TRIM($D217)),rawStart,$F217,rawEnd,$G217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7" s="2">
        <f>LET(id,$A217,code,UPPER(TRIM($D217)),rawStart,$F217,rawEnd,$G217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7" s="2">
        <f>LET(id,$A217,code,UPPER(TRIM($D217)),rawStart,$F217,rawEnd,$G217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7" s="2">
        <f>LET(id,$A217,code,UPPER(TRIM($D217)),rawStart,$F217,rawEnd,$G217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7" s="2">
        <f>LET(id,$A217,code,UPPER(TRIM($D217)),rawStart,$F217,rawEnd,$G217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7" s="2">
        <f>LET(id,$A217,code,UPPER(TRIM($D217)),rawStart,$F217,rawEnd,$G217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7" s="2">
        <f>LET(id,$A217,code,UPPER(TRIM($D217)),rawStart,$F217,rawEnd,$G217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7" s="2">
        <f>LET(id,$A217,code,UPPER(TRIM($D217)),rawStart,$F217,rawEnd,$G217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7" s="2">
        <f>LET(id,$A217,code,UPPER(TRIM($D217)),rawStart,$F217,rawEnd,$G217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7" s="2">
        <f>LET(id,$A217,code,UPPER(TRIM($D217)),rawStart,$F217,rawEnd,$G217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7" s="2">
        <f>LET(id,$A217,code,UPPER(TRIM($D217)),rawStart,$F217,rawEnd,$G217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7" s="2">
        <f>LET(id,$A217,code,UPPER(TRIM($D217)),rawStart,$F217,rawEnd,$G217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7" s="2">
        <f>LET(id,$A217,code,UPPER(TRIM($D217)),rawStart,$F217,rawEnd,$G217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7" s="2">
        <f>LET(id,$A217,code,UPPER(TRIM($D217)),rawStart,$F217,rawEnd,$G217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7" s="2">
        <f>LET(id,$A217,code,UPPER(TRIM($D217)),rawStart,$F217,rawEnd,$G217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7" s="2">
        <f>LET(id,$A217,code,UPPER(TRIM($D217)),rawStart,$F217,rawEnd,$G217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7" s="2">
        <f>LET(id,$A217,code,UPPER(TRIM($D217)),rawStart,$F217,rawEnd,$G217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7" s="2">
        <f>LET(id,$A217,code,UPPER(TRIM($D217)),rawStart,$F217,rawEnd,$G217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7" s="2">
        <f>LET(id,$A217,code,UPPER(TRIM($D217)),rawStart,$F217,rawEnd,$G217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7" s="2">
        <f>LET(id,$A217,code,UPPER(TRIM($D217)),rawStart,$F217,rawEnd,$G217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7" s="2">
        <f>LET(id,$A217,code,UPPER(TRIM($D217)),rawStart,$F217,rawEnd,$G217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7" s="2">
        <f>LET(id,$A217,code,UPPER(TRIM($D217)),rawStart,$F217,rawEnd,$G217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7" s="2">
        <f>LET(id,$A217,code,UPPER(TRIM($D217)),rawStart,$F217,rawEnd,$G217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7" s="2">
        <f>LET(id,$A217,code,UPPER(TRIM($D217)),rawStart,$F217,rawEnd,$G217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7" s="2">
        <f>LET(id,$A217,code,UPPER(TRIM($D217)),rawStart,$F217,rawEnd,$G217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7" s="2">
        <f>LET(id,$A217,code,UPPER(TRIM($D217)),rawStart,$F217,rawEnd,$G217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7" s="2">
        <f>LET(id,$A217,code,UPPER(TRIM($D217)),rawStart,$F217,rawEnd,$G217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7" s="2">
        <f>LET(id,$A217,code,UPPER(TRIM($D217)),rawStart,$F217,rawEnd,$G217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7" s="2">
        <f>LET(id,$A217,code,UPPER(TRIM($D217)),rawStart,$F217,rawEnd,$G217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7" s="2">
        <f>LET(id,$A217,code,UPPER(TRIM($D217)),rawStart,$F217,rawEnd,$G217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7" s="2">
        <f>LET(id,$A217,code,UPPER(TRIM($D217)),rawStart,$F217,rawEnd,$G217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7" s="2">
        <f>LET(id,$A217,code,UPPER(TRIM($D217)),rawStart,$F217,rawEnd,$G217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7" s="2">
        <f>LET(id,$A217,code,UPPER(TRIM($D217)),rawStart,$F217,rawEnd,$G217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7" s="2">
        <f>LET(id,$A217,code,UPPER(TRIM($D217)),rawStart,$F217,rawEnd,$G217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7" s="2">
        <f>LET(id,$A217,code,UPPER(TRIM($D217)),rawStart,$F217,rawEnd,$G217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7" s="2">
        <f>LET(id,$A217,code,UPPER(TRIM($D217)),rawStart,$F217,rawEnd,$G217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7" s="2">
        <f>LET(id,$A217,code,UPPER(TRIM($D217)),rawStart,$F217,rawEnd,$G217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7" s="2">
        <f>LET(id,$A217,code,UPPER(TRIM($D217)),rawStart,$F217,rawEnd,$G217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7" s="2">
        <f>LET(id,$A217,code,UPPER(TRIM($D217)),rawStart,$F217,rawEnd,$G217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7" s="2">
        <f>LET(id,$A217,code,UPPER(TRIM($D217)),rawStart,$F217,rawEnd,$G217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7" s="2">
        <f>LET(id,$A217,code,UPPER(TRIM($D217)),rawStart,$F217,rawEnd,$G217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7" s="2">
        <f>LET(id,$A217,code,UPPER(TRIM($D217)),rawStart,$F217,rawEnd,$G217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7" s="2">
        <f>LET(id,$A217,code,UPPER(TRIM($D217)),rawStart,$F217,rawEnd,$G217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7" s="2">
        <f>LET(id,$A217,code,UPPER(TRIM($D217)),rawStart,$F217,rawEnd,$G217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7" s="2">
        <f>LET(id,$A217,code,UPPER(TRIM($D217)),rawStart,$F217,rawEnd,$G217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7" s="2">
        <f>LET(id,$A217,code,UPPER(TRIM($D217)),rawStart,$F217,rawEnd,$G217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7" s="2">
        <f>LET(id,$A217,code,UPPER(TRIM($D217)),rawStart,$F217,rawEnd,$G217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7" s="2">
        <f>LET(id,$A217,code,UPPER(TRIM($D217)),rawStart,$F217,rawEnd,$G217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17" s="2">
        <f>Calc_Engine!BD217</f>
        <v/>
      </c>
    </row>
    <row r="218">
      <c r="A218" s="2">
        <f>Calc_Engine!A218</f>
        <v/>
      </c>
      <c r="B218" s="2">
        <f>Calc_Engine!B218</f>
        <v/>
      </c>
      <c r="C218" s="2">
        <f>Calc_Engine!C218</f>
        <v/>
      </c>
      <c r="D218" s="2">
        <f>Calc_Engine!D218</f>
        <v/>
      </c>
      <c r="E218" s="4">
        <f>Calc_Engine!E218</f>
        <v/>
      </c>
      <c r="F218" s="5">
        <f>Calc_Engine!F218</f>
        <v/>
      </c>
      <c r="G218" s="5">
        <f>Calc_Engine!G218</f>
        <v/>
      </c>
      <c r="H218" s="2">
        <f>LET(id,$A218,code,UPPER(TRIM($D218)),rawStart,$F218,rawEnd,$G218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8" s="2">
        <f>LET(id,$A218,code,UPPER(TRIM($D218)),rawStart,$F218,rawEnd,$G218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8" s="2">
        <f>LET(id,$A218,code,UPPER(TRIM($D218)),rawStart,$F218,rawEnd,$G218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8" s="2">
        <f>LET(id,$A218,code,UPPER(TRIM($D218)),rawStart,$F218,rawEnd,$G218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8" s="2">
        <f>LET(id,$A218,code,UPPER(TRIM($D218)),rawStart,$F218,rawEnd,$G218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8" s="2">
        <f>LET(id,$A218,code,UPPER(TRIM($D218)),rawStart,$F218,rawEnd,$G218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8" s="2">
        <f>LET(id,$A218,code,UPPER(TRIM($D218)),rawStart,$F218,rawEnd,$G218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8" s="2">
        <f>LET(id,$A218,code,UPPER(TRIM($D218)),rawStart,$F218,rawEnd,$G218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8" s="2">
        <f>LET(id,$A218,code,UPPER(TRIM($D218)),rawStart,$F218,rawEnd,$G218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8" s="2">
        <f>LET(id,$A218,code,UPPER(TRIM($D218)),rawStart,$F218,rawEnd,$G218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8" s="2">
        <f>LET(id,$A218,code,UPPER(TRIM($D218)),rawStart,$F218,rawEnd,$G218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8" s="2">
        <f>LET(id,$A218,code,UPPER(TRIM($D218)),rawStart,$F218,rawEnd,$G218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8" s="2">
        <f>LET(id,$A218,code,UPPER(TRIM($D218)),rawStart,$F218,rawEnd,$G218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8" s="2">
        <f>LET(id,$A218,code,UPPER(TRIM($D218)),rawStart,$F218,rawEnd,$G218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8" s="2">
        <f>LET(id,$A218,code,UPPER(TRIM($D218)),rawStart,$F218,rawEnd,$G218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8" s="2">
        <f>LET(id,$A218,code,UPPER(TRIM($D218)),rawStart,$F218,rawEnd,$G218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8" s="2">
        <f>LET(id,$A218,code,UPPER(TRIM($D218)),rawStart,$F218,rawEnd,$G218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8" s="2">
        <f>LET(id,$A218,code,UPPER(TRIM($D218)),rawStart,$F218,rawEnd,$G218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8" s="2">
        <f>LET(id,$A218,code,UPPER(TRIM($D218)),rawStart,$F218,rawEnd,$G218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8" s="2">
        <f>LET(id,$A218,code,UPPER(TRIM($D218)),rawStart,$F218,rawEnd,$G218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8" s="2">
        <f>LET(id,$A218,code,UPPER(TRIM($D218)),rawStart,$F218,rawEnd,$G218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8" s="2">
        <f>LET(id,$A218,code,UPPER(TRIM($D218)),rawStart,$F218,rawEnd,$G218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8" s="2">
        <f>LET(id,$A218,code,UPPER(TRIM($D218)),rawStart,$F218,rawEnd,$G218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8" s="2">
        <f>LET(id,$A218,code,UPPER(TRIM($D218)),rawStart,$F218,rawEnd,$G218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8" s="2">
        <f>LET(id,$A218,code,UPPER(TRIM($D218)),rawStart,$F218,rawEnd,$G218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8" s="2">
        <f>LET(id,$A218,code,UPPER(TRIM($D218)),rawStart,$F218,rawEnd,$G218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8" s="2">
        <f>LET(id,$A218,code,UPPER(TRIM($D218)),rawStart,$F218,rawEnd,$G218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8" s="2">
        <f>LET(id,$A218,code,UPPER(TRIM($D218)),rawStart,$F218,rawEnd,$G218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8" s="2">
        <f>LET(id,$A218,code,UPPER(TRIM($D218)),rawStart,$F218,rawEnd,$G218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8" s="2">
        <f>LET(id,$A218,code,UPPER(TRIM($D218)),rawStart,$F218,rawEnd,$G218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8" s="2">
        <f>LET(id,$A218,code,UPPER(TRIM($D218)),rawStart,$F218,rawEnd,$G218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8" s="2">
        <f>LET(id,$A218,code,UPPER(TRIM($D218)),rawStart,$F218,rawEnd,$G218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8" s="2">
        <f>LET(id,$A218,code,UPPER(TRIM($D218)),rawStart,$F218,rawEnd,$G218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8" s="2">
        <f>LET(id,$A218,code,UPPER(TRIM($D218)),rawStart,$F218,rawEnd,$G218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8" s="2">
        <f>LET(id,$A218,code,UPPER(TRIM($D218)),rawStart,$F218,rawEnd,$G218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8" s="2">
        <f>LET(id,$A218,code,UPPER(TRIM($D218)),rawStart,$F218,rawEnd,$G218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8" s="2">
        <f>LET(id,$A218,code,UPPER(TRIM($D218)),rawStart,$F218,rawEnd,$G218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8" s="2">
        <f>LET(id,$A218,code,UPPER(TRIM($D218)),rawStart,$F218,rawEnd,$G218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8" s="2">
        <f>LET(id,$A218,code,UPPER(TRIM($D218)),rawStart,$F218,rawEnd,$G218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8" s="2">
        <f>LET(id,$A218,code,UPPER(TRIM($D218)),rawStart,$F218,rawEnd,$G218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8" s="2">
        <f>LET(id,$A218,code,UPPER(TRIM($D218)),rawStart,$F218,rawEnd,$G218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8" s="2">
        <f>LET(id,$A218,code,UPPER(TRIM($D218)),rawStart,$F218,rawEnd,$G218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8" s="2">
        <f>LET(id,$A218,code,UPPER(TRIM($D218)),rawStart,$F218,rawEnd,$G218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8" s="2">
        <f>LET(id,$A218,code,UPPER(TRIM($D218)),rawStart,$F218,rawEnd,$G218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8" s="2">
        <f>LET(id,$A218,code,UPPER(TRIM($D218)),rawStart,$F218,rawEnd,$G218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8" s="2">
        <f>LET(id,$A218,code,UPPER(TRIM($D218)),rawStart,$F218,rawEnd,$G218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8" s="2">
        <f>LET(id,$A218,code,UPPER(TRIM($D218)),rawStart,$F218,rawEnd,$G218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8" s="2">
        <f>LET(id,$A218,code,UPPER(TRIM($D218)),rawStart,$F218,rawEnd,$G218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18" s="2">
        <f>Calc_Engine!BD218</f>
        <v/>
      </c>
    </row>
    <row r="219">
      <c r="A219" s="2">
        <f>Calc_Engine!A219</f>
        <v/>
      </c>
      <c r="B219" s="2">
        <f>Calc_Engine!B219</f>
        <v/>
      </c>
      <c r="C219" s="2">
        <f>Calc_Engine!C219</f>
        <v/>
      </c>
      <c r="D219" s="2">
        <f>Calc_Engine!D219</f>
        <v/>
      </c>
      <c r="E219" s="4">
        <f>Calc_Engine!E219</f>
        <v/>
      </c>
      <c r="F219" s="5">
        <f>Calc_Engine!F219</f>
        <v/>
      </c>
      <c r="G219" s="5">
        <f>Calc_Engine!G219</f>
        <v/>
      </c>
      <c r="H219" s="2">
        <f>LET(id,$A219,code,UPPER(TRIM($D219)),rawStart,$F219,rawEnd,$G219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9" s="2">
        <f>LET(id,$A219,code,UPPER(TRIM($D219)),rawStart,$F219,rawEnd,$G219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9" s="2">
        <f>LET(id,$A219,code,UPPER(TRIM($D219)),rawStart,$F219,rawEnd,$G219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9" s="2">
        <f>LET(id,$A219,code,UPPER(TRIM($D219)),rawStart,$F219,rawEnd,$G219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9" s="2">
        <f>LET(id,$A219,code,UPPER(TRIM($D219)),rawStart,$F219,rawEnd,$G219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9" s="2">
        <f>LET(id,$A219,code,UPPER(TRIM($D219)),rawStart,$F219,rawEnd,$G219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9" s="2">
        <f>LET(id,$A219,code,UPPER(TRIM($D219)),rawStart,$F219,rawEnd,$G219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9" s="2">
        <f>LET(id,$A219,code,UPPER(TRIM($D219)),rawStart,$F219,rawEnd,$G219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9" s="2">
        <f>LET(id,$A219,code,UPPER(TRIM($D219)),rawStart,$F219,rawEnd,$G219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9" s="2">
        <f>LET(id,$A219,code,UPPER(TRIM($D219)),rawStart,$F219,rawEnd,$G219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9" s="2">
        <f>LET(id,$A219,code,UPPER(TRIM($D219)),rawStart,$F219,rawEnd,$G219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9" s="2">
        <f>LET(id,$A219,code,UPPER(TRIM($D219)),rawStart,$F219,rawEnd,$G219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9" s="2">
        <f>LET(id,$A219,code,UPPER(TRIM($D219)),rawStart,$F219,rawEnd,$G219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9" s="2">
        <f>LET(id,$A219,code,UPPER(TRIM($D219)),rawStart,$F219,rawEnd,$G219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9" s="2">
        <f>LET(id,$A219,code,UPPER(TRIM($D219)),rawStart,$F219,rawEnd,$G219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9" s="2">
        <f>LET(id,$A219,code,UPPER(TRIM($D219)),rawStart,$F219,rawEnd,$G219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9" s="2">
        <f>LET(id,$A219,code,UPPER(TRIM($D219)),rawStart,$F219,rawEnd,$G219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9" s="2">
        <f>LET(id,$A219,code,UPPER(TRIM($D219)),rawStart,$F219,rawEnd,$G219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9" s="2">
        <f>LET(id,$A219,code,UPPER(TRIM($D219)),rawStart,$F219,rawEnd,$G219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9" s="2">
        <f>LET(id,$A219,code,UPPER(TRIM($D219)),rawStart,$F219,rawEnd,$G219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9" s="2">
        <f>LET(id,$A219,code,UPPER(TRIM($D219)),rawStart,$F219,rawEnd,$G219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9" s="2">
        <f>LET(id,$A219,code,UPPER(TRIM($D219)),rawStart,$F219,rawEnd,$G219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9" s="2">
        <f>LET(id,$A219,code,UPPER(TRIM($D219)),rawStart,$F219,rawEnd,$G219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9" s="2">
        <f>LET(id,$A219,code,UPPER(TRIM($D219)),rawStart,$F219,rawEnd,$G219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9" s="2">
        <f>LET(id,$A219,code,UPPER(TRIM($D219)),rawStart,$F219,rawEnd,$G219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9" s="2">
        <f>LET(id,$A219,code,UPPER(TRIM($D219)),rawStart,$F219,rawEnd,$G219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9" s="2">
        <f>LET(id,$A219,code,UPPER(TRIM($D219)),rawStart,$F219,rawEnd,$G219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9" s="2">
        <f>LET(id,$A219,code,UPPER(TRIM($D219)),rawStart,$F219,rawEnd,$G219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9" s="2">
        <f>LET(id,$A219,code,UPPER(TRIM($D219)),rawStart,$F219,rawEnd,$G219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9" s="2">
        <f>LET(id,$A219,code,UPPER(TRIM($D219)),rawStart,$F219,rawEnd,$G219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9" s="2">
        <f>LET(id,$A219,code,UPPER(TRIM($D219)),rawStart,$F219,rawEnd,$G219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9" s="2">
        <f>LET(id,$A219,code,UPPER(TRIM($D219)),rawStart,$F219,rawEnd,$G219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9" s="2">
        <f>LET(id,$A219,code,UPPER(TRIM($D219)),rawStart,$F219,rawEnd,$G219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9" s="2">
        <f>LET(id,$A219,code,UPPER(TRIM($D219)),rawStart,$F219,rawEnd,$G219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9" s="2">
        <f>LET(id,$A219,code,UPPER(TRIM($D219)),rawStart,$F219,rawEnd,$G219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9" s="2">
        <f>LET(id,$A219,code,UPPER(TRIM($D219)),rawStart,$F219,rawEnd,$G219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9" s="2">
        <f>LET(id,$A219,code,UPPER(TRIM($D219)),rawStart,$F219,rawEnd,$G219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9" s="2">
        <f>LET(id,$A219,code,UPPER(TRIM($D219)),rawStart,$F219,rawEnd,$G219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9" s="2">
        <f>LET(id,$A219,code,UPPER(TRIM($D219)),rawStart,$F219,rawEnd,$G219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9" s="2">
        <f>LET(id,$A219,code,UPPER(TRIM($D219)),rawStart,$F219,rawEnd,$G219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9" s="2">
        <f>LET(id,$A219,code,UPPER(TRIM($D219)),rawStart,$F219,rawEnd,$G219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9" s="2">
        <f>LET(id,$A219,code,UPPER(TRIM($D219)),rawStart,$F219,rawEnd,$G219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9" s="2">
        <f>LET(id,$A219,code,UPPER(TRIM($D219)),rawStart,$F219,rawEnd,$G219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9" s="2">
        <f>LET(id,$A219,code,UPPER(TRIM($D219)),rawStart,$F219,rawEnd,$G219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9" s="2">
        <f>LET(id,$A219,code,UPPER(TRIM($D219)),rawStart,$F219,rawEnd,$G219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9" s="2">
        <f>LET(id,$A219,code,UPPER(TRIM($D219)),rawStart,$F219,rawEnd,$G219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9" s="2">
        <f>LET(id,$A219,code,UPPER(TRIM($D219)),rawStart,$F219,rawEnd,$G219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9" s="2">
        <f>LET(id,$A219,code,UPPER(TRIM($D219)),rawStart,$F219,rawEnd,$G219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19" s="2">
        <f>Calc_Engine!BD219</f>
        <v/>
      </c>
    </row>
    <row r="220">
      <c r="A220" s="2">
        <f>Calc_Engine!A220</f>
        <v/>
      </c>
      <c r="B220" s="2">
        <f>Calc_Engine!B220</f>
        <v/>
      </c>
      <c r="C220" s="2">
        <f>Calc_Engine!C220</f>
        <v/>
      </c>
      <c r="D220" s="2">
        <f>Calc_Engine!D220</f>
        <v/>
      </c>
      <c r="E220" s="4">
        <f>Calc_Engine!E220</f>
        <v/>
      </c>
      <c r="F220" s="5">
        <f>Calc_Engine!F220</f>
        <v/>
      </c>
      <c r="G220" s="5">
        <f>Calc_Engine!G220</f>
        <v/>
      </c>
      <c r="H220" s="2">
        <f>LET(id,$A220,code,UPPER(TRIM($D220)),rawStart,$F220,rawEnd,$G220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0" s="2">
        <f>LET(id,$A220,code,UPPER(TRIM($D220)),rawStart,$F220,rawEnd,$G220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0" s="2">
        <f>LET(id,$A220,code,UPPER(TRIM($D220)),rawStart,$F220,rawEnd,$G220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0" s="2">
        <f>LET(id,$A220,code,UPPER(TRIM($D220)),rawStart,$F220,rawEnd,$G220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0" s="2">
        <f>LET(id,$A220,code,UPPER(TRIM($D220)),rawStart,$F220,rawEnd,$G220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0" s="2">
        <f>LET(id,$A220,code,UPPER(TRIM($D220)),rawStart,$F220,rawEnd,$G220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0" s="2">
        <f>LET(id,$A220,code,UPPER(TRIM($D220)),rawStart,$F220,rawEnd,$G220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0" s="2">
        <f>LET(id,$A220,code,UPPER(TRIM($D220)),rawStart,$F220,rawEnd,$G220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0" s="2">
        <f>LET(id,$A220,code,UPPER(TRIM($D220)),rawStart,$F220,rawEnd,$G220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0" s="2">
        <f>LET(id,$A220,code,UPPER(TRIM($D220)),rawStart,$F220,rawEnd,$G220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0" s="2">
        <f>LET(id,$A220,code,UPPER(TRIM($D220)),rawStart,$F220,rawEnd,$G220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0" s="2">
        <f>LET(id,$A220,code,UPPER(TRIM($D220)),rawStart,$F220,rawEnd,$G220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0" s="2">
        <f>LET(id,$A220,code,UPPER(TRIM($D220)),rawStart,$F220,rawEnd,$G220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0" s="2">
        <f>LET(id,$A220,code,UPPER(TRIM($D220)),rawStart,$F220,rawEnd,$G220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0" s="2">
        <f>LET(id,$A220,code,UPPER(TRIM($D220)),rawStart,$F220,rawEnd,$G220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0" s="2">
        <f>LET(id,$A220,code,UPPER(TRIM($D220)),rawStart,$F220,rawEnd,$G220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0" s="2">
        <f>LET(id,$A220,code,UPPER(TRIM($D220)),rawStart,$F220,rawEnd,$G220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0" s="2">
        <f>LET(id,$A220,code,UPPER(TRIM($D220)),rawStart,$F220,rawEnd,$G220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0" s="2">
        <f>LET(id,$A220,code,UPPER(TRIM($D220)),rawStart,$F220,rawEnd,$G220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0" s="2">
        <f>LET(id,$A220,code,UPPER(TRIM($D220)),rawStart,$F220,rawEnd,$G220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0" s="2">
        <f>LET(id,$A220,code,UPPER(TRIM($D220)),rawStart,$F220,rawEnd,$G220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0" s="2">
        <f>LET(id,$A220,code,UPPER(TRIM($D220)),rawStart,$F220,rawEnd,$G220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0" s="2">
        <f>LET(id,$A220,code,UPPER(TRIM($D220)),rawStart,$F220,rawEnd,$G220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0" s="2">
        <f>LET(id,$A220,code,UPPER(TRIM($D220)),rawStart,$F220,rawEnd,$G220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0" s="2">
        <f>LET(id,$A220,code,UPPER(TRIM($D220)),rawStart,$F220,rawEnd,$G220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0" s="2">
        <f>LET(id,$A220,code,UPPER(TRIM($D220)),rawStart,$F220,rawEnd,$G220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0" s="2">
        <f>LET(id,$A220,code,UPPER(TRIM($D220)),rawStart,$F220,rawEnd,$G220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0" s="2">
        <f>LET(id,$A220,code,UPPER(TRIM($D220)),rawStart,$F220,rawEnd,$G220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0" s="2">
        <f>LET(id,$A220,code,UPPER(TRIM($D220)),rawStart,$F220,rawEnd,$G220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0" s="2">
        <f>LET(id,$A220,code,UPPER(TRIM($D220)),rawStart,$F220,rawEnd,$G220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0" s="2">
        <f>LET(id,$A220,code,UPPER(TRIM($D220)),rawStart,$F220,rawEnd,$G220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0" s="2">
        <f>LET(id,$A220,code,UPPER(TRIM($D220)),rawStart,$F220,rawEnd,$G220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0" s="2">
        <f>LET(id,$A220,code,UPPER(TRIM($D220)),rawStart,$F220,rawEnd,$G220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0" s="2">
        <f>LET(id,$A220,code,UPPER(TRIM($D220)),rawStart,$F220,rawEnd,$G220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0" s="2">
        <f>LET(id,$A220,code,UPPER(TRIM($D220)),rawStart,$F220,rawEnd,$G220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0" s="2">
        <f>LET(id,$A220,code,UPPER(TRIM($D220)),rawStart,$F220,rawEnd,$G220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0" s="2">
        <f>LET(id,$A220,code,UPPER(TRIM($D220)),rawStart,$F220,rawEnd,$G220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0" s="2">
        <f>LET(id,$A220,code,UPPER(TRIM($D220)),rawStart,$F220,rawEnd,$G220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0" s="2">
        <f>LET(id,$A220,code,UPPER(TRIM($D220)),rawStart,$F220,rawEnd,$G220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0" s="2">
        <f>LET(id,$A220,code,UPPER(TRIM($D220)),rawStart,$F220,rawEnd,$G220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0" s="2">
        <f>LET(id,$A220,code,UPPER(TRIM($D220)),rawStart,$F220,rawEnd,$G220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0" s="2">
        <f>LET(id,$A220,code,UPPER(TRIM($D220)),rawStart,$F220,rawEnd,$G220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0" s="2">
        <f>LET(id,$A220,code,UPPER(TRIM($D220)),rawStart,$F220,rawEnd,$G220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0" s="2">
        <f>LET(id,$A220,code,UPPER(TRIM($D220)),rawStart,$F220,rawEnd,$G220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0" s="2">
        <f>LET(id,$A220,code,UPPER(TRIM($D220)),rawStart,$F220,rawEnd,$G220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0" s="2">
        <f>LET(id,$A220,code,UPPER(TRIM($D220)),rawStart,$F220,rawEnd,$G220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0" s="2">
        <f>LET(id,$A220,code,UPPER(TRIM($D220)),rawStart,$F220,rawEnd,$G220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0" s="2">
        <f>LET(id,$A220,code,UPPER(TRIM($D220)),rawStart,$F220,rawEnd,$G220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20" s="2">
        <f>Calc_Engine!BD220</f>
        <v/>
      </c>
    </row>
    <row r="221">
      <c r="A221" s="2">
        <f>Calc_Engine!A221</f>
        <v/>
      </c>
      <c r="B221" s="2">
        <f>Calc_Engine!B221</f>
        <v/>
      </c>
      <c r="C221" s="2">
        <f>Calc_Engine!C221</f>
        <v/>
      </c>
      <c r="D221" s="2">
        <f>Calc_Engine!D221</f>
        <v/>
      </c>
      <c r="E221" s="4">
        <f>Calc_Engine!E221</f>
        <v/>
      </c>
      <c r="F221" s="5">
        <f>Calc_Engine!F221</f>
        <v/>
      </c>
      <c r="G221" s="5">
        <f>Calc_Engine!G221</f>
        <v/>
      </c>
      <c r="H221" s="2">
        <f>LET(id,$A221,code,UPPER(TRIM($D221)),rawStart,$F221,rawEnd,$G221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1" s="2">
        <f>LET(id,$A221,code,UPPER(TRIM($D221)),rawStart,$F221,rawEnd,$G221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1" s="2">
        <f>LET(id,$A221,code,UPPER(TRIM($D221)),rawStart,$F221,rawEnd,$G221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1" s="2">
        <f>LET(id,$A221,code,UPPER(TRIM($D221)),rawStart,$F221,rawEnd,$G221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1" s="2">
        <f>LET(id,$A221,code,UPPER(TRIM($D221)),rawStart,$F221,rawEnd,$G221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1" s="2">
        <f>LET(id,$A221,code,UPPER(TRIM($D221)),rawStart,$F221,rawEnd,$G221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1" s="2">
        <f>LET(id,$A221,code,UPPER(TRIM($D221)),rawStart,$F221,rawEnd,$G221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1" s="2">
        <f>LET(id,$A221,code,UPPER(TRIM($D221)),rawStart,$F221,rawEnd,$G221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1" s="2">
        <f>LET(id,$A221,code,UPPER(TRIM($D221)),rawStart,$F221,rawEnd,$G221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1" s="2">
        <f>LET(id,$A221,code,UPPER(TRIM($D221)),rawStart,$F221,rawEnd,$G221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1" s="2">
        <f>LET(id,$A221,code,UPPER(TRIM($D221)),rawStart,$F221,rawEnd,$G221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1" s="2">
        <f>LET(id,$A221,code,UPPER(TRIM($D221)),rawStart,$F221,rawEnd,$G221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1" s="2">
        <f>LET(id,$A221,code,UPPER(TRIM($D221)),rawStart,$F221,rawEnd,$G221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1" s="2">
        <f>LET(id,$A221,code,UPPER(TRIM($D221)),rawStart,$F221,rawEnd,$G221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1" s="2">
        <f>LET(id,$A221,code,UPPER(TRIM($D221)),rawStart,$F221,rawEnd,$G221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1" s="2">
        <f>LET(id,$A221,code,UPPER(TRIM($D221)),rawStart,$F221,rawEnd,$G221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1" s="2">
        <f>LET(id,$A221,code,UPPER(TRIM($D221)),rawStart,$F221,rawEnd,$G221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1" s="2">
        <f>LET(id,$A221,code,UPPER(TRIM($D221)),rawStart,$F221,rawEnd,$G221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1" s="2">
        <f>LET(id,$A221,code,UPPER(TRIM($D221)),rawStart,$F221,rawEnd,$G221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1" s="2">
        <f>LET(id,$A221,code,UPPER(TRIM($D221)),rawStart,$F221,rawEnd,$G221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1" s="2">
        <f>LET(id,$A221,code,UPPER(TRIM($D221)),rawStart,$F221,rawEnd,$G221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1" s="2">
        <f>LET(id,$A221,code,UPPER(TRIM($D221)),rawStart,$F221,rawEnd,$G221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1" s="2">
        <f>LET(id,$A221,code,UPPER(TRIM($D221)),rawStart,$F221,rawEnd,$G221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1" s="2">
        <f>LET(id,$A221,code,UPPER(TRIM($D221)),rawStart,$F221,rawEnd,$G221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1" s="2">
        <f>LET(id,$A221,code,UPPER(TRIM($D221)),rawStart,$F221,rawEnd,$G221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1" s="2">
        <f>LET(id,$A221,code,UPPER(TRIM($D221)),rawStart,$F221,rawEnd,$G221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1" s="2">
        <f>LET(id,$A221,code,UPPER(TRIM($D221)),rawStart,$F221,rawEnd,$G221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1" s="2">
        <f>LET(id,$A221,code,UPPER(TRIM($D221)),rawStart,$F221,rawEnd,$G221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1" s="2">
        <f>LET(id,$A221,code,UPPER(TRIM($D221)),rawStart,$F221,rawEnd,$G221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1" s="2">
        <f>LET(id,$A221,code,UPPER(TRIM($D221)),rawStart,$F221,rawEnd,$G221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1" s="2">
        <f>LET(id,$A221,code,UPPER(TRIM($D221)),rawStart,$F221,rawEnd,$G221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1" s="2">
        <f>LET(id,$A221,code,UPPER(TRIM($D221)),rawStart,$F221,rawEnd,$G221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1" s="2">
        <f>LET(id,$A221,code,UPPER(TRIM($D221)),rawStart,$F221,rawEnd,$G221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1" s="2">
        <f>LET(id,$A221,code,UPPER(TRIM($D221)),rawStart,$F221,rawEnd,$G221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1" s="2">
        <f>LET(id,$A221,code,UPPER(TRIM($D221)),rawStart,$F221,rawEnd,$G221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1" s="2">
        <f>LET(id,$A221,code,UPPER(TRIM($D221)),rawStart,$F221,rawEnd,$G221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1" s="2">
        <f>LET(id,$A221,code,UPPER(TRIM($D221)),rawStart,$F221,rawEnd,$G221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1" s="2">
        <f>LET(id,$A221,code,UPPER(TRIM($D221)),rawStart,$F221,rawEnd,$G221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1" s="2">
        <f>LET(id,$A221,code,UPPER(TRIM($D221)),rawStart,$F221,rawEnd,$G221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1" s="2">
        <f>LET(id,$A221,code,UPPER(TRIM($D221)),rawStart,$F221,rawEnd,$G221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1" s="2">
        <f>LET(id,$A221,code,UPPER(TRIM($D221)),rawStart,$F221,rawEnd,$G221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1" s="2">
        <f>LET(id,$A221,code,UPPER(TRIM($D221)),rawStart,$F221,rawEnd,$G221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1" s="2">
        <f>LET(id,$A221,code,UPPER(TRIM($D221)),rawStart,$F221,rawEnd,$G221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1" s="2">
        <f>LET(id,$A221,code,UPPER(TRIM($D221)),rawStart,$F221,rawEnd,$G221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1" s="2">
        <f>LET(id,$A221,code,UPPER(TRIM($D221)),rawStart,$F221,rawEnd,$G221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1" s="2">
        <f>LET(id,$A221,code,UPPER(TRIM($D221)),rawStart,$F221,rawEnd,$G221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1" s="2">
        <f>LET(id,$A221,code,UPPER(TRIM($D221)),rawStart,$F221,rawEnd,$G221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1" s="2">
        <f>LET(id,$A221,code,UPPER(TRIM($D221)),rawStart,$F221,rawEnd,$G221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21" s="2">
        <f>Calc_Engine!BD221</f>
        <v/>
      </c>
    </row>
    <row r="222">
      <c r="A222" s="2">
        <f>Calc_Engine!A222</f>
        <v/>
      </c>
      <c r="B222" s="2">
        <f>Calc_Engine!B222</f>
        <v/>
      </c>
      <c r="C222" s="2">
        <f>Calc_Engine!C222</f>
        <v/>
      </c>
      <c r="D222" s="2">
        <f>Calc_Engine!D222</f>
        <v/>
      </c>
      <c r="E222" s="4">
        <f>Calc_Engine!E222</f>
        <v/>
      </c>
      <c r="F222" s="5">
        <f>Calc_Engine!F222</f>
        <v/>
      </c>
      <c r="G222" s="5">
        <f>Calc_Engine!G222</f>
        <v/>
      </c>
      <c r="H222" s="2">
        <f>LET(id,$A222,code,UPPER(TRIM($D222)),rawStart,$F222,rawEnd,$G222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2" s="2">
        <f>LET(id,$A222,code,UPPER(TRIM($D222)),rawStart,$F222,rawEnd,$G222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2" s="2">
        <f>LET(id,$A222,code,UPPER(TRIM($D222)),rawStart,$F222,rawEnd,$G222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2" s="2">
        <f>LET(id,$A222,code,UPPER(TRIM($D222)),rawStart,$F222,rawEnd,$G222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2" s="2">
        <f>LET(id,$A222,code,UPPER(TRIM($D222)),rawStart,$F222,rawEnd,$G222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2" s="2">
        <f>LET(id,$A222,code,UPPER(TRIM($D222)),rawStart,$F222,rawEnd,$G222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2" s="2">
        <f>LET(id,$A222,code,UPPER(TRIM($D222)),rawStart,$F222,rawEnd,$G222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2" s="2">
        <f>LET(id,$A222,code,UPPER(TRIM($D222)),rawStart,$F222,rawEnd,$G222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2" s="2">
        <f>LET(id,$A222,code,UPPER(TRIM($D222)),rawStart,$F222,rawEnd,$G222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2" s="2">
        <f>LET(id,$A222,code,UPPER(TRIM($D222)),rawStart,$F222,rawEnd,$G222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2" s="2">
        <f>LET(id,$A222,code,UPPER(TRIM($D222)),rawStart,$F222,rawEnd,$G222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2" s="2">
        <f>LET(id,$A222,code,UPPER(TRIM($D222)),rawStart,$F222,rawEnd,$G222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2" s="2">
        <f>LET(id,$A222,code,UPPER(TRIM($D222)),rawStart,$F222,rawEnd,$G222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2" s="2">
        <f>LET(id,$A222,code,UPPER(TRIM($D222)),rawStart,$F222,rawEnd,$G222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2" s="2">
        <f>LET(id,$A222,code,UPPER(TRIM($D222)),rawStart,$F222,rawEnd,$G222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2" s="2">
        <f>LET(id,$A222,code,UPPER(TRIM($D222)),rawStart,$F222,rawEnd,$G222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2" s="2">
        <f>LET(id,$A222,code,UPPER(TRIM($D222)),rawStart,$F222,rawEnd,$G222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2" s="2">
        <f>LET(id,$A222,code,UPPER(TRIM($D222)),rawStart,$F222,rawEnd,$G222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2" s="2">
        <f>LET(id,$A222,code,UPPER(TRIM($D222)),rawStart,$F222,rawEnd,$G222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2" s="2">
        <f>LET(id,$A222,code,UPPER(TRIM($D222)),rawStart,$F222,rawEnd,$G222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2" s="2">
        <f>LET(id,$A222,code,UPPER(TRIM($D222)),rawStart,$F222,rawEnd,$G222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2" s="2">
        <f>LET(id,$A222,code,UPPER(TRIM($D222)),rawStart,$F222,rawEnd,$G222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2" s="2">
        <f>LET(id,$A222,code,UPPER(TRIM($D222)),rawStart,$F222,rawEnd,$G222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2" s="2">
        <f>LET(id,$A222,code,UPPER(TRIM($D222)),rawStart,$F222,rawEnd,$G222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2" s="2">
        <f>LET(id,$A222,code,UPPER(TRIM($D222)),rawStart,$F222,rawEnd,$G222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2" s="2">
        <f>LET(id,$A222,code,UPPER(TRIM($D222)),rawStart,$F222,rawEnd,$G222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2" s="2">
        <f>LET(id,$A222,code,UPPER(TRIM($D222)),rawStart,$F222,rawEnd,$G222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2" s="2">
        <f>LET(id,$A222,code,UPPER(TRIM($D222)),rawStart,$F222,rawEnd,$G222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2" s="2">
        <f>LET(id,$A222,code,UPPER(TRIM($D222)),rawStart,$F222,rawEnd,$G222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2" s="2">
        <f>LET(id,$A222,code,UPPER(TRIM($D222)),rawStart,$F222,rawEnd,$G222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2" s="2">
        <f>LET(id,$A222,code,UPPER(TRIM($D222)),rawStart,$F222,rawEnd,$G222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2" s="2">
        <f>LET(id,$A222,code,UPPER(TRIM($D222)),rawStart,$F222,rawEnd,$G222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2" s="2">
        <f>LET(id,$A222,code,UPPER(TRIM($D222)),rawStart,$F222,rawEnd,$G222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2" s="2">
        <f>LET(id,$A222,code,UPPER(TRIM($D222)),rawStart,$F222,rawEnd,$G222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2" s="2">
        <f>LET(id,$A222,code,UPPER(TRIM($D222)),rawStart,$F222,rawEnd,$G222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2" s="2">
        <f>LET(id,$A222,code,UPPER(TRIM($D222)),rawStart,$F222,rawEnd,$G222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2" s="2">
        <f>LET(id,$A222,code,UPPER(TRIM($D222)),rawStart,$F222,rawEnd,$G222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2" s="2">
        <f>LET(id,$A222,code,UPPER(TRIM($D222)),rawStart,$F222,rawEnd,$G222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2" s="2">
        <f>LET(id,$A222,code,UPPER(TRIM($D222)),rawStart,$F222,rawEnd,$G222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2" s="2">
        <f>LET(id,$A222,code,UPPER(TRIM($D222)),rawStart,$F222,rawEnd,$G222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2" s="2">
        <f>LET(id,$A222,code,UPPER(TRIM($D222)),rawStart,$F222,rawEnd,$G222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2" s="2">
        <f>LET(id,$A222,code,UPPER(TRIM($D222)),rawStart,$F222,rawEnd,$G222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2" s="2">
        <f>LET(id,$A222,code,UPPER(TRIM($D222)),rawStart,$F222,rawEnd,$G222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2" s="2">
        <f>LET(id,$A222,code,UPPER(TRIM($D222)),rawStart,$F222,rawEnd,$G222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2" s="2">
        <f>LET(id,$A222,code,UPPER(TRIM($D222)),rawStart,$F222,rawEnd,$G222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2" s="2">
        <f>LET(id,$A222,code,UPPER(TRIM($D222)),rawStart,$F222,rawEnd,$G222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2" s="2">
        <f>LET(id,$A222,code,UPPER(TRIM($D222)),rawStart,$F222,rawEnd,$G222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2" s="2">
        <f>LET(id,$A222,code,UPPER(TRIM($D222)),rawStart,$F222,rawEnd,$G222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22" s="2">
        <f>Calc_Engine!BD222</f>
        <v/>
      </c>
    </row>
    <row r="223">
      <c r="A223" s="2">
        <f>Calc_Engine!A223</f>
        <v/>
      </c>
      <c r="B223" s="2">
        <f>Calc_Engine!B223</f>
        <v/>
      </c>
      <c r="C223" s="2">
        <f>Calc_Engine!C223</f>
        <v/>
      </c>
      <c r="D223" s="2">
        <f>Calc_Engine!D223</f>
        <v/>
      </c>
      <c r="E223" s="4">
        <f>Calc_Engine!E223</f>
        <v/>
      </c>
      <c r="F223" s="5">
        <f>Calc_Engine!F223</f>
        <v/>
      </c>
      <c r="G223" s="5">
        <f>Calc_Engine!G223</f>
        <v/>
      </c>
      <c r="H223" s="2">
        <f>LET(id,$A223,code,UPPER(TRIM($D223)),rawStart,$F223,rawEnd,$G223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3" s="2">
        <f>LET(id,$A223,code,UPPER(TRIM($D223)),rawStart,$F223,rawEnd,$G223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3" s="2">
        <f>LET(id,$A223,code,UPPER(TRIM($D223)),rawStart,$F223,rawEnd,$G223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3" s="2">
        <f>LET(id,$A223,code,UPPER(TRIM($D223)),rawStart,$F223,rawEnd,$G223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3" s="2">
        <f>LET(id,$A223,code,UPPER(TRIM($D223)),rawStart,$F223,rawEnd,$G223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3" s="2">
        <f>LET(id,$A223,code,UPPER(TRIM($D223)),rawStart,$F223,rawEnd,$G223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3" s="2">
        <f>LET(id,$A223,code,UPPER(TRIM($D223)),rawStart,$F223,rawEnd,$G223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3" s="2">
        <f>LET(id,$A223,code,UPPER(TRIM($D223)),rawStart,$F223,rawEnd,$G223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3" s="2">
        <f>LET(id,$A223,code,UPPER(TRIM($D223)),rawStart,$F223,rawEnd,$G223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3" s="2">
        <f>LET(id,$A223,code,UPPER(TRIM($D223)),rawStart,$F223,rawEnd,$G223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3" s="2">
        <f>LET(id,$A223,code,UPPER(TRIM($D223)),rawStart,$F223,rawEnd,$G223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3" s="2">
        <f>LET(id,$A223,code,UPPER(TRIM($D223)),rawStart,$F223,rawEnd,$G223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3" s="2">
        <f>LET(id,$A223,code,UPPER(TRIM($D223)),rawStart,$F223,rawEnd,$G223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3" s="2">
        <f>LET(id,$A223,code,UPPER(TRIM($D223)),rawStart,$F223,rawEnd,$G223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3" s="2">
        <f>LET(id,$A223,code,UPPER(TRIM($D223)),rawStart,$F223,rawEnd,$G223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3" s="2">
        <f>LET(id,$A223,code,UPPER(TRIM($D223)),rawStart,$F223,rawEnd,$G223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3" s="2">
        <f>LET(id,$A223,code,UPPER(TRIM($D223)),rawStart,$F223,rawEnd,$G223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3" s="2">
        <f>LET(id,$A223,code,UPPER(TRIM($D223)),rawStart,$F223,rawEnd,$G223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3" s="2">
        <f>LET(id,$A223,code,UPPER(TRIM($D223)),rawStart,$F223,rawEnd,$G223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3" s="2">
        <f>LET(id,$A223,code,UPPER(TRIM($D223)),rawStart,$F223,rawEnd,$G223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3" s="2">
        <f>LET(id,$A223,code,UPPER(TRIM($D223)),rawStart,$F223,rawEnd,$G223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3" s="2">
        <f>LET(id,$A223,code,UPPER(TRIM($D223)),rawStart,$F223,rawEnd,$G223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3" s="2">
        <f>LET(id,$A223,code,UPPER(TRIM($D223)),rawStart,$F223,rawEnd,$G223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3" s="2">
        <f>LET(id,$A223,code,UPPER(TRIM($D223)),rawStart,$F223,rawEnd,$G223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3" s="2">
        <f>LET(id,$A223,code,UPPER(TRIM($D223)),rawStart,$F223,rawEnd,$G223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3" s="2">
        <f>LET(id,$A223,code,UPPER(TRIM($D223)),rawStart,$F223,rawEnd,$G223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3" s="2">
        <f>LET(id,$A223,code,UPPER(TRIM($D223)),rawStart,$F223,rawEnd,$G223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3" s="2">
        <f>LET(id,$A223,code,UPPER(TRIM($D223)),rawStart,$F223,rawEnd,$G223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3" s="2">
        <f>LET(id,$A223,code,UPPER(TRIM($D223)),rawStart,$F223,rawEnd,$G223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3" s="2">
        <f>LET(id,$A223,code,UPPER(TRIM($D223)),rawStart,$F223,rawEnd,$G223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3" s="2">
        <f>LET(id,$A223,code,UPPER(TRIM($D223)),rawStart,$F223,rawEnd,$G223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3" s="2">
        <f>LET(id,$A223,code,UPPER(TRIM($D223)),rawStart,$F223,rawEnd,$G223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3" s="2">
        <f>LET(id,$A223,code,UPPER(TRIM($D223)),rawStart,$F223,rawEnd,$G223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3" s="2">
        <f>LET(id,$A223,code,UPPER(TRIM($D223)),rawStart,$F223,rawEnd,$G223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3" s="2">
        <f>LET(id,$A223,code,UPPER(TRIM($D223)),rawStart,$F223,rawEnd,$G223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3" s="2">
        <f>LET(id,$A223,code,UPPER(TRIM($D223)),rawStart,$F223,rawEnd,$G223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3" s="2">
        <f>LET(id,$A223,code,UPPER(TRIM($D223)),rawStart,$F223,rawEnd,$G223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3" s="2">
        <f>LET(id,$A223,code,UPPER(TRIM($D223)),rawStart,$F223,rawEnd,$G223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3" s="2">
        <f>LET(id,$A223,code,UPPER(TRIM($D223)),rawStart,$F223,rawEnd,$G223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3" s="2">
        <f>LET(id,$A223,code,UPPER(TRIM($D223)),rawStart,$F223,rawEnd,$G223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3" s="2">
        <f>LET(id,$A223,code,UPPER(TRIM($D223)),rawStart,$F223,rawEnd,$G223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3" s="2">
        <f>LET(id,$A223,code,UPPER(TRIM($D223)),rawStart,$F223,rawEnd,$G223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3" s="2">
        <f>LET(id,$A223,code,UPPER(TRIM($D223)),rawStart,$F223,rawEnd,$G223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3" s="2">
        <f>LET(id,$A223,code,UPPER(TRIM($D223)),rawStart,$F223,rawEnd,$G223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3" s="2">
        <f>LET(id,$A223,code,UPPER(TRIM($D223)),rawStart,$F223,rawEnd,$G223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3" s="2">
        <f>LET(id,$A223,code,UPPER(TRIM($D223)),rawStart,$F223,rawEnd,$G223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3" s="2">
        <f>LET(id,$A223,code,UPPER(TRIM($D223)),rawStart,$F223,rawEnd,$G223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3" s="2">
        <f>LET(id,$A223,code,UPPER(TRIM($D223)),rawStart,$F223,rawEnd,$G223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23" s="2">
        <f>Calc_Engine!BD223</f>
        <v/>
      </c>
    </row>
    <row r="224">
      <c r="A224" s="2">
        <f>Calc_Engine!A224</f>
        <v/>
      </c>
      <c r="B224" s="2">
        <f>Calc_Engine!B224</f>
        <v/>
      </c>
      <c r="C224" s="2">
        <f>Calc_Engine!C224</f>
        <v/>
      </c>
      <c r="D224" s="2">
        <f>Calc_Engine!D224</f>
        <v/>
      </c>
      <c r="E224" s="4">
        <f>Calc_Engine!E224</f>
        <v/>
      </c>
      <c r="F224" s="5">
        <f>Calc_Engine!F224</f>
        <v/>
      </c>
      <c r="G224" s="5">
        <f>Calc_Engine!G224</f>
        <v/>
      </c>
      <c r="H224" s="2">
        <f>LET(id,$A224,code,UPPER(TRIM($D224)),rawStart,$F224,rawEnd,$G224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4" s="2">
        <f>LET(id,$A224,code,UPPER(TRIM($D224)),rawStart,$F224,rawEnd,$G224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4" s="2">
        <f>LET(id,$A224,code,UPPER(TRIM($D224)),rawStart,$F224,rawEnd,$G224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4" s="2">
        <f>LET(id,$A224,code,UPPER(TRIM($D224)),rawStart,$F224,rawEnd,$G224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4" s="2">
        <f>LET(id,$A224,code,UPPER(TRIM($D224)),rawStart,$F224,rawEnd,$G224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4" s="2">
        <f>LET(id,$A224,code,UPPER(TRIM($D224)),rawStart,$F224,rawEnd,$G224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4" s="2">
        <f>LET(id,$A224,code,UPPER(TRIM($D224)),rawStart,$F224,rawEnd,$G224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4" s="2">
        <f>LET(id,$A224,code,UPPER(TRIM($D224)),rawStart,$F224,rawEnd,$G224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4" s="2">
        <f>LET(id,$A224,code,UPPER(TRIM($D224)),rawStart,$F224,rawEnd,$G224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4" s="2">
        <f>LET(id,$A224,code,UPPER(TRIM($D224)),rawStart,$F224,rawEnd,$G224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4" s="2">
        <f>LET(id,$A224,code,UPPER(TRIM($D224)),rawStart,$F224,rawEnd,$G224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4" s="2">
        <f>LET(id,$A224,code,UPPER(TRIM($D224)),rawStart,$F224,rawEnd,$G224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4" s="2">
        <f>LET(id,$A224,code,UPPER(TRIM($D224)),rawStart,$F224,rawEnd,$G224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4" s="2">
        <f>LET(id,$A224,code,UPPER(TRIM($D224)),rawStart,$F224,rawEnd,$G224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4" s="2">
        <f>LET(id,$A224,code,UPPER(TRIM($D224)),rawStart,$F224,rawEnd,$G224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4" s="2">
        <f>LET(id,$A224,code,UPPER(TRIM($D224)),rawStart,$F224,rawEnd,$G224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4" s="2">
        <f>LET(id,$A224,code,UPPER(TRIM($D224)),rawStart,$F224,rawEnd,$G224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4" s="2">
        <f>LET(id,$A224,code,UPPER(TRIM($D224)),rawStart,$F224,rawEnd,$G224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4" s="2">
        <f>LET(id,$A224,code,UPPER(TRIM($D224)),rawStart,$F224,rawEnd,$G224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4" s="2">
        <f>LET(id,$A224,code,UPPER(TRIM($D224)),rawStart,$F224,rawEnd,$G224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4" s="2">
        <f>LET(id,$A224,code,UPPER(TRIM($D224)),rawStart,$F224,rawEnd,$G224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4" s="2">
        <f>LET(id,$A224,code,UPPER(TRIM($D224)),rawStart,$F224,rawEnd,$G224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4" s="2">
        <f>LET(id,$A224,code,UPPER(TRIM($D224)),rawStart,$F224,rawEnd,$G224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4" s="2">
        <f>LET(id,$A224,code,UPPER(TRIM($D224)),rawStart,$F224,rawEnd,$G224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4" s="2">
        <f>LET(id,$A224,code,UPPER(TRIM($D224)),rawStart,$F224,rawEnd,$G224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4" s="2">
        <f>LET(id,$A224,code,UPPER(TRIM($D224)),rawStart,$F224,rawEnd,$G224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4" s="2">
        <f>LET(id,$A224,code,UPPER(TRIM($D224)),rawStart,$F224,rawEnd,$G224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4" s="2">
        <f>LET(id,$A224,code,UPPER(TRIM($D224)),rawStart,$F224,rawEnd,$G224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4" s="2">
        <f>LET(id,$A224,code,UPPER(TRIM($D224)),rawStart,$F224,rawEnd,$G224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4" s="2">
        <f>LET(id,$A224,code,UPPER(TRIM($D224)),rawStart,$F224,rawEnd,$G224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4" s="2">
        <f>LET(id,$A224,code,UPPER(TRIM($D224)),rawStart,$F224,rawEnd,$G224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4" s="2">
        <f>LET(id,$A224,code,UPPER(TRIM($D224)),rawStart,$F224,rawEnd,$G224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4" s="2">
        <f>LET(id,$A224,code,UPPER(TRIM($D224)),rawStart,$F224,rawEnd,$G224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4" s="2">
        <f>LET(id,$A224,code,UPPER(TRIM($D224)),rawStart,$F224,rawEnd,$G224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4" s="2">
        <f>LET(id,$A224,code,UPPER(TRIM($D224)),rawStart,$F224,rawEnd,$G224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4" s="2">
        <f>LET(id,$A224,code,UPPER(TRIM($D224)),rawStart,$F224,rawEnd,$G224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4" s="2">
        <f>LET(id,$A224,code,UPPER(TRIM($D224)),rawStart,$F224,rawEnd,$G224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4" s="2">
        <f>LET(id,$A224,code,UPPER(TRIM($D224)),rawStart,$F224,rawEnd,$G224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4" s="2">
        <f>LET(id,$A224,code,UPPER(TRIM($D224)),rawStart,$F224,rawEnd,$G224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4" s="2">
        <f>LET(id,$A224,code,UPPER(TRIM($D224)),rawStart,$F224,rawEnd,$G224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4" s="2">
        <f>LET(id,$A224,code,UPPER(TRIM($D224)),rawStart,$F224,rawEnd,$G224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4" s="2">
        <f>LET(id,$A224,code,UPPER(TRIM($D224)),rawStart,$F224,rawEnd,$G224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4" s="2">
        <f>LET(id,$A224,code,UPPER(TRIM($D224)),rawStart,$F224,rawEnd,$G224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4" s="2">
        <f>LET(id,$A224,code,UPPER(TRIM($D224)),rawStart,$F224,rawEnd,$G224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4" s="2">
        <f>LET(id,$A224,code,UPPER(TRIM($D224)),rawStart,$F224,rawEnd,$G224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4" s="2">
        <f>LET(id,$A224,code,UPPER(TRIM($D224)),rawStart,$F224,rawEnd,$G224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4" s="2">
        <f>LET(id,$A224,code,UPPER(TRIM($D224)),rawStart,$F224,rawEnd,$G224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4" s="2">
        <f>LET(id,$A224,code,UPPER(TRIM($D224)),rawStart,$F224,rawEnd,$G224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24" s="2">
        <f>Calc_Engine!BD224</f>
        <v/>
      </c>
    </row>
    <row r="225">
      <c r="A225" s="2">
        <f>Calc_Engine!A225</f>
        <v/>
      </c>
      <c r="B225" s="2">
        <f>Calc_Engine!B225</f>
        <v/>
      </c>
      <c r="C225" s="2">
        <f>Calc_Engine!C225</f>
        <v/>
      </c>
      <c r="D225" s="2">
        <f>Calc_Engine!D225</f>
        <v/>
      </c>
      <c r="E225" s="4">
        <f>Calc_Engine!E225</f>
        <v/>
      </c>
      <c r="F225" s="5">
        <f>Calc_Engine!F225</f>
        <v/>
      </c>
      <c r="G225" s="5">
        <f>Calc_Engine!G225</f>
        <v/>
      </c>
      <c r="H225" s="2">
        <f>LET(id,$A225,code,UPPER(TRIM($D225)),rawStart,$F225,rawEnd,$G225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5" s="2">
        <f>LET(id,$A225,code,UPPER(TRIM($D225)),rawStart,$F225,rawEnd,$G225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5" s="2">
        <f>LET(id,$A225,code,UPPER(TRIM($D225)),rawStart,$F225,rawEnd,$G225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5" s="2">
        <f>LET(id,$A225,code,UPPER(TRIM($D225)),rawStart,$F225,rawEnd,$G225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5" s="2">
        <f>LET(id,$A225,code,UPPER(TRIM($D225)),rawStart,$F225,rawEnd,$G225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5" s="2">
        <f>LET(id,$A225,code,UPPER(TRIM($D225)),rawStart,$F225,rawEnd,$G225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5" s="2">
        <f>LET(id,$A225,code,UPPER(TRIM($D225)),rawStart,$F225,rawEnd,$G225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5" s="2">
        <f>LET(id,$A225,code,UPPER(TRIM($D225)),rawStart,$F225,rawEnd,$G225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5" s="2">
        <f>LET(id,$A225,code,UPPER(TRIM($D225)),rawStart,$F225,rawEnd,$G225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5" s="2">
        <f>LET(id,$A225,code,UPPER(TRIM($D225)),rawStart,$F225,rawEnd,$G225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5" s="2">
        <f>LET(id,$A225,code,UPPER(TRIM($D225)),rawStart,$F225,rawEnd,$G225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5" s="2">
        <f>LET(id,$A225,code,UPPER(TRIM($D225)),rawStart,$F225,rawEnd,$G225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5" s="2">
        <f>LET(id,$A225,code,UPPER(TRIM($D225)),rawStart,$F225,rawEnd,$G225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5" s="2">
        <f>LET(id,$A225,code,UPPER(TRIM($D225)),rawStart,$F225,rawEnd,$G225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5" s="2">
        <f>LET(id,$A225,code,UPPER(TRIM($D225)),rawStart,$F225,rawEnd,$G225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5" s="2">
        <f>LET(id,$A225,code,UPPER(TRIM($D225)),rawStart,$F225,rawEnd,$G225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5" s="2">
        <f>LET(id,$A225,code,UPPER(TRIM($D225)),rawStart,$F225,rawEnd,$G225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5" s="2">
        <f>LET(id,$A225,code,UPPER(TRIM($D225)),rawStart,$F225,rawEnd,$G225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5" s="2">
        <f>LET(id,$A225,code,UPPER(TRIM($D225)),rawStart,$F225,rawEnd,$G225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5" s="2">
        <f>LET(id,$A225,code,UPPER(TRIM($D225)),rawStart,$F225,rawEnd,$G225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5" s="2">
        <f>LET(id,$A225,code,UPPER(TRIM($D225)),rawStart,$F225,rawEnd,$G225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5" s="2">
        <f>LET(id,$A225,code,UPPER(TRIM($D225)),rawStart,$F225,rawEnd,$G225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5" s="2">
        <f>LET(id,$A225,code,UPPER(TRIM($D225)),rawStart,$F225,rawEnd,$G225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5" s="2">
        <f>LET(id,$A225,code,UPPER(TRIM($D225)),rawStart,$F225,rawEnd,$G225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5" s="2">
        <f>LET(id,$A225,code,UPPER(TRIM($D225)),rawStart,$F225,rawEnd,$G225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5" s="2">
        <f>LET(id,$A225,code,UPPER(TRIM($D225)),rawStart,$F225,rawEnd,$G225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5" s="2">
        <f>LET(id,$A225,code,UPPER(TRIM($D225)),rawStart,$F225,rawEnd,$G225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5" s="2">
        <f>LET(id,$A225,code,UPPER(TRIM($D225)),rawStart,$F225,rawEnd,$G225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5" s="2">
        <f>LET(id,$A225,code,UPPER(TRIM($D225)),rawStart,$F225,rawEnd,$G225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5" s="2">
        <f>LET(id,$A225,code,UPPER(TRIM($D225)),rawStart,$F225,rawEnd,$G225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5" s="2">
        <f>LET(id,$A225,code,UPPER(TRIM($D225)),rawStart,$F225,rawEnd,$G225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5" s="2">
        <f>LET(id,$A225,code,UPPER(TRIM($D225)),rawStart,$F225,rawEnd,$G225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5" s="2">
        <f>LET(id,$A225,code,UPPER(TRIM($D225)),rawStart,$F225,rawEnd,$G225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5" s="2">
        <f>LET(id,$A225,code,UPPER(TRIM($D225)),rawStart,$F225,rawEnd,$G225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5" s="2">
        <f>LET(id,$A225,code,UPPER(TRIM($D225)),rawStart,$F225,rawEnd,$G225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5" s="2">
        <f>LET(id,$A225,code,UPPER(TRIM($D225)),rawStart,$F225,rawEnd,$G225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5" s="2">
        <f>LET(id,$A225,code,UPPER(TRIM($D225)),rawStart,$F225,rawEnd,$G225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5" s="2">
        <f>LET(id,$A225,code,UPPER(TRIM($D225)),rawStart,$F225,rawEnd,$G225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5" s="2">
        <f>LET(id,$A225,code,UPPER(TRIM($D225)),rawStart,$F225,rawEnd,$G225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5" s="2">
        <f>LET(id,$A225,code,UPPER(TRIM($D225)),rawStart,$F225,rawEnd,$G225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5" s="2">
        <f>LET(id,$A225,code,UPPER(TRIM($D225)),rawStart,$F225,rawEnd,$G225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5" s="2">
        <f>LET(id,$A225,code,UPPER(TRIM($D225)),rawStart,$F225,rawEnd,$G225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5" s="2">
        <f>LET(id,$A225,code,UPPER(TRIM($D225)),rawStart,$F225,rawEnd,$G225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5" s="2">
        <f>LET(id,$A225,code,UPPER(TRIM($D225)),rawStart,$F225,rawEnd,$G225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5" s="2">
        <f>LET(id,$A225,code,UPPER(TRIM($D225)),rawStart,$F225,rawEnd,$G225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5" s="2">
        <f>LET(id,$A225,code,UPPER(TRIM($D225)),rawStart,$F225,rawEnd,$G225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5" s="2">
        <f>LET(id,$A225,code,UPPER(TRIM($D225)),rawStart,$F225,rawEnd,$G225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5" s="2">
        <f>LET(id,$A225,code,UPPER(TRIM($D225)),rawStart,$F225,rawEnd,$G225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25" s="2">
        <f>Calc_Engine!BD225</f>
        <v/>
      </c>
    </row>
    <row r="226">
      <c r="A226" s="2">
        <f>Calc_Engine!A226</f>
        <v/>
      </c>
      <c r="B226" s="2">
        <f>Calc_Engine!B226</f>
        <v/>
      </c>
      <c r="C226" s="2">
        <f>Calc_Engine!C226</f>
        <v/>
      </c>
      <c r="D226" s="2">
        <f>Calc_Engine!D226</f>
        <v/>
      </c>
      <c r="E226" s="4">
        <f>Calc_Engine!E226</f>
        <v/>
      </c>
      <c r="F226" s="5">
        <f>Calc_Engine!F226</f>
        <v/>
      </c>
      <c r="G226" s="5">
        <f>Calc_Engine!G226</f>
        <v/>
      </c>
      <c r="H226" s="2">
        <f>LET(id,$A226,code,UPPER(TRIM($D226)),rawStart,$F226,rawEnd,$G226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6" s="2">
        <f>LET(id,$A226,code,UPPER(TRIM($D226)),rawStart,$F226,rawEnd,$G226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6" s="2">
        <f>LET(id,$A226,code,UPPER(TRIM($D226)),rawStart,$F226,rawEnd,$G226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6" s="2">
        <f>LET(id,$A226,code,UPPER(TRIM($D226)),rawStart,$F226,rawEnd,$G226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6" s="2">
        <f>LET(id,$A226,code,UPPER(TRIM($D226)),rawStart,$F226,rawEnd,$G226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6" s="2">
        <f>LET(id,$A226,code,UPPER(TRIM($D226)),rawStart,$F226,rawEnd,$G226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6" s="2">
        <f>LET(id,$A226,code,UPPER(TRIM($D226)),rawStart,$F226,rawEnd,$G226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6" s="2">
        <f>LET(id,$A226,code,UPPER(TRIM($D226)),rawStart,$F226,rawEnd,$G226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6" s="2">
        <f>LET(id,$A226,code,UPPER(TRIM($D226)),rawStart,$F226,rawEnd,$G226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6" s="2">
        <f>LET(id,$A226,code,UPPER(TRIM($D226)),rawStart,$F226,rawEnd,$G226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6" s="2">
        <f>LET(id,$A226,code,UPPER(TRIM($D226)),rawStart,$F226,rawEnd,$G226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6" s="2">
        <f>LET(id,$A226,code,UPPER(TRIM($D226)),rawStart,$F226,rawEnd,$G226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6" s="2">
        <f>LET(id,$A226,code,UPPER(TRIM($D226)),rawStart,$F226,rawEnd,$G226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6" s="2">
        <f>LET(id,$A226,code,UPPER(TRIM($D226)),rawStart,$F226,rawEnd,$G226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6" s="2">
        <f>LET(id,$A226,code,UPPER(TRIM($D226)),rawStart,$F226,rawEnd,$G226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6" s="2">
        <f>LET(id,$A226,code,UPPER(TRIM($D226)),rawStart,$F226,rawEnd,$G226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6" s="2">
        <f>LET(id,$A226,code,UPPER(TRIM($D226)),rawStart,$F226,rawEnd,$G226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6" s="2">
        <f>LET(id,$A226,code,UPPER(TRIM($D226)),rawStart,$F226,rawEnd,$G226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6" s="2">
        <f>LET(id,$A226,code,UPPER(TRIM($D226)),rawStart,$F226,rawEnd,$G226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6" s="2">
        <f>LET(id,$A226,code,UPPER(TRIM($D226)),rawStart,$F226,rawEnd,$G226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6" s="2">
        <f>LET(id,$A226,code,UPPER(TRIM($D226)),rawStart,$F226,rawEnd,$G226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6" s="2">
        <f>LET(id,$A226,code,UPPER(TRIM($D226)),rawStart,$F226,rawEnd,$G226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6" s="2">
        <f>LET(id,$A226,code,UPPER(TRIM($D226)),rawStart,$F226,rawEnd,$G226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6" s="2">
        <f>LET(id,$A226,code,UPPER(TRIM($D226)),rawStart,$F226,rawEnd,$G226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6" s="2">
        <f>LET(id,$A226,code,UPPER(TRIM($D226)),rawStart,$F226,rawEnd,$G226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6" s="2">
        <f>LET(id,$A226,code,UPPER(TRIM($D226)),rawStart,$F226,rawEnd,$G226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6" s="2">
        <f>LET(id,$A226,code,UPPER(TRIM($D226)),rawStart,$F226,rawEnd,$G226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6" s="2">
        <f>LET(id,$A226,code,UPPER(TRIM($D226)),rawStart,$F226,rawEnd,$G226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6" s="2">
        <f>LET(id,$A226,code,UPPER(TRIM($D226)),rawStart,$F226,rawEnd,$G226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6" s="2">
        <f>LET(id,$A226,code,UPPER(TRIM($D226)),rawStart,$F226,rawEnd,$G226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6" s="2">
        <f>LET(id,$A226,code,UPPER(TRIM($D226)),rawStart,$F226,rawEnd,$G226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6" s="2">
        <f>LET(id,$A226,code,UPPER(TRIM($D226)),rawStart,$F226,rawEnd,$G226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6" s="2">
        <f>LET(id,$A226,code,UPPER(TRIM($D226)),rawStart,$F226,rawEnd,$G226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6" s="2">
        <f>LET(id,$A226,code,UPPER(TRIM($D226)),rawStart,$F226,rawEnd,$G226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6" s="2">
        <f>LET(id,$A226,code,UPPER(TRIM($D226)),rawStart,$F226,rawEnd,$G226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6" s="2">
        <f>LET(id,$A226,code,UPPER(TRIM($D226)),rawStart,$F226,rawEnd,$G226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6" s="2">
        <f>LET(id,$A226,code,UPPER(TRIM($D226)),rawStart,$F226,rawEnd,$G226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6" s="2">
        <f>LET(id,$A226,code,UPPER(TRIM($D226)),rawStart,$F226,rawEnd,$G226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6" s="2">
        <f>LET(id,$A226,code,UPPER(TRIM($D226)),rawStart,$F226,rawEnd,$G226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6" s="2">
        <f>LET(id,$A226,code,UPPER(TRIM($D226)),rawStart,$F226,rawEnd,$G226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6" s="2">
        <f>LET(id,$A226,code,UPPER(TRIM($D226)),rawStart,$F226,rawEnd,$G226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6" s="2">
        <f>LET(id,$A226,code,UPPER(TRIM($D226)),rawStart,$F226,rawEnd,$G226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6" s="2">
        <f>LET(id,$A226,code,UPPER(TRIM($D226)),rawStart,$F226,rawEnd,$G226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6" s="2">
        <f>LET(id,$A226,code,UPPER(TRIM($D226)),rawStart,$F226,rawEnd,$G226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6" s="2">
        <f>LET(id,$A226,code,UPPER(TRIM($D226)),rawStart,$F226,rawEnd,$G226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6" s="2">
        <f>LET(id,$A226,code,UPPER(TRIM($D226)),rawStart,$F226,rawEnd,$G226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6" s="2">
        <f>LET(id,$A226,code,UPPER(TRIM($D226)),rawStart,$F226,rawEnd,$G226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6" s="2">
        <f>LET(id,$A226,code,UPPER(TRIM($D226)),rawStart,$F226,rawEnd,$G226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26" s="2">
        <f>Calc_Engine!BD226</f>
        <v/>
      </c>
    </row>
    <row r="227">
      <c r="A227" s="2">
        <f>Calc_Engine!A227</f>
        <v/>
      </c>
      <c r="B227" s="2">
        <f>Calc_Engine!B227</f>
        <v/>
      </c>
      <c r="C227" s="2">
        <f>Calc_Engine!C227</f>
        <v/>
      </c>
      <c r="D227" s="2">
        <f>Calc_Engine!D227</f>
        <v/>
      </c>
      <c r="E227" s="4">
        <f>Calc_Engine!E227</f>
        <v/>
      </c>
      <c r="F227" s="5">
        <f>Calc_Engine!F227</f>
        <v/>
      </c>
      <c r="G227" s="5">
        <f>Calc_Engine!G227</f>
        <v/>
      </c>
      <c r="H227" s="2">
        <f>LET(id,$A227,code,UPPER(TRIM($D227)),rawStart,$F227,rawEnd,$G227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7" s="2">
        <f>LET(id,$A227,code,UPPER(TRIM($D227)),rawStart,$F227,rawEnd,$G227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7" s="2">
        <f>LET(id,$A227,code,UPPER(TRIM($D227)),rawStart,$F227,rawEnd,$G227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7" s="2">
        <f>LET(id,$A227,code,UPPER(TRIM($D227)),rawStart,$F227,rawEnd,$G227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7" s="2">
        <f>LET(id,$A227,code,UPPER(TRIM($D227)),rawStart,$F227,rawEnd,$G227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7" s="2">
        <f>LET(id,$A227,code,UPPER(TRIM($D227)),rawStart,$F227,rawEnd,$G227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7" s="2">
        <f>LET(id,$A227,code,UPPER(TRIM($D227)),rawStart,$F227,rawEnd,$G227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7" s="2">
        <f>LET(id,$A227,code,UPPER(TRIM($D227)),rawStart,$F227,rawEnd,$G227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7" s="2">
        <f>LET(id,$A227,code,UPPER(TRIM($D227)),rawStart,$F227,rawEnd,$G227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7" s="2">
        <f>LET(id,$A227,code,UPPER(TRIM($D227)),rawStart,$F227,rawEnd,$G227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7" s="2">
        <f>LET(id,$A227,code,UPPER(TRIM($D227)),rawStart,$F227,rawEnd,$G227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7" s="2">
        <f>LET(id,$A227,code,UPPER(TRIM($D227)),rawStart,$F227,rawEnd,$G227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7" s="2">
        <f>LET(id,$A227,code,UPPER(TRIM($D227)),rawStart,$F227,rawEnd,$G227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7" s="2">
        <f>LET(id,$A227,code,UPPER(TRIM($D227)),rawStart,$F227,rawEnd,$G227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7" s="2">
        <f>LET(id,$A227,code,UPPER(TRIM($D227)),rawStart,$F227,rawEnd,$G227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7" s="2">
        <f>LET(id,$A227,code,UPPER(TRIM($D227)),rawStart,$F227,rawEnd,$G227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7" s="2">
        <f>LET(id,$A227,code,UPPER(TRIM($D227)),rawStart,$F227,rawEnd,$G227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7" s="2">
        <f>LET(id,$A227,code,UPPER(TRIM($D227)),rawStart,$F227,rawEnd,$G227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7" s="2">
        <f>LET(id,$A227,code,UPPER(TRIM($D227)),rawStart,$F227,rawEnd,$G227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7" s="2">
        <f>LET(id,$A227,code,UPPER(TRIM($D227)),rawStart,$F227,rawEnd,$G227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7" s="2">
        <f>LET(id,$A227,code,UPPER(TRIM($D227)),rawStart,$F227,rawEnd,$G227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7" s="2">
        <f>LET(id,$A227,code,UPPER(TRIM($D227)),rawStart,$F227,rawEnd,$G227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7" s="2">
        <f>LET(id,$A227,code,UPPER(TRIM($D227)),rawStart,$F227,rawEnd,$G227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7" s="2">
        <f>LET(id,$A227,code,UPPER(TRIM($D227)),rawStart,$F227,rawEnd,$G227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7" s="2">
        <f>LET(id,$A227,code,UPPER(TRIM($D227)),rawStart,$F227,rawEnd,$G227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7" s="2">
        <f>LET(id,$A227,code,UPPER(TRIM($D227)),rawStart,$F227,rawEnd,$G227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7" s="2">
        <f>LET(id,$A227,code,UPPER(TRIM($D227)),rawStart,$F227,rawEnd,$G227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7" s="2">
        <f>LET(id,$A227,code,UPPER(TRIM($D227)),rawStart,$F227,rawEnd,$G227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7" s="2">
        <f>LET(id,$A227,code,UPPER(TRIM($D227)),rawStart,$F227,rawEnd,$G227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7" s="2">
        <f>LET(id,$A227,code,UPPER(TRIM($D227)),rawStart,$F227,rawEnd,$G227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7" s="2">
        <f>LET(id,$A227,code,UPPER(TRIM($D227)),rawStart,$F227,rawEnd,$G227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7" s="2">
        <f>LET(id,$A227,code,UPPER(TRIM($D227)),rawStart,$F227,rawEnd,$G227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7" s="2">
        <f>LET(id,$A227,code,UPPER(TRIM($D227)),rawStart,$F227,rawEnd,$G227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7" s="2">
        <f>LET(id,$A227,code,UPPER(TRIM($D227)),rawStart,$F227,rawEnd,$G227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7" s="2">
        <f>LET(id,$A227,code,UPPER(TRIM($D227)),rawStart,$F227,rawEnd,$G227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7" s="2">
        <f>LET(id,$A227,code,UPPER(TRIM($D227)),rawStart,$F227,rawEnd,$G227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7" s="2">
        <f>LET(id,$A227,code,UPPER(TRIM($D227)),rawStart,$F227,rawEnd,$G227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7" s="2">
        <f>LET(id,$A227,code,UPPER(TRIM($D227)),rawStart,$F227,rawEnd,$G227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7" s="2">
        <f>LET(id,$A227,code,UPPER(TRIM($D227)),rawStart,$F227,rawEnd,$G227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7" s="2">
        <f>LET(id,$A227,code,UPPER(TRIM($D227)),rawStart,$F227,rawEnd,$G227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7" s="2">
        <f>LET(id,$A227,code,UPPER(TRIM($D227)),rawStart,$F227,rawEnd,$G227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7" s="2">
        <f>LET(id,$A227,code,UPPER(TRIM($D227)),rawStart,$F227,rawEnd,$G227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7" s="2">
        <f>LET(id,$A227,code,UPPER(TRIM($D227)),rawStart,$F227,rawEnd,$G227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7" s="2">
        <f>LET(id,$A227,code,UPPER(TRIM($D227)),rawStart,$F227,rawEnd,$G227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7" s="2">
        <f>LET(id,$A227,code,UPPER(TRIM($D227)),rawStart,$F227,rawEnd,$G227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7" s="2">
        <f>LET(id,$A227,code,UPPER(TRIM($D227)),rawStart,$F227,rawEnd,$G227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7" s="2">
        <f>LET(id,$A227,code,UPPER(TRIM($D227)),rawStart,$F227,rawEnd,$G227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7" s="2">
        <f>LET(id,$A227,code,UPPER(TRIM($D227)),rawStart,$F227,rawEnd,$G227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27" s="2">
        <f>Calc_Engine!BD227</f>
        <v/>
      </c>
    </row>
    <row r="228">
      <c r="A228" s="2">
        <f>Calc_Engine!A228</f>
        <v/>
      </c>
      <c r="B228" s="2">
        <f>Calc_Engine!B228</f>
        <v/>
      </c>
      <c r="C228" s="2">
        <f>Calc_Engine!C228</f>
        <v/>
      </c>
      <c r="D228" s="2">
        <f>Calc_Engine!D228</f>
        <v/>
      </c>
      <c r="E228" s="4">
        <f>Calc_Engine!E228</f>
        <v/>
      </c>
      <c r="F228" s="5">
        <f>Calc_Engine!F228</f>
        <v/>
      </c>
      <c r="G228" s="5">
        <f>Calc_Engine!G228</f>
        <v/>
      </c>
      <c r="H228" s="2">
        <f>LET(id,$A228,code,UPPER(TRIM($D228)),rawStart,$F228,rawEnd,$G228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8" s="2">
        <f>LET(id,$A228,code,UPPER(TRIM($D228)),rawStart,$F228,rawEnd,$G228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8" s="2">
        <f>LET(id,$A228,code,UPPER(TRIM($D228)),rawStart,$F228,rawEnd,$G228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8" s="2">
        <f>LET(id,$A228,code,UPPER(TRIM($D228)),rawStart,$F228,rawEnd,$G228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8" s="2">
        <f>LET(id,$A228,code,UPPER(TRIM($D228)),rawStart,$F228,rawEnd,$G228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8" s="2">
        <f>LET(id,$A228,code,UPPER(TRIM($D228)),rawStart,$F228,rawEnd,$G228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8" s="2">
        <f>LET(id,$A228,code,UPPER(TRIM($D228)),rawStart,$F228,rawEnd,$G228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8" s="2">
        <f>LET(id,$A228,code,UPPER(TRIM($D228)),rawStart,$F228,rawEnd,$G228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8" s="2">
        <f>LET(id,$A228,code,UPPER(TRIM($D228)),rawStart,$F228,rawEnd,$G228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8" s="2">
        <f>LET(id,$A228,code,UPPER(TRIM($D228)),rawStart,$F228,rawEnd,$G228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8" s="2">
        <f>LET(id,$A228,code,UPPER(TRIM($D228)),rawStart,$F228,rawEnd,$G228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8" s="2">
        <f>LET(id,$A228,code,UPPER(TRIM($D228)),rawStart,$F228,rawEnd,$G228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8" s="2">
        <f>LET(id,$A228,code,UPPER(TRIM($D228)),rawStart,$F228,rawEnd,$G228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8" s="2">
        <f>LET(id,$A228,code,UPPER(TRIM($D228)),rawStart,$F228,rawEnd,$G228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8" s="2">
        <f>LET(id,$A228,code,UPPER(TRIM($D228)),rawStart,$F228,rawEnd,$G228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8" s="2">
        <f>LET(id,$A228,code,UPPER(TRIM($D228)),rawStart,$F228,rawEnd,$G228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8" s="2">
        <f>LET(id,$A228,code,UPPER(TRIM($D228)),rawStart,$F228,rawEnd,$G228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8" s="2">
        <f>LET(id,$A228,code,UPPER(TRIM($D228)),rawStart,$F228,rawEnd,$G228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8" s="2">
        <f>LET(id,$A228,code,UPPER(TRIM($D228)),rawStart,$F228,rawEnd,$G228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8" s="2">
        <f>LET(id,$A228,code,UPPER(TRIM($D228)),rawStart,$F228,rawEnd,$G228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8" s="2">
        <f>LET(id,$A228,code,UPPER(TRIM($D228)),rawStart,$F228,rawEnd,$G228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8" s="2">
        <f>LET(id,$A228,code,UPPER(TRIM($D228)),rawStart,$F228,rawEnd,$G228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8" s="2">
        <f>LET(id,$A228,code,UPPER(TRIM($D228)),rawStart,$F228,rawEnd,$G228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8" s="2">
        <f>LET(id,$A228,code,UPPER(TRIM($D228)),rawStart,$F228,rawEnd,$G228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8" s="2">
        <f>LET(id,$A228,code,UPPER(TRIM($D228)),rawStart,$F228,rawEnd,$G228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8" s="2">
        <f>LET(id,$A228,code,UPPER(TRIM($D228)),rawStart,$F228,rawEnd,$G228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8" s="2">
        <f>LET(id,$A228,code,UPPER(TRIM($D228)),rawStart,$F228,rawEnd,$G228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8" s="2">
        <f>LET(id,$A228,code,UPPER(TRIM($D228)),rawStart,$F228,rawEnd,$G228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8" s="2">
        <f>LET(id,$A228,code,UPPER(TRIM($D228)),rawStart,$F228,rawEnd,$G228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8" s="2">
        <f>LET(id,$A228,code,UPPER(TRIM($D228)),rawStart,$F228,rawEnd,$G228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8" s="2">
        <f>LET(id,$A228,code,UPPER(TRIM($D228)),rawStart,$F228,rawEnd,$G228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8" s="2">
        <f>LET(id,$A228,code,UPPER(TRIM($D228)),rawStart,$F228,rawEnd,$G228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8" s="2">
        <f>LET(id,$A228,code,UPPER(TRIM($D228)),rawStart,$F228,rawEnd,$G228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8" s="2">
        <f>LET(id,$A228,code,UPPER(TRIM($D228)),rawStart,$F228,rawEnd,$G228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8" s="2">
        <f>LET(id,$A228,code,UPPER(TRIM($D228)),rawStart,$F228,rawEnd,$G228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8" s="2">
        <f>LET(id,$A228,code,UPPER(TRIM($D228)),rawStart,$F228,rawEnd,$G228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8" s="2">
        <f>LET(id,$A228,code,UPPER(TRIM($D228)),rawStart,$F228,rawEnd,$G228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8" s="2">
        <f>LET(id,$A228,code,UPPER(TRIM($D228)),rawStart,$F228,rawEnd,$G228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8" s="2">
        <f>LET(id,$A228,code,UPPER(TRIM($D228)),rawStart,$F228,rawEnd,$G228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8" s="2">
        <f>LET(id,$A228,code,UPPER(TRIM($D228)),rawStart,$F228,rawEnd,$G228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8" s="2">
        <f>LET(id,$A228,code,UPPER(TRIM($D228)),rawStart,$F228,rawEnd,$G228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8" s="2">
        <f>LET(id,$A228,code,UPPER(TRIM($D228)),rawStart,$F228,rawEnd,$G228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8" s="2">
        <f>LET(id,$A228,code,UPPER(TRIM($D228)),rawStart,$F228,rawEnd,$G228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8" s="2">
        <f>LET(id,$A228,code,UPPER(TRIM($D228)),rawStart,$F228,rawEnd,$G228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8" s="2">
        <f>LET(id,$A228,code,UPPER(TRIM($D228)),rawStart,$F228,rawEnd,$G228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8" s="2">
        <f>LET(id,$A228,code,UPPER(TRIM($D228)),rawStart,$F228,rawEnd,$G228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8" s="2">
        <f>LET(id,$A228,code,UPPER(TRIM($D228)),rawStart,$F228,rawEnd,$G228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8" s="2">
        <f>LET(id,$A228,code,UPPER(TRIM($D228)),rawStart,$F228,rawEnd,$G228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28" s="2">
        <f>Calc_Engine!BD228</f>
        <v/>
      </c>
    </row>
    <row r="229">
      <c r="A229" s="2">
        <f>Calc_Engine!A229</f>
        <v/>
      </c>
      <c r="B229" s="2">
        <f>Calc_Engine!B229</f>
        <v/>
      </c>
      <c r="C229" s="2">
        <f>Calc_Engine!C229</f>
        <v/>
      </c>
      <c r="D229" s="2">
        <f>Calc_Engine!D229</f>
        <v/>
      </c>
      <c r="E229" s="4">
        <f>Calc_Engine!E229</f>
        <v/>
      </c>
      <c r="F229" s="5">
        <f>Calc_Engine!F229</f>
        <v/>
      </c>
      <c r="G229" s="5">
        <f>Calc_Engine!G229</f>
        <v/>
      </c>
      <c r="H229" s="2">
        <f>LET(id,$A229,code,UPPER(TRIM($D229)),rawStart,$F229,rawEnd,$G229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9" s="2">
        <f>LET(id,$A229,code,UPPER(TRIM($D229)),rawStart,$F229,rawEnd,$G229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9" s="2">
        <f>LET(id,$A229,code,UPPER(TRIM($D229)),rawStart,$F229,rawEnd,$G229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9" s="2">
        <f>LET(id,$A229,code,UPPER(TRIM($D229)),rawStart,$F229,rawEnd,$G229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9" s="2">
        <f>LET(id,$A229,code,UPPER(TRIM($D229)),rawStart,$F229,rawEnd,$G229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9" s="2">
        <f>LET(id,$A229,code,UPPER(TRIM($D229)),rawStart,$F229,rawEnd,$G229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9" s="2">
        <f>LET(id,$A229,code,UPPER(TRIM($D229)),rawStart,$F229,rawEnd,$G229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9" s="2">
        <f>LET(id,$A229,code,UPPER(TRIM($D229)),rawStart,$F229,rawEnd,$G229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9" s="2">
        <f>LET(id,$A229,code,UPPER(TRIM($D229)),rawStart,$F229,rawEnd,$G229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9" s="2">
        <f>LET(id,$A229,code,UPPER(TRIM($D229)),rawStart,$F229,rawEnd,$G229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9" s="2">
        <f>LET(id,$A229,code,UPPER(TRIM($D229)),rawStart,$F229,rawEnd,$G229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9" s="2">
        <f>LET(id,$A229,code,UPPER(TRIM($D229)),rawStart,$F229,rawEnd,$G229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9" s="2">
        <f>LET(id,$A229,code,UPPER(TRIM($D229)),rawStart,$F229,rawEnd,$G229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9" s="2">
        <f>LET(id,$A229,code,UPPER(TRIM($D229)),rawStart,$F229,rawEnd,$G229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9" s="2">
        <f>LET(id,$A229,code,UPPER(TRIM($D229)),rawStart,$F229,rawEnd,$G229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9" s="2">
        <f>LET(id,$A229,code,UPPER(TRIM($D229)),rawStart,$F229,rawEnd,$G229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9" s="2">
        <f>LET(id,$A229,code,UPPER(TRIM($D229)),rawStart,$F229,rawEnd,$G229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9" s="2">
        <f>LET(id,$A229,code,UPPER(TRIM($D229)),rawStart,$F229,rawEnd,$G229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9" s="2">
        <f>LET(id,$A229,code,UPPER(TRIM($D229)),rawStart,$F229,rawEnd,$G229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9" s="2">
        <f>LET(id,$A229,code,UPPER(TRIM($D229)),rawStart,$F229,rawEnd,$G229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9" s="2">
        <f>LET(id,$A229,code,UPPER(TRIM($D229)),rawStart,$F229,rawEnd,$G229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9" s="2">
        <f>LET(id,$A229,code,UPPER(TRIM($D229)),rawStart,$F229,rawEnd,$G229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9" s="2">
        <f>LET(id,$A229,code,UPPER(TRIM($D229)),rawStart,$F229,rawEnd,$G229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9" s="2">
        <f>LET(id,$A229,code,UPPER(TRIM($D229)),rawStart,$F229,rawEnd,$G229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9" s="2">
        <f>LET(id,$A229,code,UPPER(TRIM($D229)),rawStart,$F229,rawEnd,$G229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9" s="2">
        <f>LET(id,$A229,code,UPPER(TRIM($D229)),rawStart,$F229,rawEnd,$G229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9" s="2">
        <f>LET(id,$A229,code,UPPER(TRIM($D229)),rawStart,$F229,rawEnd,$G229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9" s="2">
        <f>LET(id,$A229,code,UPPER(TRIM($D229)),rawStart,$F229,rawEnd,$G229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9" s="2">
        <f>LET(id,$A229,code,UPPER(TRIM($D229)),rawStart,$F229,rawEnd,$G229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9" s="2">
        <f>LET(id,$A229,code,UPPER(TRIM($D229)),rawStart,$F229,rawEnd,$G229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9" s="2">
        <f>LET(id,$A229,code,UPPER(TRIM($D229)),rawStart,$F229,rawEnd,$G229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9" s="2">
        <f>LET(id,$A229,code,UPPER(TRIM($D229)),rawStart,$F229,rawEnd,$G229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9" s="2">
        <f>LET(id,$A229,code,UPPER(TRIM($D229)),rawStart,$F229,rawEnd,$G229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9" s="2">
        <f>LET(id,$A229,code,UPPER(TRIM($D229)),rawStart,$F229,rawEnd,$G229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9" s="2">
        <f>LET(id,$A229,code,UPPER(TRIM($D229)),rawStart,$F229,rawEnd,$G229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9" s="2">
        <f>LET(id,$A229,code,UPPER(TRIM($D229)),rawStart,$F229,rawEnd,$G229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9" s="2">
        <f>LET(id,$A229,code,UPPER(TRIM($D229)),rawStart,$F229,rawEnd,$G229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9" s="2">
        <f>LET(id,$A229,code,UPPER(TRIM($D229)),rawStart,$F229,rawEnd,$G229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9" s="2">
        <f>LET(id,$A229,code,UPPER(TRIM($D229)),rawStart,$F229,rawEnd,$G229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9" s="2">
        <f>LET(id,$A229,code,UPPER(TRIM($D229)),rawStart,$F229,rawEnd,$G229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9" s="2">
        <f>LET(id,$A229,code,UPPER(TRIM($D229)),rawStart,$F229,rawEnd,$G229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9" s="2">
        <f>LET(id,$A229,code,UPPER(TRIM($D229)),rawStart,$F229,rawEnd,$G229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9" s="2">
        <f>LET(id,$A229,code,UPPER(TRIM($D229)),rawStart,$F229,rawEnd,$G229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9" s="2">
        <f>LET(id,$A229,code,UPPER(TRIM($D229)),rawStart,$F229,rawEnd,$G229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9" s="2">
        <f>LET(id,$A229,code,UPPER(TRIM($D229)),rawStart,$F229,rawEnd,$G229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9" s="2">
        <f>LET(id,$A229,code,UPPER(TRIM($D229)),rawStart,$F229,rawEnd,$G229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9" s="2">
        <f>LET(id,$A229,code,UPPER(TRIM($D229)),rawStart,$F229,rawEnd,$G229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9" s="2">
        <f>LET(id,$A229,code,UPPER(TRIM($D229)),rawStart,$F229,rawEnd,$G229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29" s="2">
        <f>Calc_Engine!BD229</f>
        <v/>
      </c>
    </row>
    <row r="230">
      <c r="A230" s="2">
        <f>Calc_Engine!A230</f>
        <v/>
      </c>
      <c r="B230" s="2">
        <f>Calc_Engine!B230</f>
        <v/>
      </c>
      <c r="C230" s="2">
        <f>Calc_Engine!C230</f>
        <v/>
      </c>
      <c r="D230" s="2">
        <f>Calc_Engine!D230</f>
        <v/>
      </c>
      <c r="E230" s="4">
        <f>Calc_Engine!E230</f>
        <v/>
      </c>
      <c r="F230" s="5">
        <f>Calc_Engine!F230</f>
        <v/>
      </c>
      <c r="G230" s="5">
        <f>Calc_Engine!G230</f>
        <v/>
      </c>
      <c r="H230" s="2">
        <f>LET(id,$A230,code,UPPER(TRIM($D230)),rawStart,$F230,rawEnd,$G230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0" s="2">
        <f>LET(id,$A230,code,UPPER(TRIM($D230)),rawStart,$F230,rawEnd,$G230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0" s="2">
        <f>LET(id,$A230,code,UPPER(TRIM($D230)),rawStart,$F230,rawEnd,$G230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0" s="2">
        <f>LET(id,$A230,code,UPPER(TRIM($D230)),rawStart,$F230,rawEnd,$G230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0" s="2">
        <f>LET(id,$A230,code,UPPER(TRIM($D230)),rawStart,$F230,rawEnd,$G230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0" s="2">
        <f>LET(id,$A230,code,UPPER(TRIM($D230)),rawStart,$F230,rawEnd,$G230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0" s="2">
        <f>LET(id,$A230,code,UPPER(TRIM($D230)),rawStart,$F230,rawEnd,$G230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0" s="2">
        <f>LET(id,$A230,code,UPPER(TRIM($D230)),rawStart,$F230,rawEnd,$G230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0" s="2">
        <f>LET(id,$A230,code,UPPER(TRIM($D230)),rawStart,$F230,rawEnd,$G230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0" s="2">
        <f>LET(id,$A230,code,UPPER(TRIM($D230)),rawStart,$F230,rawEnd,$G230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0" s="2">
        <f>LET(id,$A230,code,UPPER(TRIM($D230)),rawStart,$F230,rawEnd,$G230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0" s="2">
        <f>LET(id,$A230,code,UPPER(TRIM($D230)),rawStart,$F230,rawEnd,$G230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0" s="2">
        <f>LET(id,$A230,code,UPPER(TRIM($D230)),rawStart,$F230,rawEnd,$G230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0" s="2">
        <f>LET(id,$A230,code,UPPER(TRIM($D230)),rawStart,$F230,rawEnd,$G230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0" s="2">
        <f>LET(id,$A230,code,UPPER(TRIM($D230)),rawStart,$F230,rawEnd,$G230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0" s="2">
        <f>LET(id,$A230,code,UPPER(TRIM($D230)),rawStart,$F230,rawEnd,$G230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0" s="2">
        <f>LET(id,$A230,code,UPPER(TRIM($D230)),rawStart,$F230,rawEnd,$G230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0" s="2">
        <f>LET(id,$A230,code,UPPER(TRIM($D230)),rawStart,$F230,rawEnd,$G230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0" s="2">
        <f>LET(id,$A230,code,UPPER(TRIM($D230)),rawStart,$F230,rawEnd,$G230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0" s="2">
        <f>LET(id,$A230,code,UPPER(TRIM($D230)),rawStart,$F230,rawEnd,$G230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0" s="2">
        <f>LET(id,$A230,code,UPPER(TRIM($D230)),rawStart,$F230,rawEnd,$G230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0" s="2">
        <f>LET(id,$A230,code,UPPER(TRIM($D230)),rawStart,$F230,rawEnd,$G230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0" s="2">
        <f>LET(id,$A230,code,UPPER(TRIM($D230)),rawStart,$F230,rawEnd,$G230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0" s="2">
        <f>LET(id,$A230,code,UPPER(TRIM($D230)),rawStart,$F230,rawEnd,$G230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0" s="2">
        <f>LET(id,$A230,code,UPPER(TRIM($D230)),rawStart,$F230,rawEnd,$G230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0" s="2">
        <f>LET(id,$A230,code,UPPER(TRIM($D230)),rawStart,$F230,rawEnd,$G230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0" s="2">
        <f>LET(id,$A230,code,UPPER(TRIM($D230)),rawStart,$F230,rawEnd,$G230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0" s="2">
        <f>LET(id,$A230,code,UPPER(TRIM($D230)),rawStart,$F230,rawEnd,$G230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0" s="2">
        <f>LET(id,$A230,code,UPPER(TRIM($D230)),rawStart,$F230,rawEnd,$G230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0" s="2">
        <f>LET(id,$A230,code,UPPER(TRIM($D230)),rawStart,$F230,rawEnd,$G230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0" s="2">
        <f>LET(id,$A230,code,UPPER(TRIM($D230)),rawStart,$F230,rawEnd,$G230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0" s="2">
        <f>LET(id,$A230,code,UPPER(TRIM($D230)),rawStart,$F230,rawEnd,$G230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0" s="2">
        <f>LET(id,$A230,code,UPPER(TRIM($D230)),rawStart,$F230,rawEnd,$G230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0" s="2">
        <f>LET(id,$A230,code,UPPER(TRIM($D230)),rawStart,$F230,rawEnd,$G230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0" s="2">
        <f>LET(id,$A230,code,UPPER(TRIM($D230)),rawStart,$F230,rawEnd,$G230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0" s="2">
        <f>LET(id,$A230,code,UPPER(TRIM($D230)),rawStart,$F230,rawEnd,$G230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0" s="2">
        <f>LET(id,$A230,code,UPPER(TRIM($D230)),rawStart,$F230,rawEnd,$G230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0" s="2">
        <f>LET(id,$A230,code,UPPER(TRIM($D230)),rawStart,$F230,rawEnd,$G230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0" s="2">
        <f>LET(id,$A230,code,UPPER(TRIM($D230)),rawStart,$F230,rawEnd,$G230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0" s="2">
        <f>LET(id,$A230,code,UPPER(TRIM($D230)),rawStart,$F230,rawEnd,$G230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0" s="2">
        <f>LET(id,$A230,code,UPPER(TRIM($D230)),rawStart,$F230,rawEnd,$G230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0" s="2">
        <f>LET(id,$A230,code,UPPER(TRIM($D230)),rawStart,$F230,rawEnd,$G230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0" s="2">
        <f>LET(id,$A230,code,UPPER(TRIM($D230)),rawStart,$F230,rawEnd,$G230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0" s="2">
        <f>LET(id,$A230,code,UPPER(TRIM($D230)),rawStart,$F230,rawEnd,$G230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0" s="2">
        <f>LET(id,$A230,code,UPPER(TRIM($D230)),rawStart,$F230,rawEnd,$G230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0" s="2">
        <f>LET(id,$A230,code,UPPER(TRIM($D230)),rawStart,$F230,rawEnd,$G230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0" s="2">
        <f>LET(id,$A230,code,UPPER(TRIM($D230)),rawStart,$F230,rawEnd,$G230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0" s="2">
        <f>LET(id,$A230,code,UPPER(TRIM($D230)),rawStart,$F230,rawEnd,$G230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30" s="2">
        <f>Calc_Engine!BD230</f>
        <v/>
      </c>
    </row>
    <row r="231">
      <c r="A231" s="2">
        <f>Calc_Engine!A231</f>
        <v/>
      </c>
      <c r="B231" s="2">
        <f>Calc_Engine!B231</f>
        <v/>
      </c>
      <c r="C231" s="2">
        <f>Calc_Engine!C231</f>
        <v/>
      </c>
      <c r="D231" s="2">
        <f>Calc_Engine!D231</f>
        <v/>
      </c>
      <c r="E231" s="4">
        <f>Calc_Engine!E231</f>
        <v/>
      </c>
      <c r="F231" s="5">
        <f>Calc_Engine!F231</f>
        <v/>
      </c>
      <c r="G231" s="5">
        <f>Calc_Engine!G231</f>
        <v/>
      </c>
      <c r="H231" s="2">
        <f>LET(id,$A231,code,UPPER(TRIM($D231)),rawStart,$F231,rawEnd,$G231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1" s="2">
        <f>LET(id,$A231,code,UPPER(TRIM($D231)),rawStart,$F231,rawEnd,$G231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1" s="2">
        <f>LET(id,$A231,code,UPPER(TRIM($D231)),rawStart,$F231,rawEnd,$G231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1" s="2">
        <f>LET(id,$A231,code,UPPER(TRIM($D231)),rawStart,$F231,rawEnd,$G231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1" s="2">
        <f>LET(id,$A231,code,UPPER(TRIM($D231)),rawStart,$F231,rawEnd,$G231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1" s="2">
        <f>LET(id,$A231,code,UPPER(TRIM($D231)),rawStart,$F231,rawEnd,$G231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1" s="2">
        <f>LET(id,$A231,code,UPPER(TRIM($D231)),rawStart,$F231,rawEnd,$G231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1" s="2">
        <f>LET(id,$A231,code,UPPER(TRIM($D231)),rawStart,$F231,rawEnd,$G231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1" s="2">
        <f>LET(id,$A231,code,UPPER(TRIM($D231)),rawStart,$F231,rawEnd,$G231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1" s="2">
        <f>LET(id,$A231,code,UPPER(TRIM($D231)),rawStart,$F231,rawEnd,$G231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1" s="2">
        <f>LET(id,$A231,code,UPPER(TRIM($D231)),rawStart,$F231,rawEnd,$G231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1" s="2">
        <f>LET(id,$A231,code,UPPER(TRIM($D231)),rawStart,$F231,rawEnd,$G231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1" s="2">
        <f>LET(id,$A231,code,UPPER(TRIM($D231)),rawStart,$F231,rawEnd,$G231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1" s="2">
        <f>LET(id,$A231,code,UPPER(TRIM($D231)),rawStart,$F231,rawEnd,$G231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1" s="2">
        <f>LET(id,$A231,code,UPPER(TRIM($D231)),rawStart,$F231,rawEnd,$G231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1" s="2">
        <f>LET(id,$A231,code,UPPER(TRIM($D231)),rawStart,$F231,rawEnd,$G231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1" s="2">
        <f>LET(id,$A231,code,UPPER(TRIM($D231)),rawStart,$F231,rawEnd,$G231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1" s="2">
        <f>LET(id,$A231,code,UPPER(TRIM($D231)),rawStart,$F231,rawEnd,$G231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1" s="2">
        <f>LET(id,$A231,code,UPPER(TRIM($D231)),rawStart,$F231,rawEnd,$G231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1" s="2">
        <f>LET(id,$A231,code,UPPER(TRIM($D231)),rawStart,$F231,rawEnd,$G231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1" s="2">
        <f>LET(id,$A231,code,UPPER(TRIM($D231)),rawStart,$F231,rawEnd,$G231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1" s="2">
        <f>LET(id,$A231,code,UPPER(TRIM($D231)),rawStart,$F231,rawEnd,$G231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1" s="2">
        <f>LET(id,$A231,code,UPPER(TRIM($D231)),rawStart,$F231,rawEnd,$G231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1" s="2">
        <f>LET(id,$A231,code,UPPER(TRIM($D231)),rawStart,$F231,rawEnd,$G231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1" s="2">
        <f>LET(id,$A231,code,UPPER(TRIM($D231)),rawStart,$F231,rawEnd,$G231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1" s="2">
        <f>LET(id,$A231,code,UPPER(TRIM($D231)),rawStart,$F231,rawEnd,$G231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1" s="2">
        <f>LET(id,$A231,code,UPPER(TRIM($D231)),rawStart,$F231,rawEnd,$G231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1" s="2">
        <f>LET(id,$A231,code,UPPER(TRIM($D231)),rawStart,$F231,rawEnd,$G231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1" s="2">
        <f>LET(id,$A231,code,UPPER(TRIM($D231)),rawStart,$F231,rawEnd,$G231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1" s="2">
        <f>LET(id,$A231,code,UPPER(TRIM($D231)),rawStart,$F231,rawEnd,$G231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1" s="2">
        <f>LET(id,$A231,code,UPPER(TRIM($D231)),rawStart,$F231,rawEnd,$G231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1" s="2">
        <f>LET(id,$A231,code,UPPER(TRIM($D231)),rawStart,$F231,rawEnd,$G231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1" s="2">
        <f>LET(id,$A231,code,UPPER(TRIM($D231)),rawStart,$F231,rawEnd,$G231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1" s="2">
        <f>LET(id,$A231,code,UPPER(TRIM($D231)),rawStart,$F231,rawEnd,$G231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1" s="2">
        <f>LET(id,$A231,code,UPPER(TRIM($D231)),rawStart,$F231,rawEnd,$G231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1" s="2">
        <f>LET(id,$A231,code,UPPER(TRIM($D231)),rawStart,$F231,rawEnd,$G231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1" s="2">
        <f>LET(id,$A231,code,UPPER(TRIM($D231)),rawStart,$F231,rawEnd,$G231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1" s="2">
        <f>LET(id,$A231,code,UPPER(TRIM($D231)),rawStart,$F231,rawEnd,$G231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1" s="2">
        <f>LET(id,$A231,code,UPPER(TRIM($D231)),rawStart,$F231,rawEnd,$G231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1" s="2">
        <f>LET(id,$A231,code,UPPER(TRIM($D231)),rawStart,$F231,rawEnd,$G231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1" s="2">
        <f>LET(id,$A231,code,UPPER(TRIM($D231)),rawStart,$F231,rawEnd,$G231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1" s="2">
        <f>LET(id,$A231,code,UPPER(TRIM($D231)),rawStart,$F231,rawEnd,$G231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1" s="2">
        <f>LET(id,$A231,code,UPPER(TRIM($D231)),rawStart,$F231,rawEnd,$G231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1" s="2">
        <f>LET(id,$A231,code,UPPER(TRIM($D231)),rawStart,$F231,rawEnd,$G231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1" s="2">
        <f>LET(id,$A231,code,UPPER(TRIM($D231)),rawStart,$F231,rawEnd,$G231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1" s="2">
        <f>LET(id,$A231,code,UPPER(TRIM($D231)),rawStart,$F231,rawEnd,$G231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1" s="2">
        <f>LET(id,$A231,code,UPPER(TRIM($D231)),rawStart,$F231,rawEnd,$G231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1" s="2">
        <f>LET(id,$A231,code,UPPER(TRIM($D231)),rawStart,$F231,rawEnd,$G231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31" s="2">
        <f>Calc_Engine!BD231</f>
        <v/>
      </c>
    </row>
    <row r="232">
      <c r="A232" s="2">
        <f>Calc_Engine!A232</f>
        <v/>
      </c>
      <c r="B232" s="2">
        <f>Calc_Engine!B232</f>
        <v/>
      </c>
      <c r="C232" s="2">
        <f>Calc_Engine!C232</f>
        <v/>
      </c>
      <c r="D232" s="2">
        <f>Calc_Engine!D232</f>
        <v/>
      </c>
      <c r="E232" s="4">
        <f>Calc_Engine!E232</f>
        <v/>
      </c>
      <c r="F232" s="5">
        <f>Calc_Engine!F232</f>
        <v/>
      </c>
      <c r="G232" s="5">
        <f>Calc_Engine!G232</f>
        <v/>
      </c>
      <c r="H232" s="2">
        <f>LET(id,$A232,code,UPPER(TRIM($D232)),rawStart,$F232,rawEnd,$G232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2" s="2">
        <f>LET(id,$A232,code,UPPER(TRIM($D232)),rawStart,$F232,rawEnd,$G232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2" s="2">
        <f>LET(id,$A232,code,UPPER(TRIM($D232)),rawStart,$F232,rawEnd,$G232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2" s="2">
        <f>LET(id,$A232,code,UPPER(TRIM($D232)),rawStart,$F232,rawEnd,$G232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2" s="2">
        <f>LET(id,$A232,code,UPPER(TRIM($D232)),rawStart,$F232,rawEnd,$G232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2" s="2">
        <f>LET(id,$A232,code,UPPER(TRIM($D232)),rawStart,$F232,rawEnd,$G232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2" s="2">
        <f>LET(id,$A232,code,UPPER(TRIM($D232)),rawStart,$F232,rawEnd,$G232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2" s="2">
        <f>LET(id,$A232,code,UPPER(TRIM($D232)),rawStart,$F232,rawEnd,$G232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2" s="2">
        <f>LET(id,$A232,code,UPPER(TRIM($D232)),rawStart,$F232,rawEnd,$G232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2" s="2">
        <f>LET(id,$A232,code,UPPER(TRIM($D232)),rawStart,$F232,rawEnd,$G232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2" s="2">
        <f>LET(id,$A232,code,UPPER(TRIM($D232)),rawStart,$F232,rawEnd,$G232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2" s="2">
        <f>LET(id,$A232,code,UPPER(TRIM($D232)),rawStart,$F232,rawEnd,$G232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2" s="2">
        <f>LET(id,$A232,code,UPPER(TRIM($D232)),rawStart,$F232,rawEnd,$G232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2" s="2">
        <f>LET(id,$A232,code,UPPER(TRIM($D232)),rawStart,$F232,rawEnd,$G232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2" s="2">
        <f>LET(id,$A232,code,UPPER(TRIM($D232)),rawStart,$F232,rawEnd,$G232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2" s="2">
        <f>LET(id,$A232,code,UPPER(TRIM($D232)),rawStart,$F232,rawEnd,$G232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2" s="2">
        <f>LET(id,$A232,code,UPPER(TRIM($D232)),rawStart,$F232,rawEnd,$G232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2" s="2">
        <f>LET(id,$A232,code,UPPER(TRIM($D232)),rawStart,$F232,rawEnd,$G232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2" s="2">
        <f>LET(id,$A232,code,UPPER(TRIM($D232)),rawStart,$F232,rawEnd,$G232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2" s="2">
        <f>LET(id,$A232,code,UPPER(TRIM($D232)),rawStart,$F232,rawEnd,$G232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2" s="2">
        <f>LET(id,$A232,code,UPPER(TRIM($D232)),rawStart,$F232,rawEnd,$G232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2" s="2">
        <f>LET(id,$A232,code,UPPER(TRIM($D232)),rawStart,$F232,rawEnd,$G232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2" s="2">
        <f>LET(id,$A232,code,UPPER(TRIM($D232)),rawStart,$F232,rawEnd,$G232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2" s="2">
        <f>LET(id,$A232,code,UPPER(TRIM($D232)),rawStart,$F232,rawEnd,$G232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2" s="2">
        <f>LET(id,$A232,code,UPPER(TRIM($D232)),rawStart,$F232,rawEnd,$G232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2" s="2">
        <f>LET(id,$A232,code,UPPER(TRIM($D232)),rawStart,$F232,rawEnd,$G232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2" s="2">
        <f>LET(id,$A232,code,UPPER(TRIM($D232)),rawStart,$F232,rawEnd,$G232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2" s="2">
        <f>LET(id,$A232,code,UPPER(TRIM($D232)),rawStart,$F232,rawEnd,$G232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2" s="2">
        <f>LET(id,$A232,code,UPPER(TRIM($D232)),rawStart,$F232,rawEnd,$G232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2" s="2">
        <f>LET(id,$A232,code,UPPER(TRIM($D232)),rawStart,$F232,rawEnd,$G232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2" s="2">
        <f>LET(id,$A232,code,UPPER(TRIM($D232)),rawStart,$F232,rawEnd,$G232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2" s="2">
        <f>LET(id,$A232,code,UPPER(TRIM($D232)),rawStart,$F232,rawEnd,$G232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2" s="2">
        <f>LET(id,$A232,code,UPPER(TRIM($D232)),rawStart,$F232,rawEnd,$G232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2" s="2">
        <f>LET(id,$A232,code,UPPER(TRIM($D232)),rawStart,$F232,rawEnd,$G232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2" s="2">
        <f>LET(id,$A232,code,UPPER(TRIM($D232)),rawStart,$F232,rawEnd,$G232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2" s="2">
        <f>LET(id,$A232,code,UPPER(TRIM($D232)),rawStart,$F232,rawEnd,$G232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2" s="2">
        <f>LET(id,$A232,code,UPPER(TRIM($D232)),rawStart,$F232,rawEnd,$G232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2" s="2">
        <f>LET(id,$A232,code,UPPER(TRIM($D232)),rawStart,$F232,rawEnd,$G232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2" s="2">
        <f>LET(id,$A232,code,UPPER(TRIM($D232)),rawStart,$F232,rawEnd,$G232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2" s="2">
        <f>LET(id,$A232,code,UPPER(TRIM($D232)),rawStart,$F232,rawEnd,$G232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2" s="2">
        <f>LET(id,$A232,code,UPPER(TRIM($D232)),rawStart,$F232,rawEnd,$G232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2" s="2">
        <f>LET(id,$A232,code,UPPER(TRIM($D232)),rawStart,$F232,rawEnd,$G232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2" s="2">
        <f>LET(id,$A232,code,UPPER(TRIM($D232)),rawStart,$F232,rawEnd,$G232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2" s="2">
        <f>LET(id,$A232,code,UPPER(TRIM($D232)),rawStart,$F232,rawEnd,$G232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2" s="2">
        <f>LET(id,$A232,code,UPPER(TRIM($D232)),rawStart,$F232,rawEnd,$G232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2" s="2">
        <f>LET(id,$A232,code,UPPER(TRIM($D232)),rawStart,$F232,rawEnd,$G232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2" s="2">
        <f>LET(id,$A232,code,UPPER(TRIM($D232)),rawStart,$F232,rawEnd,$G232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2" s="2">
        <f>LET(id,$A232,code,UPPER(TRIM($D232)),rawStart,$F232,rawEnd,$G232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32" s="2">
        <f>Calc_Engine!BD232</f>
        <v/>
      </c>
    </row>
    <row r="233">
      <c r="A233" s="2">
        <f>Calc_Engine!A233</f>
        <v/>
      </c>
      <c r="B233" s="2">
        <f>Calc_Engine!B233</f>
        <v/>
      </c>
      <c r="C233" s="2">
        <f>Calc_Engine!C233</f>
        <v/>
      </c>
      <c r="D233" s="2">
        <f>Calc_Engine!D233</f>
        <v/>
      </c>
      <c r="E233" s="4">
        <f>Calc_Engine!E233</f>
        <v/>
      </c>
      <c r="F233" s="5">
        <f>Calc_Engine!F233</f>
        <v/>
      </c>
      <c r="G233" s="5">
        <f>Calc_Engine!G233</f>
        <v/>
      </c>
      <c r="H233" s="2">
        <f>LET(id,$A233,code,UPPER(TRIM($D233)),rawStart,$F233,rawEnd,$G233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3" s="2">
        <f>LET(id,$A233,code,UPPER(TRIM($D233)),rawStart,$F233,rawEnd,$G233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3" s="2">
        <f>LET(id,$A233,code,UPPER(TRIM($D233)),rawStart,$F233,rawEnd,$G233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3" s="2">
        <f>LET(id,$A233,code,UPPER(TRIM($D233)),rawStart,$F233,rawEnd,$G233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3" s="2">
        <f>LET(id,$A233,code,UPPER(TRIM($D233)),rawStart,$F233,rawEnd,$G233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3" s="2">
        <f>LET(id,$A233,code,UPPER(TRIM($D233)),rawStart,$F233,rawEnd,$G233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3" s="2">
        <f>LET(id,$A233,code,UPPER(TRIM($D233)),rawStart,$F233,rawEnd,$G233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3" s="2">
        <f>LET(id,$A233,code,UPPER(TRIM($D233)),rawStart,$F233,rawEnd,$G233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3" s="2">
        <f>LET(id,$A233,code,UPPER(TRIM($D233)),rawStart,$F233,rawEnd,$G233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3" s="2">
        <f>LET(id,$A233,code,UPPER(TRIM($D233)),rawStart,$F233,rawEnd,$G233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3" s="2">
        <f>LET(id,$A233,code,UPPER(TRIM($D233)),rawStart,$F233,rawEnd,$G233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3" s="2">
        <f>LET(id,$A233,code,UPPER(TRIM($D233)),rawStart,$F233,rawEnd,$G233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3" s="2">
        <f>LET(id,$A233,code,UPPER(TRIM($D233)),rawStart,$F233,rawEnd,$G233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3" s="2">
        <f>LET(id,$A233,code,UPPER(TRIM($D233)),rawStart,$F233,rawEnd,$G233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3" s="2">
        <f>LET(id,$A233,code,UPPER(TRIM($D233)),rawStart,$F233,rawEnd,$G233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3" s="2">
        <f>LET(id,$A233,code,UPPER(TRIM($D233)),rawStart,$F233,rawEnd,$G233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3" s="2">
        <f>LET(id,$A233,code,UPPER(TRIM($D233)),rawStart,$F233,rawEnd,$G233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3" s="2">
        <f>LET(id,$A233,code,UPPER(TRIM($D233)),rawStart,$F233,rawEnd,$G233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3" s="2">
        <f>LET(id,$A233,code,UPPER(TRIM($D233)),rawStart,$F233,rawEnd,$G233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3" s="2">
        <f>LET(id,$A233,code,UPPER(TRIM($D233)),rawStart,$F233,rawEnd,$G233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3" s="2">
        <f>LET(id,$A233,code,UPPER(TRIM($D233)),rawStart,$F233,rawEnd,$G233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3" s="2">
        <f>LET(id,$A233,code,UPPER(TRIM($D233)),rawStart,$F233,rawEnd,$G233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3" s="2">
        <f>LET(id,$A233,code,UPPER(TRIM($D233)),rawStart,$F233,rawEnd,$G233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3" s="2">
        <f>LET(id,$A233,code,UPPER(TRIM($D233)),rawStart,$F233,rawEnd,$G233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3" s="2">
        <f>LET(id,$A233,code,UPPER(TRIM($D233)),rawStart,$F233,rawEnd,$G233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3" s="2">
        <f>LET(id,$A233,code,UPPER(TRIM($D233)),rawStart,$F233,rawEnd,$G233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3" s="2">
        <f>LET(id,$A233,code,UPPER(TRIM($D233)),rawStart,$F233,rawEnd,$G233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3" s="2">
        <f>LET(id,$A233,code,UPPER(TRIM($D233)),rawStart,$F233,rawEnd,$G233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3" s="2">
        <f>LET(id,$A233,code,UPPER(TRIM($D233)),rawStart,$F233,rawEnd,$G233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3" s="2">
        <f>LET(id,$A233,code,UPPER(TRIM($D233)),rawStart,$F233,rawEnd,$G233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3" s="2">
        <f>LET(id,$A233,code,UPPER(TRIM($D233)),rawStart,$F233,rawEnd,$G233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3" s="2">
        <f>LET(id,$A233,code,UPPER(TRIM($D233)),rawStart,$F233,rawEnd,$G233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3" s="2">
        <f>LET(id,$A233,code,UPPER(TRIM($D233)),rawStart,$F233,rawEnd,$G233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3" s="2">
        <f>LET(id,$A233,code,UPPER(TRIM($D233)),rawStart,$F233,rawEnd,$G233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3" s="2">
        <f>LET(id,$A233,code,UPPER(TRIM($D233)),rawStart,$F233,rawEnd,$G233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3" s="2">
        <f>LET(id,$A233,code,UPPER(TRIM($D233)),rawStart,$F233,rawEnd,$G233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3" s="2">
        <f>LET(id,$A233,code,UPPER(TRIM($D233)),rawStart,$F233,rawEnd,$G233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3" s="2">
        <f>LET(id,$A233,code,UPPER(TRIM($D233)),rawStart,$F233,rawEnd,$G233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3" s="2">
        <f>LET(id,$A233,code,UPPER(TRIM($D233)),rawStart,$F233,rawEnd,$G233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3" s="2">
        <f>LET(id,$A233,code,UPPER(TRIM($D233)),rawStart,$F233,rawEnd,$G233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3" s="2">
        <f>LET(id,$A233,code,UPPER(TRIM($D233)),rawStart,$F233,rawEnd,$G233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3" s="2">
        <f>LET(id,$A233,code,UPPER(TRIM($D233)),rawStart,$F233,rawEnd,$G233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3" s="2">
        <f>LET(id,$A233,code,UPPER(TRIM($D233)),rawStart,$F233,rawEnd,$G233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3" s="2">
        <f>LET(id,$A233,code,UPPER(TRIM($D233)),rawStart,$F233,rawEnd,$G233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3" s="2">
        <f>LET(id,$A233,code,UPPER(TRIM($D233)),rawStart,$F233,rawEnd,$G233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3" s="2">
        <f>LET(id,$A233,code,UPPER(TRIM($D233)),rawStart,$F233,rawEnd,$G233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3" s="2">
        <f>LET(id,$A233,code,UPPER(TRIM($D233)),rawStart,$F233,rawEnd,$G233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3" s="2">
        <f>LET(id,$A233,code,UPPER(TRIM($D233)),rawStart,$F233,rawEnd,$G233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33" s="2">
        <f>Calc_Engine!BD233</f>
        <v/>
      </c>
    </row>
    <row r="234">
      <c r="A234" s="2">
        <f>Calc_Engine!A234</f>
        <v/>
      </c>
      <c r="B234" s="2">
        <f>Calc_Engine!B234</f>
        <v/>
      </c>
      <c r="C234" s="2">
        <f>Calc_Engine!C234</f>
        <v/>
      </c>
      <c r="D234" s="2">
        <f>Calc_Engine!D234</f>
        <v/>
      </c>
      <c r="E234" s="4">
        <f>Calc_Engine!E234</f>
        <v/>
      </c>
      <c r="F234" s="5">
        <f>Calc_Engine!F234</f>
        <v/>
      </c>
      <c r="G234" s="5">
        <f>Calc_Engine!G234</f>
        <v/>
      </c>
      <c r="H234" s="2">
        <f>LET(id,$A234,code,UPPER(TRIM($D234)),rawStart,$F234,rawEnd,$G234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4" s="2">
        <f>LET(id,$A234,code,UPPER(TRIM($D234)),rawStart,$F234,rawEnd,$G234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4" s="2">
        <f>LET(id,$A234,code,UPPER(TRIM($D234)),rawStart,$F234,rawEnd,$G234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4" s="2">
        <f>LET(id,$A234,code,UPPER(TRIM($D234)),rawStart,$F234,rawEnd,$G234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4" s="2">
        <f>LET(id,$A234,code,UPPER(TRIM($D234)),rawStart,$F234,rawEnd,$G234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4" s="2">
        <f>LET(id,$A234,code,UPPER(TRIM($D234)),rawStart,$F234,rawEnd,$G234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4" s="2">
        <f>LET(id,$A234,code,UPPER(TRIM($D234)),rawStart,$F234,rawEnd,$G234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4" s="2">
        <f>LET(id,$A234,code,UPPER(TRIM($D234)),rawStart,$F234,rawEnd,$G234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4" s="2">
        <f>LET(id,$A234,code,UPPER(TRIM($D234)),rawStart,$F234,rawEnd,$G234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4" s="2">
        <f>LET(id,$A234,code,UPPER(TRIM($D234)),rawStart,$F234,rawEnd,$G234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4" s="2">
        <f>LET(id,$A234,code,UPPER(TRIM($D234)),rawStart,$F234,rawEnd,$G234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4" s="2">
        <f>LET(id,$A234,code,UPPER(TRIM($D234)),rawStart,$F234,rawEnd,$G234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4" s="2">
        <f>LET(id,$A234,code,UPPER(TRIM($D234)),rawStart,$F234,rawEnd,$G234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4" s="2">
        <f>LET(id,$A234,code,UPPER(TRIM($D234)),rawStart,$F234,rawEnd,$G234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4" s="2">
        <f>LET(id,$A234,code,UPPER(TRIM($D234)),rawStart,$F234,rawEnd,$G234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4" s="2">
        <f>LET(id,$A234,code,UPPER(TRIM($D234)),rawStart,$F234,rawEnd,$G234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4" s="2">
        <f>LET(id,$A234,code,UPPER(TRIM($D234)),rawStart,$F234,rawEnd,$G234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4" s="2">
        <f>LET(id,$A234,code,UPPER(TRIM($D234)),rawStart,$F234,rawEnd,$G234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4" s="2">
        <f>LET(id,$A234,code,UPPER(TRIM($D234)),rawStart,$F234,rawEnd,$G234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4" s="2">
        <f>LET(id,$A234,code,UPPER(TRIM($D234)),rawStart,$F234,rawEnd,$G234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4" s="2">
        <f>LET(id,$A234,code,UPPER(TRIM($D234)),rawStart,$F234,rawEnd,$G234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4" s="2">
        <f>LET(id,$A234,code,UPPER(TRIM($D234)),rawStart,$F234,rawEnd,$G234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4" s="2">
        <f>LET(id,$A234,code,UPPER(TRIM($D234)),rawStart,$F234,rawEnd,$G234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4" s="2">
        <f>LET(id,$A234,code,UPPER(TRIM($D234)),rawStart,$F234,rawEnd,$G234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4" s="2">
        <f>LET(id,$A234,code,UPPER(TRIM($D234)),rawStart,$F234,rawEnd,$G234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4" s="2">
        <f>LET(id,$A234,code,UPPER(TRIM($D234)),rawStart,$F234,rawEnd,$G234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4" s="2">
        <f>LET(id,$A234,code,UPPER(TRIM($D234)),rawStart,$F234,rawEnd,$G234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4" s="2">
        <f>LET(id,$A234,code,UPPER(TRIM($D234)),rawStart,$F234,rawEnd,$G234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4" s="2">
        <f>LET(id,$A234,code,UPPER(TRIM($D234)),rawStart,$F234,rawEnd,$G234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4" s="2">
        <f>LET(id,$A234,code,UPPER(TRIM($D234)),rawStart,$F234,rawEnd,$G234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4" s="2">
        <f>LET(id,$A234,code,UPPER(TRIM($D234)),rawStart,$F234,rawEnd,$G234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4" s="2">
        <f>LET(id,$A234,code,UPPER(TRIM($D234)),rawStart,$F234,rawEnd,$G234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4" s="2">
        <f>LET(id,$A234,code,UPPER(TRIM($D234)),rawStart,$F234,rawEnd,$G234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4" s="2">
        <f>LET(id,$A234,code,UPPER(TRIM($D234)),rawStart,$F234,rawEnd,$G234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4" s="2">
        <f>LET(id,$A234,code,UPPER(TRIM($D234)),rawStart,$F234,rawEnd,$G234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4" s="2">
        <f>LET(id,$A234,code,UPPER(TRIM($D234)),rawStart,$F234,rawEnd,$G234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4" s="2">
        <f>LET(id,$A234,code,UPPER(TRIM($D234)),rawStart,$F234,rawEnd,$G234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4" s="2">
        <f>LET(id,$A234,code,UPPER(TRIM($D234)),rawStart,$F234,rawEnd,$G234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4" s="2">
        <f>LET(id,$A234,code,UPPER(TRIM($D234)),rawStart,$F234,rawEnd,$G234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4" s="2">
        <f>LET(id,$A234,code,UPPER(TRIM($D234)),rawStart,$F234,rawEnd,$G234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4" s="2">
        <f>LET(id,$A234,code,UPPER(TRIM($D234)),rawStart,$F234,rawEnd,$G234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4" s="2">
        <f>LET(id,$A234,code,UPPER(TRIM($D234)),rawStart,$F234,rawEnd,$G234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4" s="2">
        <f>LET(id,$A234,code,UPPER(TRIM($D234)),rawStart,$F234,rawEnd,$G234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4" s="2">
        <f>LET(id,$A234,code,UPPER(TRIM($D234)),rawStart,$F234,rawEnd,$G234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4" s="2">
        <f>LET(id,$A234,code,UPPER(TRIM($D234)),rawStart,$F234,rawEnd,$G234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4" s="2">
        <f>LET(id,$A234,code,UPPER(TRIM($D234)),rawStart,$F234,rawEnd,$G234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4" s="2">
        <f>LET(id,$A234,code,UPPER(TRIM($D234)),rawStart,$F234,rawEnd,$G234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4" s="2">
        <f>LET(id,$A234,code,UPPER(TRIM($D234)),rawStart,$F234,rawEnd,$G234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34" s="2">
        <f>Calc_Engine!BD234</f>
        <v/>
      </c>
    </row>
    <row r="235">
      <c r="A235" s="2">
        <f>Calc_Engine!A235</f>
        <v/>
      </c>
      <c r="B235" s="2">
        <f>Calc_Engine!B235</f>
        <v/>
      </c>
      <c r="C235" s="2">
        <f>Calc_Engine!C235</f>
        <v/>
      </c>
      <c r="D235" s="2">
        <f>Calc_Engine!D235</f>
        <v/>
      </c>
      <c r="E235" s="4">
        <f>Calc_Engine!E235</f>
        <v/>
      </c>
      <c r="F235" s="5">
        <f>Calc_Engine!F235</f>
        <v/>
      </c>
      <c r="G235" s="5">
        <f>Calc_Engine!G235</f>
        <v/>
      </c>
      <c r="H235" s="2">
        <f>LET(id,$A235,code,UPPER(TRIM($D235)),rawStart,$F235,rawEnd,$G235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5" s="2">
        <f>LET(id,$A235,code,UPPER(TRIM($D235)),rawStart,$F235,rawEnd,$G235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5" s="2">
        <f>LET(id,$A235,code,UPPER(TRIM($D235)),rawStart,$F235,rawEnd,$G235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5" s="2">
        <f>LET(id,$A235,code,UPPER(TRIM($D235)),rawStart,$F235,rawEnd,$G235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5" s="2">
        <f>LET(id,$A235,code,UPPER(TRIM($D235)),rawStart,$F235,rawEnd,$G235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5" s="2">
        <f>LET(id,$A235,code,UPPER(TRIM($D235)),rawStart,$F235,rawEnd,$G235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5" s="2">
        <f>LET(id,$A235,code,UPPER(TRIM($D235)),rawStart,$F235,rawEnd,$G235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5" s="2">
        <f>LET(id,$A235,code,UPPER(TRIM($D235)),rawStart,$F235,rawEnd,$G235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5" s="2">
        <f>LET(id,$A235,code,UPPER(TRIM($D235)),rawStart,$F235,rawEnd,$G235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5" s="2">
        <f>LET(id,$A235,code,UPPER(TRIM($D235)),rawStart,$F235,rawEnd,$G235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5" s="2">
        <f>LET(id,$A235,code,UPPER(TRIM($D235)),rawStart,$F235,rawEnd,$G235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5" s="2">
        <f>LET(id,$A235,code,UPPER(TRIM($D235)),rawStart,$F235,rawEnd,$G235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5" s="2">
        <f>LET(id,$A235,code,UPPER(TRIM($D235)),rawStart,$F235,rawEnd,$G235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5" s="2">
        <f>LET(id,$A235,code,UPPER(TRIM($D235)),rawStart,$F235,rawEnd,$G235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5" s="2">
        <f>LET(id,$A235,code,UPPER(TRIM($D235)),rawStart,$F235,rawEnd,$G235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5" s="2">
        <f>LET(id,$A235,code,UPPER(TRIM($D235)),rawStart,$F235,rawEnd,$G235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5" s="2">
        <f>LET(id,$A235,code,UPPER(TRIM($D235)),rawStart,$F235,rawEnd,$G235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5" s="2">
        <f>LET(id,$A235,code,UPPER(TRIM($D235)),rawStart,$F235,rawEnd,$G235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5" s="2">
        <f>LET(id,$A235,code,UPPER(TRIM($D235)),rawStart,$F235,rawEnd,$G235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5" s="2">
        <f>LET(id,$A235,code,UPPER(TRIM($D235)),rawStart,$F235,rawEnd,$G235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5" s="2">
        <f>LET(id,$A235,code,UPPER(TRIM($D235)),rawStart,$F235,rawEnd,$G235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5" s="2">
        <f>LET(id,$A235,code,UPPER(TRIM($D235)),rawStart,$F235,rawEnd,$G235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5" s="2">
        <f>LET(id,$A235,code,UPPER(TRIM($D235)),rawStart,$F235,rawEnd,$G235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5" s="2">
        <f>LET(id,$A235,code,UPPER(TRIM($D235)),rawStart,$F235,rawEnd,$G235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5" s="2">
        <f>LET(id,$A235,code,UPPER(TRIM($D235)),rawStart,$F235,rawEnd,$G235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5" s="2">
        <f>LET(id,$A235,code,UPPER(TRIM($D235)),rawStart,$F235,rawEnd,$G235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5" s="2">
        <f>LET(id,$A235,code,UPPER(TRIM($D235)),rawStart,$F235,rawEnd,$G235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5" s="2">
        <f>LET(id,$A235,code,UPPER(TRIM($D235)),rawStart,$F235,rawEnd,$G235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5" s="2">
        <f>LET(id,$A235,code,UPPER(TRIM($D235)),rawStart,$F235,rawEnd,$G235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5" s="2">
        <f>LET(id,$A235,code,UPPER(TRIM($D235)),rawStart,$F235,rawEnd,$G235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5" s="2">
        <f>LET(id,$A235,code,UPPER(TRIM($D235)),rawStart,$F235,rawEnd,$G235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5" s="2">
        <f>LET(id,$A235,code,UPPER(TRIM($D235)),rawStart,$F235,rawEnd,$G235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5" s="2">
        <f>LET(id,$A235,code,UPPER(TRIM($D235)),rawStart,$F235,rawEnd,$G235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5" s="2">
        <f>LET(id,$A235,code,UPPER(TRIM($D235)),rawStart,$F235,rawEnd,$G235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5" s="2">
        <f>LET(id,$A235,code,UPPER(TRIM($D235)),rawStart,$F235,rawEnd,$G235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5" s="2">
        <f>LET(id,$A235,code,UPPER(TRIM($D235)),rawStart,$F235,rawEnd,$G235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5" s="2">
        <f>LET(id,$A235,code,UPPER(TRIM($D235)),rawStart,$F235,rawEnd,$G235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5" s="2">
        <f>LET(id,$A235,code,UPPER(TRIM($D235)),rawStart,$F235,rawEnd,$G235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5" s="2">
        <f>LET(id,$A235,code,UPPER(TRIM($D235)),rawStart,$F235,rawEnd,$G235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5" s="2">
        <f>LET(id,$A235,code,UPPER(TRIM($D235)),rawStart,$F235,rawEnd,$G235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5" s="2">
        <f>LET(id,$A235,code,UPPER(TRIM($D235)),rawStart,$F235,rawEnd,$G235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5" s="2">
        <f>LET(id,$A235,code,UPPER(TRIM($D235)),rawStart,$F235,rawEnd,$G235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5" s="2">
        <f>LET(id,$A235,code,UPPER(TRIM($D235)),rawStart,$F235,rawEnd,$G235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5" s="2">
        <f>LET(id,$A235,code,UPPER(TRIM($D235)),rawStart,$F235,rawEnd,$G235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5" s="2">
        <f>LET(id,$A235,code,UPPER(TRIM($D235)),rawStart,$F235,rawEnd,$G235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5" s="2">
        <f>LET(id,$A235,code,UPPER(TRIM($D235)),rawStart,$F235,rawEnd,$G235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5" s="2">
        <f>LET(id,$A235,code,UPPER(TRIM($D235)),rawStart,$F235,rawEnd,$G235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5" s="2">
        <f>LET(id,$A235,code,UPPER(TRIM($D235)),rawStart,$F235,rawEnd,$G235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35" s="2">
        <f>Calc_Engine!BD235</f>
        <v/>
      </c>
    </row>
    <row r="236">
      <c r="A236" s="2">
        <f>Calc_Engine!A236</f>
        <v/>
      </c>
      <c r="B236" s="2">
        <f>Calc_Engine!B236</f>
        <v/>
      </c>
      <c r="C236" s="2">
        <f>Calc_Engine!C236</f>
        <v/>
      </c>
      <c r="D236" s="2">
        <f>Calc_Engine!D236</f>
        <v/>
      </c>
      <c r="E236" s="4">
        <f>Calc_Engine!E236</f>
        <v/>
      </c>
      <c r="F236" s="5">
        <f>Calc_Engine!F236</f>
        <v/>
      </c>
      <c r="G236" s="5">
        <f>Calc_Engine!G236</f>
        <v/>
      </c>
      <c r="H236" s="2">
        <f>LET(id,$A236,code,UPPER(TRIM($D236)),rawStart,$F236,rawEnd,$G236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6" s="2">
        <f>LET(id,$A236,code,UPPER(TRIM($D236)),rawStart,$F236,rawEnd,$G236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6" s="2">
        <f>LET(id,$A236,code,UPPER(TRIM($D236)),rawStart,$F236,rawEnd,$G236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6" s="2">
        <f>LET(id,$A236,code,UPPER(TRIM($D236)),rawStart,$F236,rawEnd,$G236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6" s="2">
        <f>LET(id,$A236,code,UPPER(TRIM($D236)),rawStart,$F236,rawEnd,$G236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6" s="2">
        <f>LET(id,$A236,code,UPPER(TRIM($D236)),rawStart,$F236,rawEnd,$G236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6" s="2">
        <f>LET(id,$A236,code,UPPER(TRIM($D236)),rawStart,$F236,rawEnd,$G236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6" s="2">
        <f>LET(id,$A236,code,UPPER(TRIM($D236)),rawStart,$F236,rawEnd,$G236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6" s="2">
        <f>LET(id,$A236,code,UPPER(TRIM($D236)),rawStart,$F236,rawEnd,$G236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6" s="2">
        <f>LET(id,$A236,code,UPPER(TRIM($D236)),rawStart,$F236,rawEnd,$G236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6" s="2">
        <f>LET(id,$A236,code,UPPER(TRIM($D236)),rawStart,$F236,rawEnd,$G236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6" s="2">
        <f>LET(id,$A236,code,UPPER(TRIM($D236)),rawStart,$F236,rawEnd,$G236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6" s="2">
        <f>LET(id,$A236,code,UPPER(TRIM($D236)),rawStart,$F236,rawEnd,$G236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6" s="2">
        <f>LET(id,$A236,code,UPPER(TRIM($D236)),rawStart,$F236,rawEnd,$G236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6" s="2">
        <f>LET(id,$A236,code,UPPER(TRIM($D236)),rawStart,$F236,rawEnd,$G236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6" s="2">
        <f>LET(id,$A236,code,UPPER(TRIM($D236)),rawStart,$F236,rawEnd,$G236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6" s="2">
        <f>LET(id,$A236,code,UPPER(TRIM($D236)),rawStart,$F236,rawEnd,$G236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6" s="2">
        <f>LET(id,$A236,code,UPPER(TRIM($D236)),rawStart,$F236,rawEnd,$G236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6" s="2">
        <f>LET(id,$A236,code,UPPER(TRIM($D236)),rawStart,$F236,rawEnd,$G236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6" s="2">
        <f>LET(id,$A236,code,UPPER(TRIM($D236)),rawStart,$F236,rawEnd,$G236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6" s="2">
        <f>LET(id,$A236,code,UPPER(TRIM($D236)),rawStart,$F236,rawEnd,$G236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6" s="2">
        <f>LET(id,$A236,code,UPPER(TRIM($D236)),rawStart,$F236,rawEnd,$G236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6" s="2">
        <f>LET(id,$A236,code,UPPER(TRIM($D236)),rawStart,$F236,rawEnd,$G236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6" s="2">
        <f>LET(id,$A236,code,UPPER(TRIM($D236)),rawStart,$F236,rawEnd,$G236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6" s="2">
        <f>LET(id,$A236,code,UPPER(TRIM($D236)),rawStart,$F236,rawEnd,$G236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6" s="2">
        <f>LET(id,$A236,code,UPPER(TRIM($D236)),rawStart,$F236,rawEnd,$G236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6" s="2">
        <f>LET(id,$A236,code,UPPER(TRIM($D236)),rawStart,$F236,rawEnd,$G236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6" s="2">
        <f>LET(id,$A236,code,UPPER(TRIM($D236)),rawStart,$F236,rawEnd,$G236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6" s="2">
        <f>LET(id,$A236,code,UPPER(TRIM($D236)),rawStart,$F236,rawEnd,$G236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6" s="2">
        <f>LET(id,$A236,code,UPPER(TRIM($D236)),rawStart,$F236,rawEnd,$G236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6" s="2">
        <f>LET(id,$A236,code,UPPER(TRIM($D236)),rawStart,$F236,rawEnd,$G236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6" s="2">
        <f>LET(id,$A236,code,UPPER(TRIM($D236)),rawStart,$F236,rawEnd,$G236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6" s="2">
        <f>LET(id,$A236,code,UPPER(TRIM($D236)),rawStart,$F236,rawEnd,$G236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6" s="2">
        <f>LET(id,$A236,code,UPPER(TRIM($D236)),rawStart,$F236,rawEnd,$G236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6" s="2">
        <f>LET(id,$A236,code,UPPER(TRIM($D236)),rawStart,$F236,rawEnd,$G236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6" s="2">
        <f>LET(id,$A236,code,UPPER(TRIM($D236)),rawStart,$F236,rawEnd,$G236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6" s="2">
        <f>LET(id,$A236,code,UPPER(TRIM($D236)),rawStart,$F236,rawEnd,$G236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6" s="2">
        <f>LET(id,$A236,code,UPPER(TRIM($D236)),rawStart,$F236,rawEnd,$G236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6" s="2">
        <f>LET(id,$A236,code,UPPER(TRIM($D236)),rawStart,$F236,rawEnd,$G236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6" s="2">
        <f>LET(id,$A236,code,UPPER(TRIM($D236)),rawStart,$F236,rawEnd,$G236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6" s="2">
        <f>LET(id,$A236,code,UPPER(TRIM($D236)),rawStart,$F236,rawEnd,$G236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6" s="2">
        <f>LET(id,$A236,code,UPPER(TRIM($D236)),rawStart,$F236,rawEnd,$G236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6" s="2">
        <f>LET(id,$A236,code,UPPER(TRIM($D236)),rawStart,$F236,rawEnd,$G236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6" s="2">
        <f>LET(id,$A236,code,UPPER(TRIM($D236)),rawStart,$F236,rawEnd,$G236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6" s="2">
        <f>LET(id,$A236,code,UPPER(TRIM($D236)),rawStart,$F236,rawEnd,$G236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6" s="2">
        <f>LET(id,$A236,code,UPPER(TRIM($D236)),rawStart,$F236,rawEnd,$G236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6" s="2">
        <f>LET(id,$A236,code,UPPER(TRIM($D236)),rawStart,$F236,rawEnd,$G236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6" s="2">
        <f>LET(id,$A236,code,UPPER(TRIM($D236)),rawStart,$F236,rawEnd,$G236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36" s="2">
        <f>Calc_Engine!BD236</f>
        <v/>
      </c>
    </row>
    <row r="237">
      <c r="A237" s="2">
        <f>Calc_Engine!A237</f>
        <v/>
      </c>
      <c r="B237" s="2">
        <f>Calc_Engine!B237</f>
        <v/>
      </c>
      <c r="C237" s="2">
        <f>Calc_Engine!C237</f>
        <v/>
      </c>
      <c r="D237" s="2">
        <f>Calc_Engine!D237</f>
        <v/>
      </c>
      <c r="E237" s="4">
        <f>Calc_Engine!E237</f>
        <v/>
      </c>
      <c r="F237" s="5">
        <f>Calc_Engine!F237</f>
        <v/>
      </c>
      <c r="G237" s="5">
        <f>Calc_Engine!G237</f>
        <v/>
      </c>
      <c r="H237" s="2">
        <f>LET(id,$A237,code,UPPER(TRIM($D237)),rawStart,$F237,rawEnd,$G237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7" s="2">
        <f>LET(id,$A237,code,UPPER(TRIM($D237)),rawStart,$F237,rawEnd,$G237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7" s="2">
        <f>LET(id,$A237,code,UPPER(TRIM($D237)),rawStart,$F237,rawEnd,$G237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7" s="2">
        <f>LET(id,$A237,code,UPPER(TRIM($D237)),rawStart,$F237,rawEnd,$G237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7" s="2">
        <f>LET(id,$A237,code,UPPER(TRIM($D237)),rawStart,$F237,rawEnd,$G237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7" s="2">
        <f>LET(id,$A237,code,UPPER(TRIM($D237)),rawStart,$F237,rawEnd,$G237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7" s="2">
        <f>LET(id,$A237,code,UPPER(TRIM($D237)),rawStart,$F237,rawEnd,$G237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7" s="2">
        <f>LET(id,$A237,code,UPPER(TRIM($D237)),rawStart,$F237,rawEnd,$G237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7" s="2">
        <f>LET(id,$A237,code,UPPER(TRIM($D237)),rawStart,$F237,rawEnd,$G237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7" s="2">
        <f>LET(id,$A237,code,UPPER(TRIM($D237)),rawStart,$F237,rawEnd,$G237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7" s="2">
        <f>LET(id,$A237,code,UPPER(TRIM($D237)),rawStart,$F237,rawEnd,$G237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7" s="2">
        <f>LET(id,$A237,code,UPPER(TRIM($D237)),rawStart,$F237,rawEnd,$G237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7" s="2">
        <f>LET(id,$A237,code,UPPER(TRIM($D237)),rawStart,$F237,rawEnd,$G237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7" s="2">
        <f>LET(id,$A237,code,UPPER(TRIM($D237)),rawStart,$F237,rawEnd,$G237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7" s="2">
        <f>LET(id,$A237,code,UPPER(TRIM($D237)),rawStart,$F237,rawEnd,$G237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7" s="2">
        <f>LET(id,$A237,code,UPPER(TRIM($D237)),rawStart,$F237,rawEnd,$G237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7" s="2">
        <f>LET(id,$A237,code,UPPER(TRIM($D237)),rawStart,$F237,rawEnd,$G237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7" s="2">
        <f>LET(id,$A237,code,UPPER(TRIM($D237)),rawStart,$F237,rawEnd,$G237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7" s="2">
        <f>LET(id,$A237,code,UPPER(TRIM($D237)),rawStart,$F237,rawEnd,$G237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7" s="2">
        <f>LET(id,$A237,code,UPPER(TRIM($D237)),rawStart,$F237,rawEnd,$G237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7" s="2">
        <f>LET(id,$A237,code,UPPER(TRIM($D237)),rawStart,$F237,rawEnd,$G237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7" s="2">
        <f>LET(id,$A237,code,UPPER(TRIM($D237)),rawStart,$F237,rawEnd,$G237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7" s="2">
        <f>LET(id,$A237,code,UPPER(TRIM($D237)),rawStart,$F237,rawEnd,$G237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7" s="2">
        <f>LET(id,$A237,code,UPPER(TRIM($D237)),rawStart,$F237,rawEnd,$G237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7" s="2">
        <f>LET(id,$A237,code,UPPER(TRIM($D237)),rawStart,$F237,rawEnd,$G237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7" s="2">
        <f>LET(id,$A237,code,UPPER(TRIM($D237)),rawStart,$F237,rawEnd,$G237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7" s="2">
        <f>LET(id,$A237,code,UPPER(TRIM($D237)),rawStart,$F237,rawEnd,$G237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7" s="2">
        <f>LET(id,$A237,code,UPPER(TRIM($D237)),rawStart,$F237,rawEnd,$G237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7" s="2">
        <f>LET(id,$A237,code,UPPER(TRIM($D237)),rawStart,$F237,rawEnd,$G237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7" s="2">
        <f>LET(id,$A237,code,UPPER(TRIM($D237)),rawStart,$F237,rawEnd,$G237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7" s="2">
        <f>LET(id,$A237,code,UPPER(TRIM($D237)),rawStart,$F237,rawEnd,$G237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7" s="2">
        <f>LET(id,$A237,code,UPPER(TRIM($D237)),rawStart,$F237,rawEnd,$G237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7" s="2">
        <f>LET(id,$A237,code,UPPER(TRIM($D237)),rawStart,$F237,rawEnd,$G237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7" s="2">
        <f>LET(id,$A237,code,UPPER(TRIM($D237)),rawStart,$F237,rawEnd,$G237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7" s="2">
        <f>LET(id,$A237,code,UPPER(TRIM($D237)),rawStart,$F237,rawEnd,$G237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7" s="2">
        <f>LET(id,$A237,code,UPPER(TRIM($D237)),rawStart,$F237,rawEnd,$G237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7" s="2">
        <f>LET(id,$A237,code,UPPER(TRIM($D237)),rawStart,$F237,rawEnd,$G237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7" s="2">
        <f>LET(id,$A237,code,UPPER(TRIM($D237)),rawStart,$F237,rawEnd,$G237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7" s="2">
        <f>LET(id,$A237,code,UPPER(TRIM($D237)),rawStart,$F237,rawEnd,$G237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7" s="2">
        <f>LET(id,$A237,code,UPPER(TRIM($D237)),rawStart,$F237,rawEnd,$G237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7" s="2">
        <f>LET(id,$A237,code,UPPER(TRIM($D237)),rawStart,$F237,rawEnd,$G237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7" s="2">
        <f>LET(id,$A237,code,UPPER(TRIM($D237)),rawStart,$F237,rawEnd,$G237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7" s="2">
        <f>LET(id,$A237,code,UPPER(TRIM($D237)),rawStart,$F237,rawEnd,$G237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7" s="2">
        <f>LET(id,$A237,code,UPPER(TRIM($D237)),rawStart,$F237,rawEnd,$G237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7" s="2">
        <f>LET(id,$A237,code,UPPER(TRIM($D237)),rawStart,$F237,rawEnd,$G237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7" s="2">
        <f>LET(id,$A237,code,UPPER(TRIM($D237)),rawStart,$F237,rawEnd,$G237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7" s="2">
        <f>LET(id,$A237,code,UPPER(TRIM($D237)),rawStart,$F237,rawEnd,$G237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7" s="2">
        <f>LET(id,$A237,code,UPPER(TRIM($D237)),rawStart,$F237,rawEnd,$G237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37" s="2">
        <f>Calc_Engine!BD237</f>
        <v/>
      </c>
    </row>
    <row r="238">
      <c r="A238" s="2">
        <f>Calc_Engine!A238</f>
        <v/>
      </c>
      <c r="B238" s="2">
        <f>Calc_Engine!B238</f>
        <v/>
      </c>
      <c r="C238" s="2">
        <f>Calc_Engine!C238</f>
        <v/>
      </c>
      <c r="D238" s="2">
        <f>Calc_Engine!D238</f>
        <v/>
      </c>
      <c r="E238" s="4">
        <f>Calc_Engine!E238</f>
        <v/>
      </c>
      <c r="F238" s="5">
        <f>Calc_Engine!F238</f>
        <v/>
      </c>
      <c r="G238" s="5">
        <f>Calc_Engine!G238</f>
        <v/>
      </c>
      <c r="H238" s="2">
        <f>LET(id,$A238,code,UPPER(TRIM($D238)),rawStart,$F238,rawEnd,$G238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8" s="2">
        <f>LET(id,$A238,code,UPPER(TRIM($D238)),rawStart,$F238,rawEnd,$G238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8" s="2">
        <f>LET(id,$A238,code,UPPER(TRIM($D238)),rawStart,$F238,rawEnd,$G238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8" s="2">
        <f>LET(id,$A238,code,UPPER(TRIM($D238)),rawStart,$F238,rawEnd,$G238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8" s="2">
        <f>LET(id,$A238,code,UPPER(TRIM($D238)),rawStart,$F238,rawEnd,$G238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8" s="2">
        <f>LET(id,$A238,code,UPPER(TRIM($D238)),rawStart,$F238,rawEnd,$G238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8" s="2">
        <f>LET(id,$A238,code,UPPER(TRIM($D238)),rawStart,$F238,rawEnd,$G238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8" s="2">
        <f>LET(id,$A238,code,UPPER(TRIM($D238)),rawStart,$F238,rawEnd,$G238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8" s="2">
        <f>LET(id,$A238,code,UPPER(TRIM($D238)),rawStart,$F238,rawEnd,$G238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8" s="2">
        <f>LET(id,$A238,code,UPPER(TRIM($D238)),rawStart,$F238,rawEnd,$G238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8" s="2">
        <f>LET(id,$A238,code,UPPER(TRIM($D238)),rawStart,$F238,rawEnd,$G238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8" s="2">
        <f>LET(id,$A238,code,UPPER(TRIM($D238)),rawStart,$F238,rawEnd,$G238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8" s="2">
        <f>LET(id,$A238,code,UPPER(TRIM($D238)),rawStart,$F238,rawEnd,$G238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8" s="2">
        <f>LET(id,$A238,code,UPPER(TRIM($D238)),rawStart,$F238,rawEnd,$G238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8" s="2">
        <f>LET(id,$A238,code,UPPER(TRIM($D238)),rawStart,$F238,rawEnd,$G238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8" s="2">
        <f>LET(id,$A238,code,UPPER(TRIM($D238)),rawStart,$F238,rawEnd,$G238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8" s="2">
        <f>LET(id,$A238,code,UPPER(TRIM($D238)),rawStart,$F238,rawEnd,$G238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8" s="2">
        <f>LET(id,$A238,code,UPPER(TRIM($D238)),rawStart,$F238,rawEnd,$G238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8" s="2">
        <f>LET(id,$A238,code,UPPER(TRIM($D238)),rawStart,$F238,rawEnd,$G238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8" s="2">
        <f>LET(id,$A238,code,UPPER(TRIM($D238)),rawStart,$F238,rawEnd,$G238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8" s="2">
        <f>LET(id,$A238,code,UPPER(TRIM($D238)),rawStart,$F238,rawEnd,$G238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8" s="2">
        <f>LET(id,$A238,code,UPPER(TRIM($D238)),rawStart,$F238,rawEnd,$G238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8" s="2">
        <f>LET(id,$A238,code,UPPER(TRIM($D238)),rawStart,$F238,rawEnd,$G238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8" s="2">
        <f>LET(id,$A238,code,UPPER(TRIM($D238)),rawStart,$F238,rawEnd,$G238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8" s="2">
        <f>LET(id,$A238,code,UPPER(TRIM($D238)),rawStart,$F238,rawEnd,$G238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8" s="2">
        <f>LET(id,$A238,code,UPPER(TRIM($D238)),rawStart,$F238,rawEnd,$G238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8" s="2">
        <f>LET(id,$A238,code,UPPER(TRIM($D238)),rawStart,$F238,rawEnd,$G238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8" s="2">
        <f>LET(id,$A238,code,UPPER(TRIM($D238)),rawStart,$F238,rawEnd,$G238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8" s="2">
        <f>LET(id,$A238,code,UPPER(TRIM($D238)),rawStart,$F238,rawEnd,$G238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8" s="2">
        <f>LET(id,$A238,code,UPPER(TRIM($D238)),rawStart,$F238,rawEnd,$G238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8" s="2">
        <f>LET(id,$A238,code,UPPER(TRIM($D238)),rawStart,$F238,rawEnd,$G238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8" s="2">
        <f>LET(id,$A238,code,UPPER(TRIM($D238)),rawStart,$F238,rawEnd,$G238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8" s="2">
        <f>LET(id,$A238,code,UPPER(TRIM($D238)),rawStart,$F238,rawEnd,$G238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8" s="2">
        <f>LET(id,$A238,code,UPPER(TRIM($D238)),rawStart,$F238,rawEnd,$G238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8" s="2">
        <f>LET(id,$A238,code,UPPER(TRIM($D238)),rawStart,$F238,rawEnd,$G238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8" s="2">
        <f>LET(id,$A238,code,UPPER(TRIM($D238)),rawStart,$F238,rawEnd,$G238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8" s="2">
        <f>LET(id,$A238,code,UPPER(TRIM($D238)),rawStart,$F238,rawEnd,$G238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8" s="2">
        <f>LET(id,$A238,code,UPPER(TRIM($D238)),rawStart,$F238,rawEnd,$G238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8" s="2">
        <f>LET(id,$A238,code,UPPER(TRIM($D238)),rawStart,$F238,rawEnd,$G238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8" s="2">
        <f>LET(id,$A238,code,UPPER(TRIM($D238)),rawStart,$F238,rawEnd,$G238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8" s="2">
        <f>LET(id,$A238,code,UPPER(TRIM($D238)),rawStart,$F238,rawEnd,$G238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8" s="2">
        <f>LET(id,$A238,code,UPPER(TRIM($D238)),rawStart,$F238,rawEnd,$G238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8" s="2">
        <f>LET(id,$A238,code,UPPER(TRIM($D238)),rawStart,$F238,rawEnd,$G238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8" s="2">
        <f>LET(id,$A238,code,UPPER(TRIM($D238)),rawStart,$F238,rawEnd,$G238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8" s="2">
        <f>LET(id,$A238,code,UPPER(TRIM($D238)),rawStart,$F238,rawEnd,$G238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8" s="2">
        <f>LET(id,$A238,code,UPPER(TRIM($D238)),rawStart,$F238,rawEnd,$G238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8" s="2">
        <f>LET(id,$A238,code,UPPER(TRIM($D238)),rawStart,$F238,rawEnd,$G238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8" s="2">
        <f>LET(id,$A238,code,UPPER(TRIM($D238)),rawStart,$F238,rawEnd,$G238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38" s="2">
        <f>Calc_Engine!BD238</f>
        <v/>
      </c>
    </row>
    <row r="239">
      <c r="A239" s="2">
        <f>Calc_Engine!A239</f>
        <v/>
      </c>
      <c r="B239" s="2">
        <f>Calc_Engine!B239</f>
        <v/>
      </c>
      <c r="C239" s="2">
        <f>Calc_Engine!C239</f>
        <v/>
      </c>
      <c r="D239" s="2">
        <f>Calc_Engine!D239</f>
        <v/>
      </c>
      <c r="E239" s="4">
        <f>Calc_Engine!E239</f>
        <v/>
      </c>
      <c r="F239" s="5">
        <f>Calc_Engine!F239</f>
        <v/>
      </c>
      <c r="G239" s="5">
        <f>Calc_Engine!G239</f>
        <v/>
      </c>
      <c r="H239" s="2">
        <f>LET(id,$A239,code,UPPER(TRIM($D239)),rawStart,$F239,rawEnd,$G239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9" s="2">
        <f>LET(id,$A239,code,UPPER(TRIM($D239)),rawStart,$F239,rawEnd,$G239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9" s="2">
        <f>LET(id,$A239,code,UPPER(TRIM($D239)),rawStart,$F239,rawEnd,$G239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9" s="2">
        <f>LET(id,$A239,code,UPPER(TRIM($D239)),rawStart,$F239,rawEnd,$G239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9" s="2">
        <f>LET(id,$A239,code,UPPER(TRIM($D239)),rawStart,$F239,rawEnd,$G239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9" s="2">
        <f>LET(id,$A239,code,UPPER(TRIM($D239)),rawStart,$F239,rawEnd,$G239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9" s="2">
        <f>LET(id,$A239,code,UPPER(TRIM($D239)),rawStart,$F239,rawEnd,$G239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9" s="2">
        <f>LET(id,$A239,code,UPPER(TRIM($D239)),rawStart,$F239,rawEnd,$G239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9" s="2">
        <f>LET(id,$A239,code,UPPER(TRIM($D239)),rawStart,$F239,rawEnd,$G239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9" s="2">
        <f>LET(id,$A239,code,UPPER(TRIM($D239)),rawStart,$F239,rawEnd,$G239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9" s="2">
        <f>LET(id,$A239,code,UPPER(TRIM($D239)),rawStart,$F239,rawEnd,$G239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9" s="2">
        <f>LET(id,$A239,code,UPPER(TRIM($D239)),rawStart,$F239,rawEnd,$G239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9" s="2">
        <f>LET(id,$A239,code,UPPER(TRIM($D239)),rawStart,$F239,rawEnd,$G239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9" s="2">
        <f>LET(id,$A239,code,UPPER(TRIM($D239)),rawStart,$F239,rawEnd,$G239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9" s="2">
        <f>LET(id,$A239,code,UPPER(TRIM($D239)),rawStart,$F239,rawEnd,$G239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9" s="2">
        <f>LET(id,$A239,code,UPPER(TRIM($D239)),rawStart,$F239,rawEnd,$G239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9" s="2">
        <f>LET(id,$A239,code,UPPER(TRIM($D239)),rawStart,$F239,rawEnd,$G239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9" s="2">
        <f>LET(id,$A239,code,UPPER(TRIM($D239)),rawStart,$F239,rawEnd,$G239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9" s="2">
        <f>LET(id,$A239,code,UPPER(TRIM($D239)),rawStart,$F239,rawEnd,$G239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9" s="2">
        <f>LET(id,$A239,code,UPPER(TRIM($D239)),rawStart,$F239,rawEnd,$G239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9" s="2">
        <f>LET(id,$A239,code,UPPER(TRIM($D239)),rawStart,$F239,rawEnd,$G239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9" s="2">
        <f>LET(id,$A239,code,UPPER(TRIM($D239)),rawStart,$F239,rawEnd,$G239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9" s="2">
        <f>LET(id,$A239,code,UPPER(TRIM($D239)),rawStart,$F239,rawEnd,$G239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9" s="2">
        <f>LET(id,$A239,code,UPPER(TRIM($D239)),rawStart,$F239,rawEnd,$G239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9" s="2">
        <f>LET(id,$A239,code,UPPER(TRIM($D239)),rawStart,$F239,rawEnd,$G239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9" s="2">
        <f>LET(id,$A239,code,UPPER(TRIM($D239)),rawStart,$F239,rawEnd,$G239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9" s="2">
        <f>LET(id,$A239,code,UPPER(TRIM($D239)),rawStart,$F239,rawEnd,$G239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9" s="2">
        <f>LET(id,$A239,code,UPPER(TRIM($D239)),rawStart,$F239,rawEnd,$G239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9" s="2">
        <f>LET(id,$A239,code,UPPER(TRIM($D239)),rawStart,$F239,rawEnd,$G239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9" s="2">
        <f>LET(id,$A239,code,UPPER(TRIM($D239)),rawStart,$F239,rawEnd,$G239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9" s="2">
        <f>LET(id,$A239,code,UPPER(TRIM($D239)),rawStart,$F239,rawEnd,$G239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9" s="2">
        <f>LET(id,$A239,code,UPPER(TRIM($D239)),rawStart,$F239,rawEnd,$G239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9" s="2">
        <f>LET(id,$A239,code,UPPER(TRIM($D239)),rawStart,$F239,rawEnd,$G239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9" s="2">
        <f>LET(id,$A239,code,UPPER(TRIM($D239)),rawStart,$F239,rawEnd,$G239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9" s="2">
        <f>LET(id,$A239,code,UPPER(TRIM($D239)),rawStart,$F239,rawEnd,$G239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9" s="2">
        <f>LET(id,$A239,code,UPPER(TRIM($D239)),rawStart,$F239,rawEnd,$G239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9" s="2">
        <f>LET(id,$A239,code,UPPER(TRIM($D239)),rawStart,$F239,rawEnd,$G239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9" s="2">
        <f>LET(id,$A239,code,UPPER(TRIM($D239)),rawStart,$F239,rawEnd,$G239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9" s="2">
        <f>LET(id,$A239,code,UPPER(TRIM($D239)),rawStart,$F239,rawEnd,$G239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9" s="2">
        <f>LET(id,$A239,code,UPPER(TRIM($D239)),rawStart,$F239,rawEnd,$G239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9" s="2">
        <f>LET(id,$A239,code,UPPER(TRIM($D239)),rawStart,$F239,rawEnd,$G239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9" s="2">
        <f>LET(id,$A239,code,UPPER(TRIM($D239)),rawStart,$F239,rawEnd,$G239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9" s="2">
        <f>LET(id,$A239,code,UPPER(TRIM($D239)),rawStart,$F239,rawEnd,$G239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9" s="2">
        <f>LET(id,$A239,code,UPPER(TRIM($D239)),rawStart,$F239,rawEnd,$G239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9" s="2">
        <f>LET(id,$A239,code,UPPER(TRIM($D239)),rawStart,$F239,rawEnd,$G239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9" s="2">
        <f>LET(id,$A239,code,UPPER(TRIM($D239)),rawStart,$F239,rawEnd,$G239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9" s="2">
        <f>LET(id,$A239,code,UPPER(TRIM($D239)),rawStart,$F239,rawEnd,$G239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9" s="2">
        <f>LET(id,$A239,code,UPPER(TRIM($D239)),rawStart,$F239,rawEnd,$G239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39" s="2">
        <f>Calc_Engine!BD239</f>
        <v/>
      </c>
    </row>
    <row r="240">
      <c r="A240" s="2">
        <f>Calc_Engine!A240</f>
        <v/>
      </c>
      <c r="B240" s="2">
        <f>Calc_Engine!B240</f>
        <v/>
      </c>
      <c r="C240" s="2">
        <f>Calc_Engine!C240</f>
        <v/>
      </c>
      <c r="D240" s="2">
        <f>Calc_Engine!D240</f>
        <v/>
      </c>
      <c r="E240" s="4">
        <f>Calc_Engine!E240</f>
        <v/>
      </c>
      <c r="F240" s="5">
        <f>Calc_Engine!F240</f>
        <v/>
      </c>
      <c r="G240" s="5">
        <f>Calc_Engine!G240</f>
        <v/>
      </c>
      <c r="H240" s="2">
        <f>LET(id,$A240,code,UPPER(TRIM($D240)),rawStart,$F240,rawEnd,$G240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0" s="2">
        <f>LET(id,$A240,code,UPPER(TRIM($D240)),rawStart,$F240,rawEnd,$G240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0" s="2">
        <f>LET(id,$A240,code,UPPER(TRIM($D240)),rawStart,$F240,rawEnd,$G240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0" s="2">
        <f>LET(id,$A240,code,UPPER(TRIM($D240)),rawStart,$F240,rawEnd,$G240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0" s="2">
        <f>LET(id,$A240,code,UPPER(TRIM($D240)),rawStart,$F240,rawEnd,$G240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0" s="2">
        <f>LET(id,$A240,code,UPPER(TRIM($D240)),rawStart,$F240,rawEnd,$G240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0" s="2">
        <f>LET(id,$A240,code,UPPER(TRIM($D240)),rawStart,$F240,rawEnd,$G240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0" s="2">
        <f>LET(id,$A240,code,UPPER(TRIM($D240)),rawStart,$F240,rawEnd,$G240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0" s="2">
        <f>LET(id,$A240,code,UPPER(TRIM($D240)),rawStart,$F240,rawEnd,$G240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0" s="2">
        <f>LET(id,$A240,code,UPPER(TRIM($D240)),rawStart,$F240,rawEnd,$G240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0" s="2">
        <f>LET(id,$A240,code,UPPER(TRIM($D240)),rawStart,$F240,rawEnd,$G240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0" s="2">
        <f>LET(id,$A240,code,UPPER(TRIM($D240)),rawStart,$F240,rawEnd,$G240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0" s="2">
        <f>LET(id,$A240,code,UPPER(TRIM($D240)),rawStart,$F240,rawEnd,$G240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0" s="2">
        <f>LET(id,$A240,code,UPPER(TRIM($D240)),rawStart,$F240,rawEnd,$G240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0" s="2">
        <f>LET(id,$A240,code,UPPER(TRIM($D240)),rawStart,$F240,rawEnd,$G240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0" s="2">
        <f>LET(id,$A240,code,UPPER(TRIM($D240)),rawStart,$F240,rawEnd,$G240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0" s="2">
        <f>LET(id,$A240,code,UPPER(TRIM($D240)),rawStart,$F240,rawEnd,$G240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0" s="2">
        <f>LET(id,$A240,code,UPPER(TRIM($D240)),rawStart,$F240,rawEnd,$G240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0" s="2">
        <f>LET(id,$A240,code,UPPER(TRIM($D240)),rawStart,$F240,rawEnd,$G240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0" s="2">
        <f>LET(id,$A240,code,UPPER(TRIM($D240)),rawStart,$F240,rawEnd,$G240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0" s="2">
        <f>LET(id,$A240,code,UPPER(TRIM($D240)),rawStart,$F240,rawEnd,$G240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0" s="2">
        <f>LET(id,$A240,code,UPPER(TRIM($D240)),rawStart,$F240,rawEnd,$G240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0" s="2">
        <f>LET(id,$A240,code,UPPER(TRIM($D240)),rawStart,$F240,rawEnd,$G240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0" s="2">
        <f>LET(id,$A240,code,UPPER(TRIM($D240)),rawStart,$F240,rawEnd,$G240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0" s="2">
        <f>LET(id,$A240,code,UPPER(TRIM($D240)),rawStart,$F240,rawEnd,$G240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0" s="2">
        <f>LET(id,$A240,code,UPPER(TRIM($D240)),rawStart,$F240,rawEnd,$G240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0" s="2">
        <f>LET(id,$A240,code,UPPER(TRIM($D240)),rawStart,$F240,rawEnd,$G240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0" s="2">
        <f>LET(id,$A240,code,UPPER(TRIM($D240)),rawStart,$F240,rawEnd,$G240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0" s="2">
        <f>LET(id,$A240,code,UPPER(TRIM($D240)),rawStart,$F240,rawEnd,$G240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0" s="2">
        <f>LET(id,$A240,code,UPPER(TRIM($D240)),rawStart,$F240,rawEnd,$G240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0" s="2">
        <f>LET(id,$A240,code,UPPER(TRIM($D240)),rawStart,$F240,rawEnd,$G240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0" s="2">
        <f>LET(id,$A240,code,UPPER(TRIM($D240)),rawStart,$F240,rawEnd,$G240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0" s="2">
        <f>LET(id,$A240,code,UPPER(TRIM($D240)),rawStart,$F240,rawEnd,$G240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0" s="2">
        <f>LET(id,$A240,code,UPPER(TRIM($D240)),rawStart,$F240,rawEnd,$G240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0" s="2">
        <f>LET(id,$A240,code,UPPER(TRIM($D240)),rawStart,$F240,rawEnd,$G240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0" s="2">
        <f>LET(id,$A240,code,UPPER(TRIM($D240)),rawStart,$F240,rawEnd,$G240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0" s="2">
        <f>LET(id,$A240,code,UPPER(TRIM($D240)),rawStart,$F240,rawEnd,$G240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0" s="2">
        <f>LET(id,$A240,code,UPPER(TRIM($D240)),rawStart,$F240,rawEnd,$G240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0" s="2">
        <f>LET(id,$A240,code,UPPER(TRIM($D240)),rawStart,$F240,rawEnd,$G240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0" s="2">
        <f>LET(id,$A240,code,UPPER(TRIM($D240)),rawStart,$F240,rawEnd,$G240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0" s="2">
        <f>LET(id,$A240,code,UPPER(TRIM($D240)),rawStart,$F240,rawEnd,$G240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0" s="2">
        <f>LET(id,$A240,code,UPPER(TRIM($D240)),rawStart,$F240,rawEnd,$G240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0" s="2">
        <f>LET(id,$A240,code,UPPER(TRIM($D240)),rawStart,$F240,rawEnd,$G240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0" s="2">
        <f>LET(id,$A240,code,UPPER(TRIM($D240)),rawStart,$F240,rawEnd,$G240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0" s="2">
        <f>LET(id,$A240,code,UPPER(TRIM($D240)),rawStart,$F240,rawEnd,$G240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0" s="2">
        <f>LET(id,$A240,code,UPPER(TRIM($D240)),rawStart,$F240,rawEnd,$G240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0" s="2">
        <f>LET(id,$A240,code,UPPER(TRIM($D240)),rawStart,$F240,rawEnd,$G240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0" s="2">
        <f>LET(id,$A240,code,UPPER(TRIM($D240)),rawStart,$F240,rawEnd,$G240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40" s="2">
        <f>Calc_Engine!BD240</f>
        <v/>
      </c>
    </row>
    <row r="241">
      <c r="A241" s="2">
        <f>Calc_Engine!A241</f>
        <v/>
      </c>
      <c r="B241" s="2">
        <f>Calc_Engine!B241</f>
        <v/>
      </c>
      <c r="C241" s="2">
        <f>Calc_Engine!C241</f>
        <v/>
      </c>
      <c r="D241" s="2">
        <f>Calc_Engine!D241</f>
        <v/>
      </c>
      <c r="E241" s="4">
        <f>Calc_Engine!E241</f>
        <v/>
      </c>
      <c r="F241" s="5">
        <f>Calc_Engine!F241</f>
        <v/>
      </c>
      <c r="G241" s="5">
        <f>Calc_Engine!G241</f>
        <v/>
      </c>
      <c r="H241" s="2">
        <f>LET(id,$A241,code,UPPER(TRIM($D241)),rawStart,$F241,rawEnd,$G241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1" s="2">
        <f>LET(id,$A241,code,UPPER(TRIM($D241)),rawStart,$F241,rawEnd,$G241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1" s="2">
        <f>LET(id,$A241,code,UPPER(TRIM($D241)),rawStart,$F241,rawEnd,$G241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1" s="2">
        <f>LET(id,$A241,code,UPPER(TRIM($D241)),rawStart,$F241,rawEnd,$G241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1" s="2">
        <f>LET(id,$A241,code,UPPER(TRIM($D241)),rawStart,$F241,rawEnd,$G241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1" s="2">
        <f>LET(id,$A241,code,UPPER(TRIM($D241)),rawStart,$F241,rawEnd,$G241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1" s="2">
        <f>LET(id,$A241,code,UPPER(TRIM($D241)),rawStart,$F241,rawEnd,$G241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1" s="2">
        <f>LET(id,$A241,code,UPPER(TRIM($D241)),rawStart,$F241,rawEnd,$G241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1" s="2">
        <f>LET(id,$A241,code,UPPER(TRIM($D241)),rawStart,$F241,rawEnd,$G241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1" s="2">
        <f>LET(id,$A241,code,UPPER(TRIM($D241)),rawStart,$F241,rawEnd,$G241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1" s="2">
        <f>LET(id,$A241,code,UPPER(TRIM($D241)),rawStart,$F241,rawEnd,$G241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1" s="2">
        <f>LET(id,$A241,code,UPPER(TRIM($D241)),rawStart,$F241,rawEnd,$G241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1" s="2">
        <f>LET(id,$A241,code,UPPER(TRIM($D241)),rawStart,$F241,rawEnd,$G241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1" s="2">
        <f>LET(id,$A241,code,UPPER(TRIM($D241)),rawStart,$F241,rawEnd,$G241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1" s="2">
        <f>LET(id,$A241,code,UPPER(TRIM($D241)),rawStart,$F241,rawEnd,$G241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1" s="2">
        <f>LET(id,$A241,code,UPPER(TRIM($D241)),rawStart,$F241,rawEnd,$G241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1" s="2">
        <f>LET(id,$A241,code,UPPER(TRIM($D241)),rawStart,$F241,rawEnd,$G241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1" s="2">
        <f>LET(id,$A241,code,UPPER(TRIM($D241)),rawStart,$F241,rawEnd,$G241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1" s="2">
        <f>LET(id,$A241,code,UPPER(TRIM($D241)),rawStart,$F241,rawEnd,$G241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1" s="2">
        <f>LET(id,$A241,code,UPPER(TRIM($D241)),rawStart,$F241,rawEnd,$G241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1" s="2">
        <f>LET(id,$A241,code,UPPER(TRIM($D241)),rawStart,$F241,rawEnd,$G241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1" s="2">
        <f>LET(id,$A241,code,UPPER(TRIM($D241)),rawStart,$F241,rawEnd,$G241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1" s="2">
        <f>LET(id,$A241,code,UPPER(TRIM($D241)),rawStart,$F241,rawEnd,$G241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1" s="2">
        <f>LET(id,$A241,code,UPPER(TRIM($D241)),rawStart,$F241,rawEnd,$G241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1" s="2">
        <f>LET(id,$A241,code,UPPER(TRIM($D241)),rawStart,$F241,rawEnd,$G241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1" s="2">
        <f>LET(id,$A241,code,UPPER(TRIM($D241)),rawStart,$F241,rawEnd,$G241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1" s="2">
        <f>LET(id,$A241,code,UPPER(TRIM($D241)),rawStart,$F241,rawEnd,$G241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1" s="2">
        <f>LET(id,$A241,code,UPPER(TRIM($D241)),rawStart,$F241,rawEnd,$G241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1" s="2">
        <f>LET(id,$A241,code,UPPER(TRIM($D241)),rawStart,$F241,rawEnd,$G241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1" s="2">
        <f>LET(id,$A241,code,UPPER(TRIM($D241)),rawStart,$F241,rawEnd,$G241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1" s="2">
        <f>LET(id,$A241,code,UPPER(TRIM($D241)),rawStart,$F241,rawEnd,$G241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1" s="2">
        <f>LET(id,$A241,code,UPPER(TRIM($D241)),rawStart,$F241,rawEnd,$G241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1" s="2">
        <f>LET(id,$A241,code,UPPER(TRIM($D241)),rawStart,$F241,rawEnd,$G241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1" s="2">
        <f>LET(id,$A241,code,UPPER(TRIM($D241)),rawStart,$F241,rawEnd,$G241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1" s="2">
        <f>LET(id,$A241,code,UPPER(TRIM($D241)),rawStart,$F241,rawEnd,$G241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1" s="2">
        <f>LET(id,$A241,code,UPPER(TRIM($D241)),rawStart,$F241,rawEnd,$G241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1" s="2">
        <f>LET(id,$A241,code,UPPER(TRIM($D241)),rawStart,$F241,rawEnd,$G241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1" s="2">
        <f>LET(id,$A241,code,UPPER(TRIM($D241)),rawStart,$F241,rawEnd,$G241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1" s="2">
        <f>LET(id,$A241,code,UPPER(TRIM($D241)),rawStart,$F241,rawEnd,$G241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1" s="2">
        <f>LET(id,$A241,code,UPPER(TRIM($D241)),rawStart,$F241,rawEnd,$G241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1" s="2">
        <f>LET(id,$A241,code,UPPER(TRIM($D241)),rawStart,$F241,rawEnd,$G241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1" s="2">
        <f>LET(id,$A241,code,UPPER(TRIM($D241)),rawStart,$F241,rawEnd,$G241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1" s="2">
        <f>LET(id,$A241,code,UPPER(TRIM($D241)),rawStart,$F241,rawEnd,$G241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1" s="2">
        <f>LET(id,$A241,code,UPPER(TRIM($D241)),rawStart,$F241,rawEnd,$G241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1" s="2">
        <f>LET(id,$A241,code,UPPER(TRIM($D241)),rawStart,$F241,rawEnd,$G241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1" s="2">
        <f>LET(id,$A241,code,UPPER(TRIM($D241)),rawStart,$F241,rawEnd,$G241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1" s="2">
        <f>LET(id,$A241,code,UPPER(TRIM($D241)),rawStart,$F241,rawEnd,$G241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1" s="2">
        <f>LET(id,$A241,code,UPPER(TRIM($D241)),rawStart,$F241,rawEnd,$G241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41" s="2">
        <f>Calc_Engine!BD241</f>
        <v/>
      </c>
    </row>
    <row r="242">
      <c r="A242" s="2">
        <f>Calc_Engine!A242</f>
        <v/>
      </c>
      <c r="B242" s="2">
        <f>Calc_Engine!B242</f>
        <v/>
      </c>
      <c r="C242" s="2">
        <f>Calc_Engine!C242</f>
        <v/>
      </c>
      <c r="D242" s="2">
        <f>Calc_Engine!D242</f>
        <v/>
      </c>
      <c r="E242" s="4">
        <f>Calc_Engine!E242</f>
        <v/>
      </c>
      <c r="F242" s="5">
        <f>Calc_Engine!F242</f>
        <v/>
      </c>
      <c r="G242" s="5">
        <f>Calc_Engine!G242</f>
        <v/>
      </c>
      <c r="H242" s="2">
        <f>LET(id,$A242,code,UPPER(TRIM($D242)),rawStart,$F242,rawEnd,$G242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2" s="2">
        <f>LET(id,$A242,code,UPPER(TRIM($D242)),rawStart,$F242,rawEnd,$G242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2" s="2">
        <f>LET(id,$A242,code,UPPER(TRIM($D242)),rawStart,$F242,rawEnd,$G242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2" s="2">
        <f>LET(id,$A242,code,UPPER(TRIM($D242)),rawStart,$F242,rawEnd,$G242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2" s="2">
        <f>LET(id,$A242,code,UPPER(TRIM($D242)),rawStart,$F242,rawEnd,$G242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2" s="2">
        <f>LET(id,$A242,code,UPPER(TRIM($D242)),rawStart,$F242,rawEnd,$G242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2" s="2">
        <f>LET(id,$A242,code,UPPER(TRIM($D242)),rawStart,$F242,rawEnd,$G242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2" s="2">
        <f>LET(id,$A242,code,UPPER(TRIM($D242)),rawStart,$F242,rawEnd,$G242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2" s="2">
        <f>LET(id,$A242,code,UPPER(TRIM($D242)),rawStart,$F242,rawEnd,$G242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2" s="2">
        <f>LET(id,$A242,code,UPPER(TRIM($D242)),rawStart,$F242,rawEnd,$G242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2" s="2">
        <f>LET(id,$A242,code,UPPER(TRIM($D242)),rawStart,$F242,rawEnd,$G242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2" s="2">
        <f>LET(id,$A242,code,UPPER(TRIM($D242)),rawStart,$F242,rawEnd,$G242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2" s="2">
        <f>LET(id,$A242,code,UPPER(TRIM($D242)),rawStart,$F242,rawEnd,$G242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2" s="2">
        <f>LET(id,$A242,code,UPPER(TRIM($D242)),rawStart,$F242,rawEnd,$G242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2" s="2">
        <f>LET(id,$A242,code,UPPER(TRIM($D242)),rawStart,$F242,rawEnd,$G242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2" s="2">
        <f>LET(id,$A242,code,UPPER(TRIM($D242)),rawStart,$F242,rawEnd,$G242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2" s="2">
        <f>LET(id,$A242,code,UPPER(TRIM($D242)),rawStart,$F242,rawEnd,$G242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2" s="2">
        <f>LET(id,$A242,code,UPPER(TRIM($D242)),rawStart,$F242,rawEnd,$G242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2" s="2">
        <f>LET(id,$A242,code,UPPER(TRIM($D242)),rawStart,$F242,rawEnd,$G242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2" s="2">
        <f>LET(id,$A242,code,UPPER(TRIM($D242)),rawStart,$F242,rawEnd,$G242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2" s="2">
        <f>LET(id,$A242,code,UPPER(TRIM($D242)),rawStart,$F242,rawEnd,$G242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2" s="2">
        <f>LET(id,$A242,code,UPPER(TRIM($D242)),rawStart,$F242,rawEnd,$G242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2" s="2">
        <f>LET(id,$A242,code,UPPER(TRIM($D242)),rawStart,$F242,rawEnd,$G242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2" s="2">
        <f>LET(id,$A242,code,UPPER(TRIM($D242)),rawStart,$F242,rawEnd,$G242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2" s="2">
        <f>LET(id,$A242,code,UPPER(TRIM($D242)),rawStart,$F242,rawEnd,$G242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2" s="2">
        <f>LET(id,$A242,code,UPPER(TRIM($D242)),rawStart,$F242,rawEnd,$G242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2" s="2">
        <f>LET(id,$A242,code,UPPER(TRIM($D242)),rawStart,$F242,rawEnd,$G242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2" s="2">
        <f>LET(id,$A242,code,UPPER(TRIM($D242)),rawStart,$F242,rawEnd,$G242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2" s="2">
        <f>LET(id,$A242,code,UPPER(TRIM($D242)),rawStart,$F242,rawEnd,$G242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2" s="2">
        <f>LET(id,$A242,code,UPPER(TRIM($D242)),rawStart,$F242,rawEnd,$G242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2" s="2">
        <f>LET(id,$A242,code,UPPER(TRIM($D242)),rawStart,$F242,rawEnd,$G242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2" s="2">
        <f>LET(id,$A242,code,UPPER(TRIM($D242)),rawStart,$F242,rawEnd,$G242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2" s="2">
        <f>LET(id,$A242,code,UPPER(TRIM($D242)),rawStart,$F242,rawEnd,$G242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2" s="2">
        <f>LET(id,$A242,code,UPPER(TRIM($D242)),rawStart,$F242,rawEnd,$G242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2" s="2">
        <f>LET(id,$A242,code,UPPER(TRIM($D242)),rawStart,$F242,rawEnd,$G242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2" s="2">
        <f>LET(id,$A242,code,UPPER(TRIM($D242)),rawStart,$F242,rawEnd,$G242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2" s="2">
        <f>LET(id,$A242,code,UPPER(TRIM($D242)),rawStart,$F242,rawEnd,$G242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2" s="2">
        <f>LET(id,$A242,code,UPPER(TRIM($D242)),rawStart,$F242,rawEnd,$G242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2" s="2">
        <f>LET(id,$A242,code,UPPER(TRIM($D242)),rawStart,$F242,rawEnd,$G242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2" s="2">
        <f>LET(id,$A242,code,UPPER(TRIM($D242)),rawStart,$F242,rawEnd,$G242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2" s="2">
        <f>LET(id,$A242,code,UPPER(TRIM($D242)),rawStart,$F242,rawEnd,$G242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2" s="2">
        <f>LET(id,$A242,code,UPPER(TRIM($D242)),rawStart,$F242,rawEnd,$G242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2" s="2">
        <f>LET(id,$A242,code,UPPER(TRIM($D242)),rawStart,$F242,rawEnd,$G242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2" s="2">
        <f>LET(id,$A242,code,UPPER(TRIM($D242)),rawStart,$F242,rawEnd,$G242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2" s="2">
        <f>LET(id,$A242,code,UPPER(TRIM($D242)),rawStart,$F242,rawEnd,$G242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2" s="2">
        <f>LET(id,$A242,code,UPPER(TRIM($D242)),rawStart,$F242,rawEnd,$G242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2" s="2">
        <f>LET(id,$A242,code,UPPER(TRIM($D242)),rawStart,$F242,rawEnd,$G242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2" s="2">
        <f>LET(id,$A242,code,UPPER(TRIM($D242)),rawStart,$F242,rawEnd,$G242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42" s="2">
        <f>Calc_Engine!BD242</f>
        <v/>
      </c>
    </row>
    <row r="243">
      <c r="A243" s="2">
        <f>Calc_Engine!A243</f>
        <v/>
      </c>
      <c r="B243" s="2">
        <f>Calc_Engine!B243</f>
        <v/>
      </c>
      <c r="C243" s="2">
        <f>Calc_Engine!C243</f>
        <v/>
      </c>
      <c r="D243" s="2">
        <f>Calc_Engine!D243</f>
        <v/>
      </c>
      <c r="E243" s="4">
        <f>Calc_Engine!E243</f>
        <v/>
      </c>
      <c r="F243" s="5">
        <f>Calc_Engine!F243</f>
        <v/>
      </c>
      <c r="G243" s="5">
        <f>Calc_Engine!G243</f>
        <v/>
      </c>
      <c r="H243" s="2">
        <f>LET(id,$A243,code,UPPER(TRIM($D243)),rawStart,$F243,rawEnd,$G243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3" s="2">
        <f>LET(id,$A243,code,UPPER(TRIM($D243)),rawStart,$F243,rawEnd,$G243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3" s="2">
        <f>LET(id,$A243,code,UPPER(TRIM($D243)),rawStart,$F243,rawEnd,$G243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3" s="2">
        <f>LET(id,$A243,code,UPPER(TRIM($D243)),rawStart,$F243,rawEnd,$G243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3" s="2">
        <f>LET(id,$A243,code,UPPER(TRIM($D243)),rawStart,$F243,rawEnd,$G243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3" s="2">
        <f>LET(id,$A243,code,UPPER(TRIM($D243)),rawStart,$F243,rawEnd,$G243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3" s="2">
        <f>LET(id,$A243,code,UPPER(TRIM($D243)),rawStart,$F243,rawEnd,$G243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3" s="2">
        <f>LET(id,$A243,code,UPPER(TRIM($D243)),rawStart,$F243,rawEnd,$G243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3" s="2">
        <f>LET(id,$A243,code,UPPER(TRIM($D243)),rawStart,$F243,rawEnd,$G243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3" s="2">
        <f>LET(id,$A243,code,UPPER(TRIM($D243)),rawStart,$F243,rawEnd,$G243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3" s="2">
        <f>LET(id,$A243,code,UPPER(TRIM($D243)),rawStart,$F243,rawEnd,$G243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3" s="2">
        <f>LET(id,$A243,code,UPPER(TRIM($D243)),rawStart,$F243,rawEnd,$G243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3" s="2">
        <f>LET(id,$A243,code,UPPER(TRIM($D243)),rawStart,$F243,rawEnd,$G243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3" s="2">
        <f>LET(id,$A243,code,UPPER(TRIM($D243)),rawStart,$F243,rawEnd,$G243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3" s="2">
        <f>LET(id,$A243,code,UPPER(TRIM($D243)),rawStart,$F243,rawEnd,$G243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3" s="2">
        <f>LET(id,$A243,code,UPPER(TRIM($D243)),rawStart,$F243,rawEnd,$G243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3" s="2">
        <f>LET(id,$A243,code,UPPER(TRIM($D243)),rawStart,$F243,rawEnd,$G243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3" s="2">
        <f>LET(id,$A243,code,UPPER(TRIM($D243)),rawStart,$F243,rawEnd,$G243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3" s="2">
        <f>LET(id,$A243,code,UPPER(TRIM($D243)),rawStart,$F243,rawEnd,$G243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3" s="2">
        <f>LET(id,$A243,code,UPPER(TRIM($D243)),rawStart,$F243,rawEnd,$G243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3" s="2">
        <f>LET(id,$A243,code,UPPER(TRIM($D243)),rawStart,$F243,rawEnd,$G243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3" s="2">
        <f>LET(id,$A243,code,UPPER(TRIM($D243)),rawStart,$F243,rawEnd,$G243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3" s="2">
        <f>LET(id,$A243,code,UPPER(TRIM($D243)),rawStart,$F243,rawEnd,$G243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3" s="2">
        <f>LET(id,$A243,code,UPPER(TRIM($D243)),rawStart,$F243,rawEnd,$G243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3" s="2">
        <f>LET(id,$A243,code,UPPER(TRIM($D243)),rawStart,$F243,rawEnd,$G243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3" s="2">
        <f>LET(id,$A243,code,UPPER(TRIM($D243)),rawStart,$F243,rawEnd,$G243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3" s="2">
        <f>LET(id,$A243,code,UPPER(TRIM($D243)),rawStart,$F243,rawEnd,$G243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3" s="2">
        <f>LET(id,$A243,code,UPPER(TRIM($D243)),rawStart,$F243,rawEnd,$G243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3" s="2">
        <f>LET(id,$A243,code,UPPER(TRIM($D243)),rawStart,$F243,rawEnd,$G243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3" s="2">
        <f>LET(id,$A243,code,UPPER(TRIM($D243)),rawStart,$F243,rawEnd,$G243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3" s="2">
        <f>LET(id,$A243,code,UPPER(TRIM($D243)),rawStart,$F243,rawEnd,$G243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3" s="2">
        <f>LET(id,$A243,code,UPPER(TRIM($D243)),rawStart,$F243,rawEnd,$G243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3" s="2">
        <f>LET(id,$A243,code,UPPER(TRIM($D243)),rawStart,$F243,rawEnd,$G243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3" s="2">
        <f>LET(id,$A243,code,UPPER(TRIM($D243)),rawStart,$F243,rawEnd,$G243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3" s="2">
        <f>LET(id,$A243,code,UPPER(TRIM($D243)),rawStart,$F243,rawEnd,$G243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3" s="2">
        <f>LET(id,$A243,code,UPPER(TRIM($D243)),rawStart,$F243,rawEnd,$G243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3" s="2">
        <f>LET(id,$A243,code,UPPER(TRIM($D243)),rawStart,$F243,rawEnd,$G243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3" s="2">
        <f>LET(id,$A243,code,UPPER(TRIM($D243)),rawStart,$F243,rawEnd,$G243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3" s="2">
        <f>LET(id,$A243,code,UPPER(TRIM($D243)),rawStart,$F243,rawEnd,$G243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3" s="2">
        <f>LET(id,$A243,code,UPPER(TRIM($D243)),rawStart,$F243,rawEnd,$G243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3" s="2">
        <f>LET(id,$A243,code,UPPER(TRIM($D243)),rawStart,$F243,rawEnd,$G243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3" s="2">
        <f>LET(id,$A243,code,UPPER(TRIM($D243)),rawStart,$F243,rawEnd,$G243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3" s="2">
        <f>LET(id,$A243,code,UPPER(TRIM($D243)),rawStart,$F243,rawEnd,$G243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3" s="2">
        <f>LET(id,$A243,code,UPPER(TRIM($D243)),rawStart,$F243,rawEnd,$G243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3" s="2">
        <f>LET(id,$A243,code,UPPER(TRIM($D243)),rawStart,$F243,rawEnd,$G243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3" s="2">
        <f>LET(id,$A243,code,UPPER(TRIM($D243)),rawStart,$F243,rawEnd,$G243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3" s="2">
        <f>LET(id,$A243,code,UPPER(TRIM($D243)),rawStart,$F243,rawEnd,$G243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3" s="2">
        <f>LET(id,$A243,code,UPPER(TRIM($D243)),rawStart,$F243,rawEnd,$G243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43" s="2">
        <f>Calc_Engine!BD243</f>
        <v/>
      </c>
    </row>
    <row r="244">
      <c r="A244" s="2">
        <f>Calc_Engine!A244</f>
        <v/>
      </c>
      <c r="B244" s="2">
        <f>Calc_Engine!B244</f>
        <v/>
      </c>
      <c r="C244" s="2">
        <f>Calc_Engine!C244</f>
        <v/>
      </c>
      <c r="D244" s="2">
        <f>Calc_Engine!D244</f>
        <v/>
      </c>
      <c r="E244" s="4">
        <f>Calc_Engine!E244</f>
        <v/>
      </c>
      <c r="F244" s="5">
        <f>Calc_Engine!F244</f>
        <v/>
      </c>
      <c r="G244" s="5">
        <f>Calc_Engine!G244</f>
        <v/>
      </c>
      <c r="H244" s="2">
        <f>LET(id,$A244,code,UPPER(TRIM($D244)),rawStart,$F244,rawEnd,$G244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4" s="2">
        <f>LET(id,$A244,code,UPPER(TRIM($D244)),rawStart,$F244,rawEnd,$G244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4" s="2">
        <f>LET(id,$A244,code,UPPER(TRIM($D244)),rawStart,$F244,rawEnd,$G244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4" s="2">
        <f>LET(id,$A244,code,UPPER(TRIM($D244)),rawStart,$F244,rawEnd,$G244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4" s="2">
        <f>LET(id,$A244,code,UPPER(TRIM($D244)),rawStart,$F244,rawEnd,$G244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4" s="2">
        <f>LET(id,$A244,code,UPPER(TRIM($D244)),rawStart,$F244,rawEnd,$G244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4" s="2">
        <f>LET(id,$A244,code,UPPER(TRIM($D244)),rawStart,$F244,rawEnd,$G244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4" s="2">
        <f>LET(id,$A244,code,UPPER(TRIM($D244)),rawStart,$F244,rawEnd,$G244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4" s="2">
        <f>LET(id,$A244,code,UPPER(TRIM($D244)),rawStart,$F244,rawEnd,$G244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4" s="2">
        <f>LET(id,$A244,code,UPPER(TRIM($D244)),rawStart,$F244,rawEnd,$G244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4" s="2">
        <f>LET(id,$A244,code,UPPER(TRIM($D244)),rawStart,$F244,rawEnd,$G244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4" s="2">
        <f>LET(id,$A244,code,UPPER(TRIM($D244)),rawStart,$F244,rawEnd,$G244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4" s="2">
        <f>LET(id,$A244,code,UPPER(TRIM($D244)),rawStart,$F244,rawEnd,$G244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4" s="2">
        <f>LET(id,$A244,code,UPPER(TRIM($D244)),rawStart,$F244,rawEnd,$G244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4" s="2">
        <f>LET(id,$A244,code,UPPER(TRIM($D244)),rawStart,$F244,rawEnd,$G244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4" s="2">
        <f>LET(id,$A244,code,UPPER(TRIM($D244)),rawStart,$F244,rawEnd,$G244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4" s="2">
        <f>LET(id,$A244,code,UPPER(TRIM($D244)),rawStart,$F244,rawEnd,$G244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4" s="2">
        <f>LET(id,$A244,code,UPPER(TRIM($D244)),rawStart,$F244,rawEnd,$G244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4" s="2">
        <f>LET(id,$A244,code,UPPER(TRIM($D244)),rawStart,$F244,rawEnd,$G244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4" s="2">
        <f>LET(id,$A244,code,UPPER(TRIM($D244)),rawStart,$F244,rawEnd,$G244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4" s="2">
        <f>LET(id,$A244,code,UPPER(TRIM($D244)),rawStart,$F244,rawEnd,$G244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4" s="2">
        <f>LET(id,$A244,code,UPPER(TRIM($D244)),rawStart,$F244,rawEnd,$G244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4" s="2">
        <f>LET(id,$A244,code,UPPER(TRIM($D244)),rawStart,$F244,rawEnd,$G244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4" s="2">
        <f>LET(id,$A244,code,UPPER(TRIM($D244)),rawStart,$F244,rawEnd,$G244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4" s="2">
        <f>LET(id,$A244,code,UPPER(TRIM($D244)),rawStart,$F244,rawEnd,$G244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4" s="2">
        <f>LET(id,$A244,code,UPPER(TRIM($D244)),rawStart,$F244,rawEnd,$G244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4" s="2">
        <f>LET(id,$A244,code,UPPER(TRIM($D244)),rawStart,$F244,rawEnd,$G244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4" s="2">
        <f>LET(id,$A244,code,UPPER(TRIM($D244)),rawStart,$F244,rawEnd,$G244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4" s="2">
        <f>LET(id,$A244,code,UPPER(TRIM($D244)),rawStart,$F244,rawEnd,$G244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4" s="2">
        <f>LET(id,$A244,code,UPPER(TRIM($D244)),rawStart,$F244,rawEnd,$G244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4" s="2">
        <f>LET(id,$A244,code,UPPER(TRIM($D244)),rawStart,$F244,rawEnd,$G244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4" s="2">
        <f>LET(id,$A244,code,UPPER(TRIM($D244)),rawStart,$F244,rawEnd,$G244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4" s="2">
        <f>LET(id,$A244,code,UPPER(TRIM($D244)),rawStart,$F244,rawEnd,$G244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4" s="2">
        <f>LET(id,$A244,code,UPPER(TRIM($D244)),rawStart,$F244,rawEnd,$G244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4" s="2">
        <f>LET(id,$A244,code,UPPER(TRIM($D244)),rawStart,$F244,rawEnd,$G244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4" s="2">
        <f>LET(id,$A244,code,UPPER(TRIM($D244)),rawStart,$F244,rawEnd,$G244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4" s="2">
        <f>LET(id,$A244,code,UPPER(TRIM($D244)),rawStart,$F244,rawEnd,$G244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4" s="2">
        <f>LET(id,$A244,code,UPPER(TRIM($D244)),rawStart,$F244,rawEnd,$G244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4" s="2">
        <f>LET(id,$A244,code,UPPER(TRIM($D244)),rawStart,$F244,rawEnd,$G244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4" s="2">
        <f>LET(id,$A244,code,UPPER(TRIM($D244)),rawStart,$F244,rawEnd,$G244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4" s="2">
        <f>LET(id,$A244,code,UPPER(TRIM($D244)),rawStart,$F244,rawEnd,$G244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4" s="2">
        <f>LET(id,$A244,code,UPPER(TRIM($D244)),rawStart,$F244,rawEnd,$G244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4" s="2">
        <f>LET(id,$A244,code,UPPER(TRIM($D244)),rawStart,$F244,rawEnd,$G244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4" s="2">
        <f>LET(id,$A244,code,UPPER(TRIM($D244)),rawStart,$F244,rawEnd,$G244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4" s="2">
        <f>LET(id,$A244,code,UPPER(TRIM($D244)),rawStart,$F244,rawEnd,$G244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4" s="2">
        <f>LET(id,$A244,code,UPPER(TRIM($D244)),rawStart,$F244,rawEnd,$G244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4" s="2">
        <f>LET(id,$A244,code,UPPER(TRIM($D244)),rawStart,$F244,rawEnd,$G244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4" s="2">
        <f>LET(id,$A244,code,UPPER(TRIM($D244)),rawStart,$F244,rawEnd,$G244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44" s="2">
        <f>Calc_Engine!BD244</f>
        <v/>
      </c>
    </row>
    <row r="245">
      <c r="A245" s="2">
        <f>Calc_Engine!A245</f>
        <v/>
      </c>
      <c r="B245" s="2">
        <f>Calc_Engine!B245</f>
        <v/>
      </c>
      <c r="C245" s="2">
        <f>Calc_Engine!C245</f>
        <v/>
      </c>
      <c r="D245" s="2">
        <f>Calc_Engine!D245</f>
        <v/>
      </c>
      <c r="E245" s="4">
        <f>Calc_Engine!E245</f>
        <v/>
      </c>
      <c r="F245" s="5">
        <f>Calc_Engine!F245</f>
        <v/>
      </c>
      <c r="G245" s="5">
        <f>Calc_Engine!G245</f>
        <v/>
      </c>
      <c r="H245" s="2">
        <f>LET(id,$A245,code,UPPER(TRIM($D245)),rawStart,$F245,rawEnd,$G245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5" s="2">
        <f>LET(id,$A245,code,UPPER(TRIM($D245)),rawStart,$F245,rawEnd,$G245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5" s="2">
        <f>LET(id,$A245,code,UPPER(TRIM($D245)),rawStart,$F245,rawEnd,$G245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5" s="2">
        <f>LET(id,$A245,code,UPPER(TRIM($D245)),rawStart,$F245,rawEnd,$G245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5" s="2">
        <f>LET(id,$A245,code,UPPER(TRIM($D245)),rawStart,$F245,rawEnd,$G245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5" s="2">
        <f>LET(id,$A245,code,UPPER(TRIM($D245)),rawStart,$F245,rawEnd,$G245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5" s="2">
        <f>LET(id,$A245,code,UPPER(TRIM($D245)),rawStart,$F245,rawEnd,$G245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5" s="2">
        <f>LET(id,$A245,code,UPPER(TRIM($D245)),rawStart,$F245,rawEnd,$G245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5" s="2">
        <f>LET(id,$A245,code,UPPER(TRIM($D245)),rawStart,$F245,rawEnd,$G245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5" s="2">
        <f>LET(id,$A245,code,UPPER(TRIM($D245)),rawStart,$F245,rawEnd,$G245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5" s="2">
        <f>LET(id,$A245,code,UPPER(TRIM($D245)),rawStart,$F245,rawEnd,$G245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5" s="2">
        <f>LET(id,$A245,code,UPPER(TRIM($D245)),rawStart,$F245,rawEnd,$G245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5" s="2">
        <f>LET(id,$A245,code,UPPER(TRIM($D245)),rawStart,$F245,rawEnd,$G245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5" s="2">
        <f>LET(id,$A245,code,UPPER(TRIM($D245)),rawStart,$F245,rawEnd,$G245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5" s="2">
        <f>LET(id,$A245,code,UPPER(TRIM($D245)),rawStart,$F245,rawEnd,$G245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5" s="2">
        <f>LET(id,$A245,code,UPPER(TRIM($D245)),rawStart,$F245,rawEnd,$G245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5" s="2">
        <f>LET(id,$A245,code,UPPER(TRIM($D245)),rawStart,$F245,rawEnd,$G245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5" s="2">
        <f>LET(id,$A245,code,UPPER(TRIM($D245)),rawStart,$F245,rawEnd,$G245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5" s="2">
        <f>LET(id,$A245,code,UPPER(TRIM($D245)),rawStart,$F245,rawEnd,$G245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5" s="2">
        <f>LET(id,$A245,code,UPPER(TRIM($D245)),rawStart,$F245,rawEnd,$G245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5" s="2">
        <f>LET(id,$A245,code,UPPER(TRIM($D245)),rawStart,$F245,rawEnd,$G245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5" s="2">
        <f>LET(id,$A245,code,UPPER(TRIM($D245)),rawStart,$F245,rawEnd,$G245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5" s="2">
        <f>LET(id,$A245,code,UPPER(TRIM($D245)),rawStart,$F245,rawEnd,$G245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5" s="2">
        <f>LET(id,$A245,code,UPPER(TRIM($D245)),rawStart,$F245,rawEnd,$G245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5" s="2">
        <f>LET(id,$A245,code,UPPER(TRIM($D245)),rawStart,$F245,rawEnd,$G245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5" s="2">
        <f>LET(id,$A245,code,UPPER(TRIM($D245)),rawStart,$F245,rawEnd,$G245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5" s="2">
        <f>LET(id,$A245,code,UPPER(TRIM($D245)),rawStart,$F245,rawEnd,$G245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5" s="2">
        <f>LET(id,$A245,code,UPPER(TRIM($D245)),rawStart,$F245,rawEnd,$G245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5" s="2">
        <f>LET(id,$A245,code,UPPER(TRIM($D245)),rawStart,$F245,rawEnd,$G245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5" s="2">
        <f>LET(id,$A245,code,UPPER(TRIM($D245)),rawStart,$F245,rawEnd,$G245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5" s="2">
        <f>LET(id,$A245,code,UPPER(TRIM($D245)),rawStart,$F245,rawEnd,$G245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5" s="2">
        <f>LET(id,$A245,code,UPPER(TRIM($D245)),rawStart,$F245,rawEnd,$G245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5" s="2">
        <f>LET(id,$A245,code,UPPER(TRIM($D245)),rawStart,$F245,rawEnd,$G245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5" s="2">
        <f>LET(id,$A245,code,UPPER(TRIM($D245)),rawStart,$F245,rawEnd,$G245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5" s="2">
        <f>LET(id,$A245,code,UPPER(TRIM($D245)),rawStart,$F245,rawEnd,$G245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5" s="2">
        <f>LET(id,$A245,code,UPPER(TRIM($D245)),rawStart,$F245,rawEnd,$G245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5" s="2">
        <f>LET(id,$A245,code,UPPER(TRIM($D245)),rawStart,$F245,rawEnd,$G245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5" s="2">
        <f>LET(id,$A245,code,UPPER(TRIM($D245)),rawStart,$F245,rawEnd,$G245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5" s="2">
        <f>LET(id,$A245,code,UPPER(TRIM($D245)),rawStart,$F245,rawEnd,$G245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5" s="2">
        <f>LET(id,$A245,code,UPPER(TRIM($D245)),rawStart,$F245,rawEnd,$G245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5" s="2">
        <f>LET(id,$A245,code,UPPER(TRIM($D245)),rawStart,$F245,rawEnd,$G245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5" s="2">
        <f>LET(id,$A245,code,UPPER(TRIM($D245)),rawStart,$F245,rawEnd,$G245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5" s="2">
        <f>LET(id,$A245,code,UPPER(TRIM($D245)),rawStart,$F245,rawEnd,$G245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5" s="2">
        <f>LET(id,$A245,code,UPPER(TRIM($D245)),rawStart,$F245,rawEnd,$G245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5" s="2">
        <f>LET(id,$A245,code,UPPER(TRIM($D245)),rawStart,$F245,rawEnd,$G245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5" s="2">
        <f>LET(id,$A245,code,UPPER(TRIM($D245)),rawStart,$F245,rawEnd,$G245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5" s="2">
        <f>LET(id,$A245,code,UPPER(TRIM($D245)),rawStart,$F245,rawEnd,$G245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5" s="2">
        <f>LET(id,$A245,code,UPPER(TRIM($D245)),rawStart,$F245,rawEnd,$G245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45" s="2">
        <f>Calc_Engine!BD245</f>
        <v/>
      </c>
    </row>
    <row r="246">
      <c r="A246" s="2">
        <f>Calc_Engine!A246</f>
        <v/>
      </c>
      <c r="B246" s="2">
        <f>Calc_Engine!B246</f>
        <v/>
      </c>
      <c r="C246" s="2">
        <f>Calc_Engine!C246</f>
        <v/>
      </c>
      <c r="D246" s="2">
        <f>Calc_Engine!D246</f>
        <v/>
      </c>
      <c r="E246" s="4">
        <f>Calc_Engine!E246</f>
        <v/>
      </c>
      <c r="F246" s="5">
        <f>Calc_Engine!F246</f>
        <v/>
      </c>
      <c r="G246" s="5">
        <f>Calc_Engine!G246</f>
        <v/>
      </c>
      <c r="H246" s="2">
        <f>LET(id,$A246,code,UPPER(TRIM($D246)),rawStart,$F246,rawEnd,$G246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6" s="2">
        <f>LET(id,$A246,code,UPPER(TRIM($D246)),rawStart,$F246,rawEnd,$G246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6" s="2">
        <f>LET(id,$A246,code,UPPER(TRIM($D246)),rawStart,$F246,rawEnd,$G246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6" s="2">
        <f>LET(id,$A246,code,UPPER(TRIM($D246)),rawStart,$F246,rawEnd,$G246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6" s="2">
        <f>LET(id,$A246,code,UPPER(TRIM($D246)),rawStart,$F246,rawEnd,$G246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6" s="2">
        <f>LET(id,$A246,code,UPPER(TRIM($D246)),rawStart,$F246,rawEnd,$G246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6" s="2">
        <f>LET(id,$A246,code,UPPER(TRIM($D246)),rawStart,$F246,rawEnd,$G246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6" s="2">
        <f>LET(id,$A246,code,UPPER(TRIM($D246)),rawStart,$F246,rawEnd,$G246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6" s="2">
        <f>LET(id,$A246,code,UPPER(TRIM($D246)),rawStart,$F246,rawEnd,$G246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6" s="2">
        <f>LET(id,$A246,code,UPPER(TRIM($D246)),rawStart,$F246,rawEnd,$G246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6" s="2">
        <f>LET(id,$A246,code,UPPER(TRIM($D246)),rawStart,$F246,rawEnd,$G246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6" s="2">
        <f>LET(id,$A246,code,UPPER(TRIM($D246)),rawStart,$F246,rawEnd,$G246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6" s="2">
        <f>LET(id,$A246,code,UPPER(TRIM($D246)),rawStart,$F246,rawEnd,$G246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6" s="2">
        <f>LET(id,$A246,code,UPPER(TRIM($D246)),rawStart,$F246,rawEnd,$G246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6" s="2">
        <f>LET(id,$A246,code,UPPER(TRIM($D246)),rawStart,$F246,rawEnd,$G246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6" s="2">
        <f>LET(id,$A246,code,UPPER(TRIM($D246)),rawStart,$F246,rawEnd,$G246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6" s="2">
        <f>LET(id,$A246,code,UPPER(TRIM($D246)),rawStart,$F246,rawEnd,$G246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6" s="2">
        <f>LET(id,$A246,code,UPPER(TRIM($D246)),rawStart,$F246,rawEnd,$G246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6" s="2">
        <f>LET(id,$A246,code,UPPER(TRIM($D246)),rawStart,$F246,rawEnd,$G246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6" s="2">
        <f>LET(id,$A246,code,UPPER(TRIM($D246)),rawStart,$F246,rawEnd,$G246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6" s="2">
        <f>LET(id,$A246,code,UPPER(TRIM($D246)),rawStart,$F246,rawEnd,$G246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6" s="2">
        <f>LET(id,$A246,code,UPPER(TRIM($D246)),rawStart,$F246,rawEnd,$G246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6" s="2">
        <f>LET(id,$A246,code,UPPER(TRIM($D246)),rawStart,$F246,rawEnd,$G246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6" s="2">
        <f>LET(id,$A246,code,UPPER(TRIM($D246)),rawStart,$F246,rawEnd,$G246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6" s="2">
        <f>LET(id,$A246,code,UPPER(TRIM($D246)),rawStart,$F246,rawEnd,$G246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6" s="2">
        <f>LET(id,$A246,code,UPPER(TRIM($D246)),rawStart,$F246,rawEnd,$G246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6" s="2">
        <f>LET(id,$A246,code,UPPER(TRIM($D246)),rawStart,$F246,rawEnd,$G246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6" s="2">
        <f>LET(id,$A246,code,UPPER(TRIM($D246)),rawStart,$F246,rawEnd,$G246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6" s="2">
        <f>LET(id,$A246,code,UPPER(TRIM($D246)),rawStart,$F246,rawEnd,$G246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6" s="2">
        <f>LET(id,$A246,code,UPPER(TRIM($D246)),rawStart,$F246,rawEnd,$G246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6" s="2">
        <f>LET(id,$A246,code,UPPER(TRIM($D246)),rawStart,$F246,rawEnd,$G246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6" s="2">
        <f>LET(id,$A246,code,UPPER(TRIM($D246)),rawStart,$F246,rawEnd,$G246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6" s="2">
        <f>LET(id,$A246,code,UPPER(TRIM($D246)),rawStart,$F246,rawEnd,$G246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6" s="2">
        <f>LET(id,$A246,code,UPPER(TRIM($D246)),rawStart,$F246,rawEnd,$G246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6" s="2">
        <f>LET(id,$A246,code,UPPER(TRIM($D246)),rawStart,$F246,rawEnd,$G246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6" s="2">
        <f>LET(id,$A246,code,UPPER(TRIM($D246)),rawStart,$F246,rawEnd,$G246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6" s="2">
        <f>LET(id,$A246,code,UPPER(TRIM($D246)),rawStart,$F246,rawEnd,$G246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6" s="2">
        <f>LET(id,$A246,code,UPPER(TRIM($D246)),rawStart,$F246,rawEnd,$G246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6" s="2">
        <f>LET(id,$A246,code,UPPER(TRIM($D246)),rawStart,$F246,rawEnd,$G246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6" s="2">
        <f>LET(id,$A246,code,UPPER(TRIM($D246)),rawStart,$F246,rawEnd,$G246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6" s="2">
        <f>LET(id,$A246,code,UPPER(TRIM($D246)),rawStart,$F246,rawEnd,$G246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6" s="2">
        <f>LET(id,$A246,code,UPPER(TRIM($D246)),rawStart,$F246,rawEnd,$G246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6" s="2">
        <f>LET(id,$A246,code,UPPER(TRIM($D246)),rawStart,$F246,rawEnd,$G246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6" s="2">
        <f>LET(id,$A246,code,UPPER(TRIM($D246)),rawStart,$F246,rawEnd,$G246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6" s="2">
        <f>LET(id,$A246,code,UPPER(TRIM($D246)),rawStart,$F246,rawEnd,$G246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6" s="2">
        <f>LET(id,$A246,code,UPPER(TRIM($D246)),rawStart,$F246,rawEnd,$G246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6" s="2">
        <f>LET(id,$A246,code,UPPER(TRIM($D246)),rawStart,$F246,rawEnd,$G246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6" s="2">
        <f>LET(id,$A246,code,UPPER(TRIM($D246)),rawStart,$F246,rawEnd,$G246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46" s="2">
        <f>Calc_Engine!BD246</f>
        <v/>
      </c>
    </row>
    <row r="247">
      <c r="A247" s="2">
        <f>Calc_Engine!A247</f>
        <v/>
      </c>
      <c r="B247" s="2">
        <f>Calc_Engine!B247</f>
        <v/>
      </c>
      <c r="C247" s="2">
        <f>Calc_Engine!C247</f>
        <v/>
      </c>
      <c r="D247" s="2">
        <f>Calc_Engine!D247</f>
        <v/>
      </c>
      <c r="E247" s="4">
        <f>Calc_Engine!E247</f>
        <v/>
      </c>
      <c r="F247" s="5">
        <f>Calc_Engine!F247</f>
        <v/>
      </c>
      <c r="G247" s="5">
        <f>Calc_Engine!G247</f>
        <v/>
      </c>
      <c r="H247" s="2">
        <f>LET(id,$A247,code,UPPER(TRIM($D247)),rawStart,$F247,rawEnd,$G247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7" s="2">
        <f>LET(id,$A247,code,UPPER(TRIM($D247)),rawStart,$F247,rawEnd,$G247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7" s="2">
        <f>LET(id,$A247,code,UPPER(TRIM($D247)),rawStart,$F247,rawEnd,$G247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7" s="2">
        <f>LET(id,$A247,code,UPPER(TRIM($D247)),rawStart,$F247,rawEnd,$G247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7" s="2">
        <f>LET(id,$A247,code,UPPER(TRIM($D247)),rawStart,$F247,rawEnd,$G247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7" s="2">
        <f>LET(id,$A247,code,UPPER(TRIM($D247)),rawStart,$F247,rawEnd,$G247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7" s="2">
        <f>LET(id,$A247,code,UPPER(TRIM($D247)),rawStart,$F247,rawEnd,$G247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7" s="2">
        <f>LET(id,$A247,code,UPPER(TRIM($D247)),rawStart,$F247,rawEnd,$G247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7" s="2">
        <f>LET(id,$A247,code,UPPER(TRIM($D247)),rawStart,$F247,rawEnd,$G247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7" s="2">
        <f>LET(id,$A247,code,UPPER(TRIM($D247)),rawStart,$F247,rawEnd,$G247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7" s="2">
        <f>LET(id,$A247,code,UPPER(TRIM($D247)),rawStart,$F247,rawEnd,$G247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7" s="2">
        <f>LET(id,$A247,code,UPPER(TRIM($D247)),rawStart,$F247,rawEnd,$G247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7" s="2">
        <f>LET(id,$A247,code,UPPER(TRIM($D247)),rawStart,$F247,rawEnd,$G247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7" s="2">
        <f>LET(id,$A247,code,UPPER(TRIM($D247)),rawStart,$F247,rawEnd,$G247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7" s="2">
        <f>LET(id,$A247,code,UPPER(TRIM($D247)),rawStart,$F247,rawEnd,$G247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7" s="2">
        <f>LET(id,$A247,code,UPPER(TRIM($D247)),rawStart,$F247,rawEnd,$G247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7" s="2">
        <f>LET(id,$A247,code,UPPER(TRIM($D247)),rawStart,$F247,rawEnd,$G247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7" s="2">
        <f>LET(id,$A247,code,UPPER(TRIM($D247)),rawStart,$F247,rawEnd,$G247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7" s="2">
        <f>LET(id,$A247,code,UPPER(TRIM($D247)),rawStart,$F247,rawEnd,$G247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7" s="2">
        <f>LET(id,$A247,code,UPPER(TRIM($D247)),rawStart,$F247,rawEnd,$G247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7" s="2">
        <f>LET(id,$A247,code,UPPER(TRIM($D247)),rawStart,$F247,rawEnd,$G247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7" s="2">
        <f>LET(id,$A247,code,UPPER(TRIM($D247)),rawStart,$F247,rawEnd,$G247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7" s="2">
        <f>LET(id,$A247,code,UPPER(TRIM($D247)),rawStart,$F247,rawEnd,$G247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7" s="2">
        <f>LET(id,$A247,code,UPPER(TRIM($D247)),rawStart,$F247,rawEnd,$G247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7" s="2">
        <f>LET(id,$A247,code,UPPER(TRIM($D247)),rawStart,$F247,rawEnd,$G247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7" s="2">
        <f>LET(id,$A247,code,UPPER(TRIM($D247)),rawStart,$F247,rawEnd,$G247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7" s="2">
        <f>LET(id,$A247,code,UPPER(TRIM($D247)),rawStart,$F247,rawEnd,$G247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7" s="2">
        <f>LET(id,$A247,code,UPPER(TRIM($D247)),rawStart,$F247,rawEnd,$G247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7" s="2">
        <f>LET(id,$A247,code,UPPER(TRIM($D247)),rawStart,$F247,rawEnd,$G247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7" s="2">
        <f>LET(id,$A247,code,UPPER(TRIM($D247)),rawStart,$F247,rawEnd,$G247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7" s="2">
        <f>LET(id,$A247,code,UPPER(TRIM($D247)),rawStart,$F247,rawEnd,$G247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7" s="2">
        <f>LET(id,$A247,code,UPPER(TRIM($D247)),rawStart,$F247,rawEnd,$G247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7" s="2">
        <f>LET(id,$A247,code,UPPER(TRIM($D247)),rawStart,$F247,rawEnd,$G247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7" s="2">
        <f>LET(id,$A247,code,UPPER(TRIM($D247)),rawStart,$F247,rawEnd,$G247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7" s="2">
        <f>LET(id,$A247,code,UPPER(TRIM($D247)),rawStart,$F247,rawEnd,$G247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7" s="2">
        <f>LET(id,$A247,code,UPPER(TRIM($D247)),rawStart,$F247,rawEnd,$G247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7" s="2">
        <f>LET(id,$A247,code,UPPER(TRIM($D247)),rawStart,$F247,rawEnd,$G247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7" s="2">
        <f>LET(id,$A247,code,UPPER(TRIM($D247)),rawStart,$F247,rawEnd,$G247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7" s="2">
        <f>LET(id,$A247,code,UPPER(TRIM($D247)),rawStart,$F247,rawEnd,$G247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7" s="2">
        <f>LET(id,$A247,code,UPPER(TRIM($D247)),rawStart,$F247,rawEnd,$G247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7" s="2">
        <f>LET(id,$A247,code,UPPER(TRIM($D247)),rawStart,$F247,rawEnd,$G247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7" s="2">
        <f>LET(id,$A247,code,UPPER(TRIM($D247)),rawStart,$F247,rawEnd,$G247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7" s="2">
        <f>LET(id,$A247,code,UPPER(TRIM($D247)),rawStart,$F247,rawEnd,$G247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7" s="2">
        <f>LET(id,$A247,code,UPPER(TRIM($D247)),rawStart,$F247,rawEnd,$G247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7" s="2">
        <f>LET(id,$A247,code,UPPER(TRIM($D247)),rawStart,$F247,rawEnd,$G247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7" s="2">
        <f>LET(id,$A247,code,UPPER(TRIM($D247)),rawStart,$F247,rawEnd,$G247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7" s="2">
        <f>LET(id,$A247,code,UPPER(TRIM($D247)),rawStart,$F247,rawEnd,$G247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7" s="2">
        <f>LET(id,$A247,code,UPPER(TRIM($D247)),rawStart,$F247,rawEnd,$G247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47" s="2">
        <f>Calc_Engine!BD247</f>
        <v/>
      </c>
    </row>
    <row r="248">
      <c r="A248" s="2">
        <f>Calc_Engine!A248</f>
        <v/>
      </c>
      <c r="B248" s="2">
        <f>Calc_Engine!B248</f>
        <v/>
      </c>
      <c r="C248" s="2">
        <f>Calc_Engine!C248</f>
        <v/>
      </c>
      <c r="D248" s="2">
        <f>Calc_Engine!D248</f>
        <v/>
      </c>
      <c r="E248" s="4">
        <f>Calc_Engine!E248</f>
        <v/>
      </c>
      <c r="F248" s="5">
        <f>Calc_Engine!F248</f>
        <v/>
      </c>
      <c r="G248" s="5">
        <f>Calc_Engine!G248</f>
        <v/>
      </c>
      <c r="H248" s="2">
        <f>LET(id,$A248,code,UPPER(TRIM($D248)),rawStart,$F248,rawEnd,$G248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8" s="2">
        <f>LET(id,$A248,code,UPPER(TRIM($D248)),rawStart,$F248,rawEnd,$G248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8" s="2">
        <f>LET(id,$A248,code,UPPER(TRIM($D248)),rawStart,$F248,rawEnd,$G248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8" s="2">
        <f>LET(id,$A248,code,UPPER(TRIM($D248)),rawStart,$F248,rawEnd,$G248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8" s="2">
        <f>LET(id,$A248,code,UPPER(TRIM($D248)),rawStart,$F248,rawEnd,$G248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8" s="2">
        <f>LET(id,$A248,code,UPPER(TRIM($D248)),rawStart,$F248,rawEnd,$G248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8" s="2">
        <f>LET(id,$A248,code,UPPER(TRIM($D248)),rawStart,$F248,rawEnd,$G248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8" s="2">
        <f>LET(id,$A248,code,UPPER(TRIM($D248)),rawStart,$F248,rawEnd,$G248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8" s="2">
        <f>LET(id,$A248,code,UPPER(TRIM($D248)),rawStart,$F248,rawEnd,$G248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8" s="2">
        <f>LET(id,$A248,code,UPPER(TRIM($D248)),rawStart,$F248,rawEnd,$G248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8" s="2">
        <f>LET(id,$A248,code,UPPER(TRIM($D248)),rawStart,$F248,rawEnd,$G248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8" s="2">
        <f>LET(id,$A248,code,UPPER(TRIM($D248)),rawStart,$F248,rawEnd,$G248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8" s="2">
        <f>LET(id,$A248,code,UPPER(TRIM($D248)),rawStart,$F248,rawEnd,$G248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8" s="2">
        <f>LET(id,$A248,code,UPPER(TRIM($D248)),rawStart,$F248,rawEnd,$G248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8" s="2">
        <f>LET(id,$A248,code,UPPER(TRIM($D248)),rawStart,$F248,rawEnd,$G248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8" s="2">
        <f>LET(id,$A248,code,UPPER(TRIM($D248)),rawStart,$F248,rawEnd,$G248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8" s="2">
        <f>LET(id,$A248,code,UPPER(TRIM($D248)),rawStart,$F248,rawEnd,$G248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8" s="2">
        <f>LET(id,$A248,code,UPPER(TRIM($D248)),rawStart,$F248,rawEnd,$G248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8" s="2">
        <f>LET(id,$A248,code,UPPER(TRIM($D248)),rawStart,$F248,rawEnd,$G248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8" s="2">
        <f>LET(id,$A248,code,UPPER(TRIM($D248)),rawStart,$F248,rawEnd,$G248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8" s="2">
        <f>LET(id,$A248,code,UPPER(TRIM($D248)),rawStart,$F248,rawEnd,$G248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8" s="2">
        <f>LET(id,$A248,code,UPPER(TRIM($D248)),rawStart,$F248,rawEnd,$G248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8" s="2">
        <f>LET(id,$A248,code,UPPER(TRIM($D248)),rawStart,$F248,rawEnd,$G248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8" s="2">
        <f>LET(id,$A248,code,UPPER(TRIM($D248)),rawStart,$F248,rawEnd,$G248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8" s="2">
        <f>LET(id,$A248,code,UPPER(TRIM($D248)),rawStart,$F248,rawEnd,$G248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8" s="2">
        <f>LET(id,$A248,code,UPPER(TRIM($D248)),rawStart,$F248,rawEnd,$G248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8" s="2">
        <f>LET(id,$A248,code,UPPER(TRIM($D248)),rawStart,$F248,rawEnd,$G248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8" s="2">
        <f>LET(id,$A248,code,UPPER(TRIM($D248)),rawStart,$F248,rawEnd,$G248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8" s="2">
        <f>LET(id,$A248,code,UPPER(TRIM($D248)),rawStart,$F248,rawEnd,$G248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8" s="2">
        <f>LET(id,$A248,code,UPPER(TRIM($D248)),rawStart,$F248,rawEnd,$G248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8" s="2">
        <f>LET(id,$A248,code,UPPER(TRIM($D248)),rawStart,$F248,rawEnd,$G248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8" s="2">
        <f>LET(id,$A248,code,UPPER(TRIM($D248)),rawStart,$F248,rawEnd,$G248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8" s="2">
        <f>LET(id,$A248,code,UPPER(TRIM($D248)),rawStart,$F248,rawEnd,$G248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8" s="2">
        <f>LET(id,$A248,code,UPPER(TRIM($D248)),rawStart,$F248,rawEnd,$G248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8" s="2">
        <f>LET(id,$A248,code,UPPER(TRIM($D248)),rawStart,$F248,rawEnd,$G248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8" s="2">
        <f>LET(id,$A248,code,UPPER(TRIM($D248)),rawStart,$F248,rawEnd,$G248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8" s="2">
        <f>LET(id,$A248,code,UPPER(TRIM($D248)),rawStart,$F248,rawEnd,$G248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8" s="2">
        <f>LET(id,$A248,code,UPPER(TRIM($D248)),rawStart,$F248,rawEnd,$G248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8" s="2">
        <f>LET(id,$A248,code,UPPER(TRIM($D248)),rawStart,$F248,rawEnd,$G248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8" s="2">
        <f>LET(id,$A248,code,UPPER(TRIM($D248)),rawStart,$F248,rawEnd,$G248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8" s="2">
        <f>LET(id,$A248,code,UPPER(TRIM($D248)),rawStart,$F248,rawEnd,$G248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8" s="2">
        <f>LET(id,$A248,code,UPPER(TRIM($D248)),rawStart,$F248,rawEnd,$G248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8" s="2">
        <f>LET(id,$A248,code,UPPER(TRIM($D248)),rawStart,$F248,rawEnd,$G248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8" s="2">
        <f>LET(id,$A248,code,UPPER(TRIM($D248)),rawStart,$F248,rawEnd,$G248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8" s="2">
        <f>LET(id,$A248,code,UPPER(TRIM($D248)),rawStart,$F248,rawEnd,$G248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8" s="2">
        <f>LET(id,$A248,code,UPPER(TRIM($D248)),rawStart,$F248,rawEnd,$G248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8" s="2">
        <f>LET(id,$A248,code,UPPER(TRIM($D248)),rawStart,$F248,rawEnd,$G248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8" s="2">
        <f>LET(id,$A248,code,UPPER(TRIM($D248)),rawStart,$F248,rawEnd,$G248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48" s="2">
        <f>Calc_Engine!BD248</f>
        <v/>
      </c>
    </row>
    <row r="249">
      <c r="A249" s="2">
        <f>Calc_Engine!A249</f>
        <v/>
      </c>
      <c r="B249" s="2">
        <f>Calc_Engine!B249</f>
        <v/>
      </c>
      <c r="C249" s="2">
        <f>Calc_Engine!C249</f>
        <v/>
      </c>
      <c r="D249" s="2">
        <f>Calc_Engine!D249</f>
        <v/>
      </c>
      <c r="E249" s="4">
        <f>Calc_Engine!E249</f>
        <v/>
      </c>
      <c r="F249" s="5">
        <f>Calc_Engine!F249</f>
        <v/>
      </c>
      <c r="G249" s="5">
        <f>Calc_Engine!G249</f>
        <v/>
      </c>
      <c r="H249" s="2">
        <f>LET(id,$A249,code,UPPER(TRIM($D249)),rawStart,$F249,rawEnd,$G249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9" s="2">
        <f>LET(id,$A249,code,UPPER(TRIM($D249)),rawStart,$F249,rawEnd,$G249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9" s="2">
        <f>LET(id,$A249,code,UPPER(TRIM($D249)),rawStart,$F249,rawEnd,$G249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9" s="2">
        <f>LET(id,$A249,code,UPPER(TRIM($D249)),rawStart,$F249,rawEnd,$G249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9" s="2">
        <f>LET(id,$A249,code,UPPER(TRIM($D249)),rawStart,$F249,rawEnd,$G249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9" s="2">
        <f>LET(id,$A249,code,UPPER(TRIM($D249)),rawStart,$F249,rawEnd,$G249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9" s="2">
        <f>LET(id,$A249,code,UPPER(TRIM($D249)),rawStart,$F249,rawEnd,$G249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9" s="2">
        <f>LET(id,$A249,code,UPPER(TRIM($D249)),rawStart,$F249,rawEnd,$G249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9" s="2">
        <f>LET(id,$A249,code,UPPER(TRIM($D249)),rawStart,$F249,rawEnd,$G249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9" s="2">
        <f>LET(id,$A249,code,UPPER(TRIM($D249)),rawStart,$F249,rawEnd,$G249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9" s="2">
        <f>LET(id,$A249,code,UPPER(TRIM($D249)),rawStart,$F249,rawEnd,$G249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9" s="2">
        <f>LET(id,$A249,code,UPPER(TRIM($D249)),rawStart,$F249,rawEnd,$G249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9" s="2">
        <f>LET(id,$A249,code,UPPER(TRIM($D249)),rawStart,$F249,rawEnd,$G249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9" s="2">
        <f>LET(id,$A249,code,UPPER(TRIM($D249)),rawStart,$F249,rawEnd,$G249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9" s="2">
        <f>LET(id,$A249,code,UPPER(TRIM($D249)),rawStart,$F249,rawEnd,$G249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9" s="2">
        <f>LET(id,$A249,code,UPPER(TRIM($D249)),rawStart,$F249,rawEnd,$G249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9" s="2">
        <f>LET(id,$A249,code,UPPER(TRIM($D249)),rawStart,$F249,rawEnd,$G249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9" s="2">
        <f>LET(id,$A249,code,UPPER(TRIM($D249)),rawStart,$F249,rawEnd,$G249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9" s="2">
        <f>LET(id,$A249,code,UPPER(TRIM($D249)),rawStart,$F249,rawEnd,$G249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9" s="2">
        <f>LET(id,$A249,code,UPPER(TRIM($D249)),rawStart,$F249,rawEnd,$G249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9" s="2">
        <f>LET(id,$A249,code,UPPER(TRIM($D249)),rawStart,$F249,rawEnd,$G249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9" s="2">
        <f>LET(id,$A249,code,UPPER(TRIM($D249)),rawStart,$F249,rawEnd,$G249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9" s="2">
        <f>LET(id,$A249,code,UPPER(TRIM($D249)),rawStart,$F249,rawEnd,$G249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9" s="2">
        <f>LET(id,$A249,code,UPPER(TRIM($D249)),rawStart,$F249,rawEnd,$G249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9" s="2">
        <f>LET(id,$A249,code,UPPER(TRIM($D249)),rawStart,$F249,rawEnd,$G249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9" s="2">
        <f>LET(id,$A249,code,UPPER(TRIM($D249)),rawStart,$F249,rawEnd,$G249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9" s="2">
        <f>LET(id,$A249,code,UPPER(TRIM($D249)),rawStart,$F249,rawEnd,$G249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9" s="2">
        <f>LET(id,$A249,code,UPPER(TRIM($D249)),rawStart,$F249,rawEnd,$G249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9" s="2">
        <f>LET(id,$A249,code,UPPER(TRIM($D249)),rawStart,$F249,rawEnd,$G249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9" s="2">
        <f>LET(id,$A249,code,UPPER(TRIM($D249)),rawStart,$F249,rawEnd,$G249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9" s="2">
        <f>LET(id,$A249,code,UPPER(TRIM($D249)),rawStart,$F249,rawEnd,$G249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9" s="2">
        <f>LET(id,$A249,code,UPPER(TRIM($D249)),rawStart,$F249,rawEnd,$G249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9" s="2">
        <f>LET(id,$A249,code,UPPER(TRIM($D249)),rawStart,$F249,rawEnd,$G249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9" s="2">
        <f>LET(id,$A249,code,UPPER(TRIM($D249)),rawStart,$F249,rawEnd,$G249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9" s="2">
        <f>LET(id,$A249,code,UPPER(TRIM($D249)),rawStart,$F249,rawEnd,$G249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9" s="2">
        <f>LET(id,$A249,code,UPPER(TRIM($D249)),rawStart,$F249,rawEnd,$G249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9" s="2">
        <f>LET(id,$A249,code,UPPER(TRIM($D249)),rawStart,$F249,rawEnd,$G249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9" s="2">
        <f>LET(id,$A249,code,UPPER(TRIM($D249)),rawStart,$F249,rawEnd,$G249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9" s="2">
        <f>LET(id,$A249,code,UPPER(TRIM($D249)),rawStart,$F249,rawEnd,$G249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9" s="2">
        <f>LET(id,$A249,code,UPPER(TRIM($D249)),rawStart,$F249,rawEnd,$G249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9" s="2">
        <f>LET(id,$A249,code,UPPER(TRIM($D249)),rawStart,$F249,rawEnd,$G249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9" s="2">
        <f>LET(id,$A249,code,UPPER(TRIM($D249)),rawStart,$F249,rawEnd,$G249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9" s="2">
        <f>LET(id,$A249,code,UPPER(TRIM($D249)),rawStart,$F249,rawEnd,$G249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9" s="2">
        <f>LET(id,$A249,code,UPPER(TRIM($D249)),rawStart,$F249,rawEnd,$G249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9" s="2">
        <f>LET(id,$A249,code,UPPER(TRIM($D249)),rawStart,$F249,rawEnd,$G249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9" s="2">
        <f>LET(id,$A249,code,UPPER(TRIM($D249)),rawStart,$F249,rawEnd,$G249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9" s="2">
        <f>LET(id,$A249,code,UPPER(TRIM($D249)),rawStart,$F249,rawEnd,$G249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9" s="2">
        <f>LET(id,$A249,code,UPPER(TRIM($D249)),rawStart,$F249,rawEnd,$G249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49" s="2">
        <f>Calc_Engine!BD249</f>
        <v/>
      </c>
    </row>
    <row r="250">
      <c r="A250" s="2">
        <f>Calc_Engine!A250</f>
        <v/>
      </c>
      <c r="B250" s="2">
        <f>Calc_Engine!B250</f>
        <v/>
      </c>
      <c r="C250" s="2">
        <f>Calc_Engine!C250</f>
        <v/>
      </c>
      <c r="D250" s="2">
        <f>Calc_Engine!D250</f>
        <v/>
      </c>
      <c r="E250" s="4">
        <f>Calc_Engine!E250</f>
        <v/>
      </c>
      <c r="F250" s="5">
        <f>Calc_Engine!F250</f>
        <v/>
      </c>
      <c r="G250" s="5">
        <f>Calc_Engine!G250</f>
        <v/>
      </c>
      <c r="H250" s="2">
        <f>LET(id,$A250,code,UPPER(TRIM($D250)),rawStart,$F250,rawEnd,$G250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0" s="2">
        <f>LET(id,$A250,code,UPPER(TRIM($D250)),rawStart,$F250,rawEnd,$G250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0" s="2">
        <f>LET(id,$A250,code,UPPER(TRIM($D250)),rawStart,$F250,rawEnd,$G250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0" s="2">
        <f>LET(id,$A250,code,UPPER(TRIM($D250)),rawStart,$F250,rawEnd,$G250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0" s="2">
        <f>LET(id,$A250,code,UPPER(TRIM($D250)),rawStart,$F250,rawEnd,$G250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0" s="2">
        <f>LET(id,$A250,code,UPPER(TRIM($D250)),rawStart,$F250,rawEnd,$G250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0" s="2">
        <f>LET(id,$A250,code,UPPER(TRIM($D250)),rawStart,$F250,rawEnd,$G250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0" s="2">
        <f>LET(id,$A250,code,UPPER(TRIM($D250)),rawStart,$F250,rawEnd,$G250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0" s="2">
        <f>LET(id,$A250,code,UPPER(TRIM($D250)),rawStart,$F250,rawEnd,$G250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0" s="2">
        <f>LET(id,$A250,code,UPPER(TRIM($D250)),rawStart,$F250,rawEnd,$G250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0" s="2">
        <f>LET(id,$A250,code,UPPER(TRIM($D250)),rawStart,$F250,rawEnd,$G250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0" s="2">
        <f>LET(id,$A250,code,UPPER(TRIM($D250)),rawStart,$F250,rawEnd,$G250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0" s="2">
        <f>LET(id,$A250,code,UPPER(TRIM($D250)),rawStart,$F250,rawEnd,$G250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0" s="2">
        <f>LET(id,$A250,code,UPPER(TRIM($D250)),rawStart,$F250,rawEnd,$G250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0" s="2">
        <f>LET(id,$A250,code,UPPER(TRIM($D250)),rawStart,$F250,rawEnd,$G250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0" s="2">
        <f>LET(id,$A250,code,UPPER(TRIM($D250)),rawStart,$F250,rawEnd,$G250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0" s="2">
        <f>LET(id,$A250,code,UPPER(TRIM($D250)),rawStart,$F250,rawEnd,$G250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0" s="2">
        <f>LET(id,$A250,code,UPPER(TRIM($D250)),rawStart,$F250,rawEnd,$G250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0" s="2">
        <f>LET(id,$A250,code,UPPER(TRIM($D250)),rawStart,$F250,rawEnd,$G250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0" s="2">
        <f>LET(id,$A250,code,UPPER(TRIM($D250)),rawStart,$F250,rawEnd,$G250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0" s="2">
        <f>LET(id,$A250,code,UPPER(TRIM($D250)),rawStart,$F250,rawEnd,$G250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0" s="2">
        <f>LET(id,$A250,code,UPPER(TRIM($D250)),rawStart,$F250,rawEnd,$G250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0" s="2">
        <f>LET(id,$A250,code,UPPER(TRIM($D250)),rawStart,$F250,rawEnd,$G250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0" s="2">
        <f>LET(id,$A250,code,UPPER(TRIM($D250)),rawStart,$F250,rawEnd,$G250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0" s="2">
        <f>LET(id,$A250,code,UPPER(TRIM($D250)),rawStart,$F250,rawEnd,$G250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0" s="2">
        <f>LET(id,$A250,code,UPPER(TRIM($D250)),rawStart,$F250,rawEnd,$G250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0" s="2">
        <f>LET(id,$A250,code,UPPER(TRIM($D250)),rawStart,$F250,rawEnd,$G250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0" s="2">
        <f>LET(id,$A250,code,UPPER(TRIM($D250)),rawStart,$F250,rawEnd,$G250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0" s="2">
        <f>LET(id,$A250,code,UPPER(TRIM($D250)),rawStart,$F250,rawEnd,$G250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0" s="2">
        <f>LET(id,$A250,code,UPPER(TRIM($D250)),rawStart,$F250,rawEnd,$G250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0" s="2">
        <f>LET(id,$A250,code,UPPER(TRIM($D250)),rawStart,$F250,rawEnd,$G250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0" s="2">
        <f>LET(id,$A250,code,UPPER(TRIM($D250)),rawStart,$F250,rawEnd,$G250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0" s="2">
        <f>LET(id,$A250,code,UPPER(TRIM($D250)),rawStart,$F250,rawEnd,$G250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0" s="2">
        <f>LET(id,$A250,code,UPPER(TRIM($D250)),rawStart,$F250,rawEnd,$G250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0" s="2">
        <f>LET(id,$A250,code,UPPER(TRIM($D250)),rawStart,$F250,rawEnd,$G250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0" s="2">
        <f>LET(id,$A250,code,UPPER(TRIM($D250)),rawStart,$F250,rawEnd,$G250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0" s="2">
        <f>LET(id,$A250,code,UPPER(TRIM($D250)),rawStart,$F250,rawEnd,$G250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0" s="2">
        <f>LET(id,$A250,code,UPPER(TRIM($D250)),rawStart,$F250,rawEnd,$G250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0" s="2">
        <f>LET(id,$A250,code,UPPER(TRIM($D250)),rawStart,$F250,rawEnd,$G250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0" s="2">
        <f>LET(id,$A250,code,UPPER(TRIM($D250)),rawStart,$F250,rawEnd,$G250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0" s="2">
        <f>LET(id,$A250,code,UPPER(TRIM($D250)),rawStart,$F250,rawEnd,$G250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0" s="2">
        <f>LET(id,$A250,code,UPPER(TRIM($D250)),rawStart,$F250,rawEnd,$G250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0" s="2">
        <f>LET(id,$A250,code,UPPER(TRIM($D250)),rawStart,$F250,rawEnd,$G250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0" s="2">
        <f>LET(id,$A250,code,UPPER(TRIM($D250)),rawStart,$F250,rawEnd,$G250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0" s="2">
        <f>LET(id,$A250,code,UPPER(TRIM($D250)),rawStart,$F250,rawEnd,$G250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0" s="2">
        <f>LET(id,$A250,code,UPPER(TRIM($D250)),rawStart,$F250,rawEnd,$G250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0" s="2">
        <f>LET(id,$A250,code,UPPER(TRIM($D250)),rawStart,$F250,rawEnd,$G250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0" s="2">
        <f>LET(id,$A250,code,UPPER(TRIM($D250)),rawStart,$F250,rawEnd,$G250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50" s="2">
        <f>Calc_Engine!BD250</f>
        <v/>
      </c>
    </row>
    <row r="251">
      <c r="A251" s="2">
        <f>Calc_Engine!A251</f>
        <v/>
      </c>
      <c r="B251" s="2">
        <f>Calc_Engine!B251</f>
        <v/>
      </c>
      <c r="C251" s="2">
        <f>Calc_Engine!C251</f>
        <v/>
      </c>
      <c r="D251" s="2">
        <f>Calc_Engine!D251</f>
        <v/>
      </c>
      <c r="E251" s="4">
        <f>Calc_Engine!E251</f>
        <v/>
      </c>
      <c r="F251" s="5">
        <f>Calc_Engine!F251</f>
        <v/>
      </c>
      <c r="G251" s="5">
        <f>Calc_Engine!G251</f>
        <v/>
      </c>
      <c r="H251" s="2">
        <f>LET(id,$A251,code,UPPER(TRIM($D251)),rawStart,$F251,rawEnd,$G251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1" s="2">
        <f>LET(id,$A251,code,UPPER(TRIM($D251)),rawStart,$F251,rawEnd,$G251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1" s="2">
        <f>LET(id,$A251,code,UPPER(TRIM($D251)),rawStart,$F251,rawEnd,$G251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1" s="2">
        <f>LET(id,$A251,code,UPPER(TRIM($D251)),rawStart,$F251,rawEnd,$G251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1" s="2">
        <f>LET(id,$A251,code,UPPER(TRIM($D251)),rawStart,$F251,rawEnd,$G251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1" s="2">
        <f>LET(id,$A251,code,UPPER(TRIM($D251)),rawStart,$F251,rawEnd,$G251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1" s="2">
        <f>LET(id,$A251,code,UPPER(TRIM($D251)),rawStart,$F251,rawEnd,$G251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1" s="2">
        <f>LET(id,$A251,code,UPPER(TRIM($D251)),rawStart,$F251,rawEnd,$G251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1" s="2">
        <f>LET(id,$A251,code,UPPER(TRIM($D251)),rawStart,$F251,rawEnd,$G251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1" s="2">
        <f>LET(id,$A251,code,UPPER(TRIM($D251)),rawStart,$F251,rawEnd,$G251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1" s="2">
        <f>LET(id,$A251,code,UPPER(TRIM($D251)),rawStart,$F251,rawEnd,$G251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1" s="2">
        <f>LET(id,$A251,code,UPPER(TRIM($D251)),rawStart,$F251,rawEnd,$G251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1" s="2">
        <f>LET(id,$A251,code,UPPER(TRIM($D251)),rawStart,$F251,rawEnd,$G251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1" s="2">
        <f>LET(id,$A251,code,UPPER(TRIM($D251)),rawStart,$F251,rawEnd,$G251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1" s="2">
        <f>LET(id,$A251,code,UPPER(TRIM($D251)),rawStart,$F251,rawEnd,$G251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1" s="2">
        <f>LET(id,$A251,code,UPPER(TRIM($D251)),rawStart,$F251,rawEnd,$G251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1" s="2">
        <f>LET(id,$A251,code,UPPER(TRIM($D251)),rawStart,$F251,rawEnd,$G251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1" s="2">
        <f>LET(id,$A251,code,UPPER(TRIM($D251)),rawStart,$F251,rawEnd,$G251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1" s="2">
        <f>LET(id,$A251,code,UPPER(TRIM($D251)),rawStart,$F251,rawEnd,$G251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1" s="2">
        <f>LET(id,$A251,code,UPPER(TRIM($D251)),rawStart,$F251,rawEnd,$G251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1" s="2">
        <f>LET(id,$A251,code,UPPER(TRIM($D251)),rawStart,$F251,rawEnd,$G251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1" s="2">
        <f>LET(id,$A251,code,UPPER(TRIM($D251)),rawStart,$F251,rawEnd,$G251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1" s="2">
        <f>LET(id,$A251,code,UPPER(TRIM($D251)),rawStart,$F251,rawEnd,$G251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1" s="2">
        <f>LET(id,$A251,code,UPPER(TRIM($D251)),rawStart,$F251,rawEnd,$G251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1" s="2">
        <f>LET(id,$A251,code,UPPER(TRIM($D251)),rawStart,$F251,rawEnd,$G251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1" s="2">
        <f>LET(id,$A251,code,UPPER(TRIM($D251)),rawStart,$F251,rawEnd,$G251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1" s="2">
        <f>LET(id,$A251,code,UPPER(TRIM($D251)),rawStart,$F251,rawEnd,$G251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1" s="2">
        <f>LET(id,$A251,code,UPPER(TRIM($D251)),rawStart,$F251,rawEnd,$G251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1" s="2">
        <f>LET(id,$A251,code,UPPER(TRIM($D251)),rawStart,$F251,rawEnd,$G251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1" s="2">
        <f>LET(id,$A251,code,UPPER(TRIM($D251)),rawStart,$F251,rawEnd,$G251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1" s="2">
        <f>LET(id,$A251,code,UPPER(TRIM($D251)),rawStart,$F251,rawEnd,$G251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1" s="2">
        <f>LET(id,$A251,code,UPPER(TRIM($D251)),rawStart,$F251,rawEnd,$G251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1" s="2">
        <f>LET(id,$A251,code,UPPER(TRIM($D251)),rawStart,$F251,rawEnd,$G251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1" s="2">
        <f>LET(id,$A251,code,UPPER(TRIM($D251)),rawStart,$F251,rawEnd,$G251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1" s="2">
        <f>LET(id,$A251,code,UPPER(TRIM($D251)),rawStart,$F251,rawEnd,$G251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1" s="2">
        <f>LET(id,$A251,code,UPPER(TRIM($D251)),rawStart,$F251,rawEnd,$G251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1" s="2">
        <f>LET(id,$A251,code,UPPER(TRIM($D251)),rawStart,$F251,rawEnd,$G251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1" s="2">
        <f>LET(id,$A251,code,UPPER(TRIM($D251)),rawStart,$F251,rawEnd,$G251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1" s="2">
        <f>LET(id,$A251,code,UPPER(TRIM($D251)),rawStart,$F251,rawEnd,$G251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1" s="2">
        <f>LET(id,$A251,code,UPPER(TRIM($D251)),rawStart,$F251,rawEnd,$G251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1" s="2">
        <f>LET(id,$A251,code,UPPER(TRIM($D251)),rawStart,$F251,rawEnd,$G251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1" s="2">
        <f>LET(id,$A251,code,UPPER(TRIM($D251)),rawStart,$F251,rawEnd,$G251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1" s="2">
        <f>LET(id,$A251,code,UPPER(TRIM($D251)),rawStart,$F251,rawEnd,$G251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1" s="2">
        <f>LET(id,$A251,code,UPPER(TRIM($D251)),rawStart,$F251,rawEnd,$G251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1" s="2">
        <f>LET(id,$A251,code,UPPER(TRIM($D251)),rawStart,$F251,rawEnd,$G251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1" s="2">
        <f>LET(id,$A251,code,UPPER(TRIM($D251)),rawStart,$F251,rawEnd,$G251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1" s="2">
        <f>LET(id,$A251,code,UPPER(TRIM($D251)),rawStart,$F251,rawEnd,$G251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1" s="2">
        <f>LET(id,$A251,code,UPPER(TRIM($D251)),rawStart,$F251,rawEnd,$G251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51" s="2">
        <f>Calc_Engine!BD251</f>
        <v/>
      </c>
    </row>
    <row r="252">
      <c r="A252" s="2">
        <f>Calc_Engine!A252</f>
        <v/>
      </c>
      <c r="B252" s="2">
        <f>Calc_Engine!B252</f>
        <v/>
      </c>
      <c r="C252" s="2">
        <f>Calc_Engine!C252</f>
        <v/>
      </c>
      <c r="D252" s="2">
        <f>Calc_Engine!D252</f>
        <v/>
      </c>
      <c r="E252" s="4">
        <f>Calc_Engine!E252</f>
        <v/>
      </c>
      <c r="F252" s="5">
        <f>Calc_Engine!F252</f>
        <v/>
      </c>
      <c r="G252" s="5">
        <f>Calc_Engine!G252</f>
        <v/>
      </c>
      <c r="H252" s="2">
        <f>LET(id,$A252,code,UPPER(TRIM($D252)),rawStart,$F252,rawEnd,$G252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2" s="2">
        <f>LET(id,$A252,code,UPPER(TRIM($D252)),rawStart,$F252,rawEnd,$G252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2" s="2">
        <f>LET(id,$A252,code,UPPER(TRIM($D252)),rawStart,$F252,rawEnd,$G252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2" s="2">
        <f>LET(id,$A252,code,UPPER(TRIM($D252)),rawStart,$F252,rawEnd,$G252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2" s="2">
        <f>LET(id,$A252,code,UPPER(TRIM($D252)),rawStart,$F252,rawEnd,$G252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2" s="2">
        <f>LET(id,$A252,code,UPPER(TRIM($D252)),rawStart,$F252,rawEnd,$G252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2" s="2">
        <f>LET(id,$A252,code,UPPER(TRIM($D252)),rawStart,$F252,rawEnd,$G252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2" s="2">
        <f>LET(id,$A252,code,UPPER(TRIM($D252)),rawStart,$F252,rawEnd,$G252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2" s="2">
        <f>LET(id,$A252,code,UPPER(TRIM($D252)),rawStart,$F252,rawEnd,$G252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2" s="2">
        <f>LET(id,$A252,code,UPPER(TRIM($D252)),rawStart,$F252,rawEnd,$G252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2" s="2">
        <f>LET(id,$A252,code,UPPER(TRIM($D252)),rawStart,$F252,rawEnd,$G252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2" s="2">
        <f>LET(id,$A252,code,UPPER(TRIM($D252)),rawStart,$F252,rawEnd,$G252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2" s="2">
        <f>LET(id,$A252,code,UPPER(TRIM($D252)),rawStart,$F252,rawEnd,$G252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2" s="2">
        <f>LET(id,$A252,code,UPPER(TRIM($D252)),rawStart,$F252,rawEnd,$G252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2" s="2">
        <f>LET(id,$A252,code,UPPER(TRIM($D252)),rawStart,$F252,rawEnd,$G252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2" s="2">
        <f>LET(id,$A252,code,UPPER(TRIM($D252)),rawStart,$F252,rawEnd,$G252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2" s="2">
        <f>LET(id,$A252,code,UPPER(TRIM($D252)),rawStart,$F252,rawEnd,$G252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2" s="2">
        <f>LET(id,$A252,code,UPPER(TRIM($D252)),rawStart,$F252,rawEnd,$G252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2" s="2">
        <f>LET(id,$A252,code,UPPER(TRIM($D252)),rawStart,$F252,rawEnd,$G252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2" s="2">
        <f>LET(id,$A252,code,UPPER(TRIM($D252)),rawStart,$F252,rawEnd,$G252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2" s="2">
        <f>LET(id,$A252,code,UPPER(TRIM($D252)),rawStart,$F252,rawEnd,$G252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2" s="2">
        <f>LET(id,$A252,code,UPPER(TRIM($D252)),rawStart,$F252,rawEnd,$G252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2" s="2">
        <f>LET(id,$A252,code,UPPER(TRIM($D252)),rawStart,$F252,rawEnd,$G252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2" s="2">
        <f>LET(id,$A252,code,UPPER(TRIM($D252)),rawStart,$F252,rawEnd,$G252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2" s="2">
        <f>LET(id,$A252,code,UPPER(TRIM($D252)),rawStart,$F252,rawEnd,$G252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2" s="2">
        <f>LET(id,$A252,code,UPPER(TRIM($D252)),rawStart,$F252,rawEnd,$G252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2" s="2">
        <f>LET(id,$A252,code,UPPER(TRIM($D252)),rawStart,$F252,rawEnd,$G252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2" s="2">
        <f>LET(id,$A252,code,UPPER(TRIM($D252)),rawStart,$F252,rawEnd,$G252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2" s="2">
        <f>LET(id,$A252,code,UPPER(TRIM($D252)),rawStart,$F252,rawEnd,$G252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2" s="2">
        <f>LET(id,$A252,code,UPPER(TRIM($D252)),rawStart,$F252,rawEnd,$G252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2" s="2">
        <f>LET(id,$A252,code,UPPER(TRIM($D252)),rawStart,$F252,rawEnd,$G252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2" s="2">
        <f>LET(id,$A252,code,UPPER(TRIM($D252)),rawStart,$F252,rawEnd,$G252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2" s="2">
        <f>LET(id,$A252,code,UPPER(TRIM($D252)),rawStart,$F252,rawEnd,$G252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2" s="2">
        <f>LET(id,$A252,code,UPPER(TRIM($D252)),rawStart,$F252,rawEnd,$G252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2" s="2">
        <f>LET(id,$A252,code,UPPER(TRIM($D252)),rawStart,$F252,rawEnd,$G252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2" s="2">
        <f>LET(id,$A252,code,UPPER(TRIM($D252)),rawStart,$F252,rawEnd,$G252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2" s="2">
        <f>LET(id,$A252,code,UPPER(TRIM($D252)),rawStart,$F252,rawEnd,$G252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2" s="2">
        <f>LET(id,$A252,code,UPPER(TRIM($D252)),rawStart,$F252,rawEnd,$G252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2" s="2">
        <f>LET(id,$A252,code,UPPER(TRIM($D252)),rawStart,$F252,rawEnd,$G252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2" s="2">
        <f>LET(id,$A252,code,UPPER(TRIM($D252)),rawStart,$F252,rawEnd,$G252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2" s="2">
        <f>LET(id,$A252,code,UPPER(TRIM($D252)),rawStart,$F252,rawEnd,$G252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2" s="2">
        <f>LET(id,$A252,code,UPPER(TRIM($D252)),rawStart,$F252,rawEnd,$G252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2" s="2">
        <f>LET(id,$A252,code,UPPER(TRIM($D252)),rawStart,$F252,rawEnd,$G252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2" s="2">
        <f>LET(id,$A252,code,UPPER(TRIM($D252)),rawStart,$F252,rawEnd,$G252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2" s="2">
        <f>LET(id,$A252,code,UPPER(TRIM($D252)),rawStart,$F252,rawEnd,$G252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2" s="2">
        <f>LET(id,$A252,code,UPPER(TRIM($D252)),rawStart,$F252,rawEnd,$G252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2" s="2">
        <f>LET(id,$A252,code,UPPER(TRIM($D252)),rawStart,$F252,rawEnd,$G252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2" s="2">
        <f>LET(id,$A252,code,UPPER(TRIM($D252)),rawStart,$F252,rawEnd,$G252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52" s="2">
        <f>Calc_Engine!BD252</f>
        <v/>
      </c>
    </row>
    <row r="253">
      <c r="A253" s="2">
        <f>Calc_Engine!A253</f>
        <v/>
      </c>
      <c r="B253" s="2">
        <f>Calc_Engine!B253</f>
        <v/>
      </c>
      <c r="C253" s="2">
        <f>Calc_Engine!C253</f>
        <v/>
      </c>
      <c r="D253" s="2">
        <f>Calc_Engine!D253</f>
        <v/>
      </c>
      <c r="E253" s="4">
        <f>Calc_Engine!E253</f>
        <v/>
      </c>
      <c r="F253" s="5">
        <f>Calc_Engine!F253</f>
        <v/>
      </c>
      <c r="G253" s="5">
        <f>Calc_Engine!G253</f>
        <v/>
      </c>
      <c r="H253" s="2">
        <f>LET(id,$A253,code,UPPER(TRIM($D253)),rawStart,$F253,rawEnd,$G253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3" s="2">
        <f>LET(id,$A253,code,UPPER(TRIM($D253)),rawStart,$F253,rawEnd,$G253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3" s="2">
        <f>LET(id,$A253,code,UPPER(TRIM($D253)),rawStart,$F253,rawEnd,$G253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3" s="2">
        <f>LET(id,$A253,code,UPPER(TRIM($D253)),rawStart,$F253,rawEnd,$G253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3" s="2">
        <f>LET(id,$A253,code,UPPER(TRIM($D253)),rawStart,$F253,rawEnd,$G253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3" s="2">
        <f>LET(id,$A253,code,UPPER(TRIM($D253)),rawStart,$F253,rawEnd,$G253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3" s="2">
        <f>LET(id,$A253,code,UPPER(TRIM($D253)),rawStart,$F253,rawEnd,$G253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3" s="2">
        <f>LET(id,$A253,code,UPPER(TRIM($D253)),rawStart,$F253,rawEnd,$G253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3" s="2">
        <f>LET(id,$A253,code,UPPER(TRIM($D253)),rawStart,$F253,rawEnd,$G253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3" s="2">
        <f>LET(id,$A253,code,UPPER(TRIM($D253)),rawStart,$F253,rawEnd,$G253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3" s="2">
        <f>LET(id,$A253,code,UPPER(TRIM($D253)),rawStart,$F253,rawEnd,$G253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3" s="2">
        <f>LET(id,$A253,code,UPPER(TRIM($D253)),rawStart,$F253,rawEnd,$G253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3" s="2">
        <f>LET(id,$A253,code,UPPER(TRIM($D253)),rawStart,$F253,rawEnd,$G253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3" s="2">
        <f>LET(id,$A253,code,UPPER(TRIM($D253)),rawStart,$F253,rawEnd,$G253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3" s="2">
        <f>LET(id,$A253,code,UPPER(TRIM($D253)),rawStart,$F253,rawEnd,$G253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3" s="2">
        <f>LET(id,$A253,code,UPPER(TRIM($D253)),rawStart,$F253,rawEnd,$G253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3" s="2">
        <f>LET(id,$A253,code,UPPER(TRIM($D253)),rawStart,$F253,rawEnd,$G253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3" s="2">
        <f>LET(id,$A253,code,UPPER(TRIM($D253)),rawStart,$F253,rawEnd,$G253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3" s="2">
        <f>LET(id,$A253,code,UPPER(TRIM($D253)),rawStart,$F253,rawEnd,$G253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3" s="2">
        <f>LET(id,$A253,code,UPPER(TRIM($D253)),rawStart,$F253,rawEnd,$G253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3" s="2">
        <f>LET(id,$A253,code,UPPER(TRIM($D253)),rawStart,$F253,rawEnd,$G253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3" s="2">
        <f>LET(id,$A253,code,UPPER(TRIM($D253)),rawStart,$F253,rawEnd,$G253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3" s="2">
        <f>LET(id,$A253,code,UPPER(TRIM($D253)),rawStart,$F253,rawEnd,$G253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3" s="2">
        <f>LET(id,$A253,code,UPPER(TRIM($D253)),rawStart,$F253,rawEnd,$G253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3" s="2">
        <f>LET(id,$A253,code,UPPER(TRIM($D253)),rawStart,$F253,rawEnd,$G253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3" s="2">
        <f>LET(id,$A253,code,UPPER(TRIM($D253)),rawStart,$F253,rawEnd,$G253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3" s="2">
        <f>LET(id,$A253,code,UPPER(TRIM($D253)),rawStart,$F253,rawEnd,$G253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3" s="2">
        <f>LET(id,$A253,code,UPPER(TRIM($D253)),rawStart,$F253,rawEnd,$G253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3" s="2">
        <f>LET(id,$A253,code,UPPER(TRIM($D253)),rawStart,$F253,rawEnd,$G253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3" s="2">
        <f>LET(id,$A253,code,UPPER(TRIM($D253)),rawStart,$F253,rawEnd,$G253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3" s="2">
        <f>LET(id,$A253,code,UPPER(TRIM($D253)),rawStart,$F253,rawEnd,$G253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3" s="2">
        <f>LET(id,$A253,code,UPPER(TRIM($D253)),rawStart,$F253,rawEnd,$G253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3" s="2">
        <f>LET(id,$A253,code,UPPER(TRIM($D253)),rawStart,$F253,rawEnd,$G253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3" s="2">
        <f>LET(id,$A253,code,UPPER(TRIM($D253)),rawStart,$F253,rawEnd,$G253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3" s="2">
        <f>LET(id,$A253,code,UPPER(TRIM($D253)),rawStart,$F253,rawEnd,$G253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3" s="2">
        <f>LET(id,$A253,code,UPPER(TRIM($D253)),rawStart,$F253,rawEnd,$G253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3" s="2">
        <f>LET(id,$A253,code,UPPER(TRIM($D253)),rawStart,$F253,rawEnd,$G253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3" s="2">
        <f>LET(id,$A253,code,UPPER(TRIM($D253)),rawStart,$F253,rawEnd,$G253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3" s="2">
        <f>LET(id,$A253,code,UPPER(TRIM($D253)),rawStart,$F253,rawEnd,$G253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3" s="2">
        <f>LET(id,$A253,code,UPPER(TRIM($D253)),rawStart,$F253,rawEnd,$G253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3" s="2">
        <f>LET(id,$A253,code,UPPER(TRIM($D253)),rawStart,$F253,rawEnd,$G253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3" s="2">
        <f>LET(id,$A253,code,UPPER(TRIM($D253)),rawStart,$F253,rawEnd,$G253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3" s="2">
        <f>LET(id,$A253,code,UPPER(TRIM($D253)),rawStart,$F253,rawEnd,$G253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3" s="2">
        <f>LET(id,$A253,code,UPPER(TRIM($D253)),rawStart,$F253,rawEnd,$G253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3" s="2">
        <f>LET(id,$A253,code,UPPER(TRIM($D253)),rawStart,$F253,rawEnd,$G253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3" s="2">
        <f>LET(id,$A253,code,UPPER(TRIM($D253)),rawStart,$F253,rawEnd,$G253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3" s="2">
        <f>LET(id,$A253,code,UPPER(TRIM($D253)),rawStart,$F253,rawEnd,$G253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3" s="2">
        <f>LET(id,$A253,code,UPPER(TRIM($D253)),rawStart,$F253,rawEnd,$G253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53" s="2">
        <f>Calc_Engine!BD253</f>
        <v/>
      </c>
    </row>
    <row r="254">
      <c r="A254" s="2">
        <f>Calc_Engine!A254</f>
        <v/>
      </c>
      <c r="B254" s="2">
        <f>Calc_Engine!B254</f>
        <v/>
      </c>
      <c r="C254" s="2">
        <f>Calc_Engine!C254</f>
        <v/>
      </c>
      <c r="D254" s="2">
        <f>Calc_Engine!D254</f>
        <v/>
      </c>
      <c r="E254" s="4">
        <f>Calc_Engine!E254</f>
        <v/>
      </c>
      <c r="F254" s="5">
        <f>Calc_Engine!F254</f>
        <v/>
      </c>
      <c r="G254" s="5">
        <f>Calc_Engine!G254</f>
        <v/>
      </c>
      <c r="H254" s="2">
        <f>LET(id,$A254,code,UPPER(TRIM($D254)),rawStart,$F254,rawEnd,$G254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4" s="2">
        <f>LET(id,$A254,code,UPPER(TRIM($D254)),rawStart,$F254,rawEnd,$G254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4" s="2">
        <f>LET(id,$A254,code,UPPER(TRIM($D254)),rawStart,$F254,rawEnd,$G254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4" s="2">
        <f>LET(id,$A254,code,UPPER(TRIM($D254)),rawStart,$F254,rawEnd,$G254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4" s="2">
        <f>LET(id,$A254,code,UPPER(TRIM($D254)),rawStart,$F254,rawEnd,$G254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4" s="2">
        <f>LET(id,$A254,code,UPPER(TRIM($D254)),rawStart,$F254,rawEnd,$G254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4" s="2">
        <f>LET(id,$A254,code,UPPER(TRIM($D254)),rawStart,$F254,rawEnd,$G254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4" s="2">
        <f>LET(id,$A254,code,UPPER(TRIM($D254)),rawStart,$F254,rawEnd,$G254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4" s="2">
        <f>LET(id,$A254,code,UPPER(TRIM($D254)),rawStart,$F254,rawEnd,$G254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4" s="2">
        <f>LET(id,$A254,code,UPPER(TRIM($D254)),rawStart,$F254,rawEnd,$G254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4" s="2">
        <f>LET(id,$A254,code,UPPER(TRIM($D254)),rawStart,$F254,rawEnd,$G254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4" s="2">
        <f>LET(id,$A254,code,UPPER(TRIM($D254)),rawStart,$F254,rawEnd,$G254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4" s="2">
        <f>LET(id,$A254,code,UPPER(TRIM($D254)),rawStart,$F254,rawEnd,$G254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4" s="2">
        <f>LET(id,$A254,code,UPPER(TRIM($D254)),rawStart,$F254,rawEnd,$G254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4" s="2">
        <f>LET(id,$A254,code,UPPER(TRIM($D254)),rawStart,$F254,rawEnd,$G254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4" s="2">
        <f>LET(id,$A254,code,UPPER(TRIM($D254)),rawStart,$F254,rawEnd,$G254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4" s="2">
        <f>LET(id,$A254,code,UPPER(TRIM($D254)),rawStart,$F254,rawEnd,$G254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4" s="2">
        <f>LET(id,$A254,code,UPPER(TRIM($D254)),rawStart,$F254,rawEnd,$G254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4" s="2">
        <f>LET(id,$A254,code,UPPER(TRIM($D254)),rawStart,$F254,rawEnd,$G254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4" s="2">
        <f>LET(id,$A254,code,UPPER(TRIM($D254)),rawStart,$F254,rawEnd,$G254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4" s="2">
        <f>LET(id,$A254,code,UPPER(TRIM($D254)),rawStart,$F254,rawEnd,$G254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4" s="2">
        <f>LET(id,$A254,code,UPPER(TRIM($D254)),rawStart,$F254,rawEnd,$G254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4" s="2">
        <f>LET(id,$A254,code,UPPER(TRIM($D254)),rawStart,$F254,rawEnd,$G254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4" s="2">
        <f>LET(id,$A254,code,UPPER(TRIM($D254)),rawStart,$F254,rawEnd,$G254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4" s="2">
        <f>LET(id,$A254,code,UPPER(TRIM($D254)),rawStart,$F254,rawEnd,$G254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4" s="2">
        <f>LET(id,$A254,code,UPPER(TRIM($D254)),rawStart,$F254,rawEnd,$G254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4" s="2">
        <f>LET(id,$A254,code,UPPER(TRIM($D254)),rawStart,$F254,rawEnd,$G254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4" s="2">
        <f>LET(id,$A254,code,UPPER(TRIM($D254)),rawStart,$F254,rawEnd,$G254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4" s="2">
        <f>LET(id,$A254,code,UPPER(TRIM($D254)),rawStart,$F254,rawEnd,$G254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4" s="2">
        <f>LET(id,$A254,code,UPPER(TRIM($D254)),rawStart,$F254,rawEnd,$G254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4" s="2">
        <f>LET(id,$A254,code,UPPER(TRIM($D254)),rawStart,$F254,rawEnd,$G254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4" s="2">
        <f>LET(id,$A254,code,UPPER(TRIM($D254)),rawStart,$F254,rawEnd,$G254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4" s="2">
        <f>LET(id,$A254,code,UPPER(TRIM($D254)),rawStart,$F254,rawEnd,$G254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4" s="2">
        <f>LET(id,$A254,code,UPPER(TRIM($D254)),rawStart,$F254,rawEnd,$G254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4" s="2">
        <f>LET(id,$A254,code,UPPER(TRIM($D254)),rawStart,$F254,rawEnd,$G254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4" s="2">
        <f>LET(id,$A254,code,UPPER(TRIM($D254)),rawStart,$F254,rawEnd,$G254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4" s="2">
        <f>LET(id,$A254,code,UPPER(TRIM($D254)),rawStart,$F254,rawEnd,$G254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4" s="2">
        <f>LET(id,$A254,code,UPPER(TRIM($D254)),rawStart,$F254,rawEnd,$G254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4" s="2">
        <f>LET(id,$A254,code,UPPER(TRIM($D254)),rawStart,$F254,rawEnd,$G254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4" s="2">
        <f>LET(id,$A254,code,UPPER(TRIM($D254)),rawStart,$F254,rawEnd,$G254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4" s="2">
        <f>LET(id,$A254,code,UPPER(TRIM($D254)),rawStart,$F254,rawEnd,$G254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4" s="2">
        <f>LET(id,$A254,code,UPPER(TRIM($D254)),rawStart,$F254,rawEnd,$G254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4" s="2">
        <f>LET(id,$A254,code,UPPER(TRIM($D254)),rawStart,$F254,rawEnd,$G254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4" s="2">
        <f>LET(id,$A254,code,UPPER(TRIM($D254)),rawStart,$F254,rawEnd,$G254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4" s="2">
        <f>LET(id,$A254,code,UPPER(TRIM($D254)),rawStart,$F254,rawEnd,$G254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4" s="2">
        <f>LET(id,$A254,code,UPPER(TRIM($D254)),rawStart,$F254,rawEnd,$G254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4" s="2">
        <f>LET(id,$A254,code,UPPER(TRIM($D254)),rawStart,$F254,rawEnd,$G254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4" s="2">
        <f>LET(id,$A254,code,UPPER(TRIM($D254)),rawStart,$F254,rawEnd,$G254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54" s="2">
        <f>Calc_Engine!BD254</f>
        <v/>
      </c>
    </row>
    <row r="255">
      <c r="A255" s="2">
        <f>Calc_Engine!A255</f>
        <v/>
      </c>
      <c r="B255" s="2">
        <f>Calc_Engine!B255</f>
        <v/>
      </c>
      <c r="C255" s="2">
        <f>Calc_Engine!C255</f>
        <v/>
      </c>
      <c r="D255" s="2">
        <f>Calc_Engine!D255</f>
        <v/>
      </c>
      <c r="E255" s="4">
        <f>Calc_Engine!E255</f>
        <v/>
      </c>
      <c r="F255" s="5">
        <f>Calc_Engine!F255</f>
        <v/>
      </c>
      <c r="G255" s="5">
        <f>Calc_Engine!G255</f>
        <v/>
      </c>
      <c r="H255" s="2">
        <f>LET(id,$A255,code,UPPER(TRIM($D255)),rawStart,$F255,rawEnd,$G255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5" s="2">
        <f>LET(id,$A255,code,UPPER(TRIM($D255)),rawStart,$F255,rawEnd,$G255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5" s="2">
        <f>LET(id,$A255,code,UPPER(TRIM($D255)),rawStart,$F255,rawEnd,$G255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5" s="2">
        <f>LET(id,$A255,code,UPPER(TRIM($D255)),rawStart,$F255,rawEnd,$G255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5" s="2">
        <f>LET(id,$A255,code,UPPER(TRIM($D255)),rawStart,$F255,rawEnd,$G255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5" s="2">
        <f>LET(id,$A255,code,UPPER(TRIM($D255)),rawStart,$F255,rawEnd,$G255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5" s="2">
        <f>LET(id,$A255,code,UPPER(TRIM($D255)),rawStart,$F255,rawEnd,$G255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5" s="2">
        <f>LET(id,$A255,code,UPPER(TRIM($D255)),rawStart,$F255,rawEnd,$G255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5" s="2">
        <f>LET(id,$A255,code,UPPER(TRIM($D255)),rawStart,$F255,rawEnd,$G255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5" s="2">
        <f>LET(id,$A255,code,UPPER(TRIM($D255)),rawStart,$F255,rawEnd,$G255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5" s="2">
        <f>LET(id,$A255,code,UPPER(TRIM($D255)),rawStart,$F255,rawEnd,$G255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5" s="2">
        <f>LET(id,$A255,code,UPPER(TRIM($D255)),rawStart,$F255,rawEnd,$G255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5" s="2">
        <f>LET(id,$A255,code,UPPER(TRIM($D255)),rawStart,$F255,rawEnd,$G255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5" s="2">
        <f>LET(id,$A255,code,UPPER(TRIM($D255)),rawStart,$F255,rawEnd,$G255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5" s="2">
        <f>LET(id,$A255,code,UPPER(TRIM($D255)),rawStart,$F255,rawEnd,$G255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5" s="2">
        <f>LET(id,$A255,code,UPPER(TRIM($D255)),rawStart,$F255,rawEnd,$G255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5" s="2">
        <f>LET(id,$A255,code,UPPER(TRIM($D255)),rawStart,$F255,rawEnd,$G255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5" s="2">
        <f>LET(id,$A255,code,UPPER(TRIM($D255)),rawStart,$F255,rawEnd,$G255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5" s="2">
        <f>LET(id,$A255,code,UPPER(TRIM($D255)),rawStart,$F255,rawEnd,$G255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5" s="2">
        <f>LET(id,$A255,code,UPPER(TRIM($D255)),rawStart,$F255,rawEnd,$G255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5" s="2">
        <f>LET(id,$A255,code,UPPER(TRIM($D255)),rawStart,$F255,rawEnd,$G255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5" s="2">
        <f>LET(id,$A255,code,UPPER(TRIM($D255)),rawStart,$F255,rawEnd,$G255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5" s="2">
        <f>LET(id,$A255,code,UPPER(TRIM($D255)),rawStart,$F255,rawEnd,$G255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5" s="2">
        <f>LET(id,$A255,code,UPPER(TRIM($D255)),rawStart,$F255,rawEnd,$G255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5" s="2">
        <f>LET(id,$A255,code,UPPER(TRIM($D255)),rawStart,$F255,rawEnd,$G255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5" s="2">
        <f>LET(id,$A255,code,UPPER(TRIM($D255)),rawStart,$F255,rawEnd,$G255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5" s="2">
        <f>LET(id,$A255,code,UPPER(TRIM($D255)),rawStart,$F255,rawEnd,$G255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5" s="2">
        <f>LET(id,$A255,code,UPPER(TRIM($D255)),rawStart,$F255,rawEnd,$G255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5" s="2">
        <f>LET(id,$A255,code,UPPER(TRIM($D255)),rawStart,$F255,rawEnd,$G255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5" s="2">
        <f>LET(id,$A255,code,UPPER(TRIM($D255)),rawStart,$F255,rawEnd,$G255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5" s="2">
        <f>LET(id,$A255,code,UPPER(TRIM($D255)),rawStart,$F255,rawEnd,$G255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5" s="2">
        <f>LET(id,$A255,code,UPPER(TRIM($D255)),rawStart,$F255,rawEnd,$G255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5" s="2">
        <f>LET(id,$A255,code,UPPER(TRIM($D255)),rawStart,$F255,rawEnd,$G255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5" s="2">
        <f>LET(id,$A255,code,UPPER(TRIM($D255)),rawStart,$F255,rawEnd,$G255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5" s="2">
        <f>LET(id,$A255,code,UPPER(TRIM($D255)),rawStart,$F255,rawEnd,$G255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5" s="2">
        <f>LET(id,$A255,code,UPPER(TRIM($D255)),rawStart,$F255,rawEnd,$G255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5" s="2">
        <f>LET(id,$A255,code,UPPER(TRIM($D255)),rawStart,$F255,rawEnd,$G255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5" s="2">
        <f>LET(id,$A255,code,UPPER(TRIM($D255)),rawStart,$F255,rawEnd,$G255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5" s="2">
        <f>LET(id,$A255,code,UPPER(TRIM($D255)),rawStart,$F255,rawEnd,$G255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5" s="2">
        <f>LET(id,$A255,code,UPPER(TRIM($D255)),rawStart,$F255,rawEnd,$G255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5" s="2">
        <f>LET(id,$A255,code,UPPER(TRIM($D255)),rawStart,$F255,rawEnd,$G255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5" s="2">
        <f>LET(id,$A255,code,UPPER(TRIM($D255)),rawStart,$F255,rawEnd,$G255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5" s="2">
        <f>LET(id,$A255,code,UPPER(TRIM($D255)),rawStart,$F255,rawEnd,$G255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5" s="2">
        <f>LET(id,$A255,code,UPPER(TRIM($D255)),rawStart,$F255,rawEnd,$G255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5" s="2">
        <f>LET(id,$A255,code,UPPER(TRIM($D255)),rawStart,$F255,rawEnd,$G255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5" s="2">
        <f>LET(id,$A255,code,UPPER(TRIM($D255)),rawStart,$F255,rawEnd,$G255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5" s="2">
        <f>LET(id,$A255,code,UPPER(TRIM($D255)),rawStart,$F255,rawEnd,$G255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5" s="2">
        <f>LET(id,$A255,code,UPPER(TRIM($D255)),rawStart,$F255,rawEnd,$G255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55" s="2">
        <f>Calc_Engine!BD255</f>
        <v/>
      </c>
    </row>
    <row r="256">
      <c r="A256" s="2">
        <f>Calc_Engine!A256</f>
        <v/>
      </c>
      <c r="B256" s="2">
        <f>Calc_Engine!B256</f>
        <v/>
      </c>
      <c r="C256" s="2">
        <f>Calc_Engine!C256</f>
        <v/>
      </c>
      <c r="D256" s="2">
        <f>Calc_Engine!D256</f>
        <v/>
      </c>
      <c r="E256" s="4">
        <f>Calc_Engine!E256</f>
        <v/>
      </c>
      <c r="F256" s="5">
        <f>Calc_Engine!F256</f>
        <v/>
      </c>
      <c r="G256" s="5">
        <f>Calc_Engine!G256</f>
        <v/>
      </c>
      <c r="H256" s="2">
        <f>LET(id,$A256,code,UPPER(TRIM($D256)),rawStart,$F256,rawEnd,$G256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6" s="2">
        <f>LET(id,$A256,code,UPPER(TRIM($D256)),rawStart,$F256,rawEnd,$G256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6" s="2">
        <f>LET(id,$A256,code,UPPER(TRIM($D256)),rawStart,$F256,rawEnd,$G256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6" s="2">
        <f>LET(id,$A256,code,UPPER(TRIM($D256)),rawStart,$F256,rawEnd,$G256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6" s="2">
        <f>LET(id,$A256,code,UPPER(TRIM($D256)),rawStart,$F256,rawEnd,$G256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6" s="2">
        <f>LET(id,$A256,code,UPPER(TRIM($D256)),rawStart,$F256,rawEnd,$G256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6" s="2">
        <f>LET(id,$A256,code,UPPER(TRIM($D256)),rawStart,$F256,rawEnd,$G256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6" s="2">
        <f>LET(id,$A256,code,UPPER(TRIM($D256)),rawStart,$F256,rawEnd,$G256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6" s="2">
        <f>LET(id,$A256,code,UPPER(TRIM($D256)),rawStart,$F256,rawEnd,$G256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6" s="2">
        <f>LET(id,$A256,code,UPPER(TRIM($D256)),rawStart,$F256,rawEnd,$G256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6" s="2">
        <f>LET(id,$A256,code,UPPER(TRIM($D256)),rawStart,$F256,rawEnd,$G256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6" s="2">
        <f>LET(id,$A256,code,UPPER(TRIM($D256)),rawStart,$F256,rawEnd,$G256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6" s="2">
        <f>LET(id,$A256,code,UPPER(TRIM($D256)),rawStart,$F256,rawEnd,$G256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6" s="2">
        <f>LET(id,$A256,code,UPPER(TRIM($D256)),rawStart,$F256,rawEnd,$G256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6" s="2">
        <f>LET(id,$A256,code,UPPER(TRIM($D256)),rawStart,$F256,rawEnd,$G256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6" s="2">
        <f>LET(id,$A256,code,UPPER(TRIM($D256)),rawStart,$F256,rawEnd,$G256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6" s="2">
        <f>LET(id,$A256,code,UPPER(TRIM($D256)),rawStart,$F256,rawEnd,$G256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6" s="2">
        <f>LET(id,$A256,code,UPPER(TRIM($D256)),rawStart,$F256,rawEnd,$G256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6" s="2">
        <f>LET(id,$A256,code,UPPER(TRIM($D256)),rawStart,$F256,rawEnd,$G256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6" s="2">
        <f>LET(id,$A256,code,UPPER(TRIM($D256)),rawStart,$F256,rawEnd,$G256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6" s="2">
        <f>LET(id,$A256,code,UPPER(TRIM($D256)),rawStart,$F256,rawEnd,$G256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6" s="2">
        <f>LET(id,$A256,code,UPPER(TRIM($D256)),rawStart,$F256,rawEnd,$G256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6" s="2">
        <f>LET(id,$A256,code,UPPER(TRIM($D256)),rawStart,$F256,rawEnd,$G256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6" s="2">
        <f>LET(id,$A256,code,UPPER(TRIM($D256)),rawStart,$F256,rawEnd,$G256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6" s="2">
        <f>LET(id,$A256,code,UPPER(TRIM($D256)),rawStart,$F256,rawEnd,$G256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6" s="2">
        <f>LET(id,$A256,code,UPPER(TRIM($D256)),rawStart,$F256,rawEnd,$G256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6" s="2">
        <f>LET(id,$A256,code,UPPER(TRIM($D256)),rawStart,$F256,rawEnd,$G256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6" s="2">
        <f>LET(id,$A256,code,UPPER(TRIM($D256)),rawStart,$F256,rawEnd,$G256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6" s="2">
        <f>LET(id,$A256,code,UPPER(TRIM($D256)),rawStart,$F256,rawEnd,$G256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6" s="2">
        <f>LET(id,$A256,code,UPPER(TRIM($D256)),rawStart,$F256,rawEnd,$G256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6" s="2">
        <f>LET(id,$A256,code,UPPER(TRIM($D256)),rawStart,$F256,rawEnd,$G256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6" s="2">
        <f>LET(id,$A256,code,UPPER(TRIM($D256)),rawStart,$F256,rawEnd,$G256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6" s="2">
        <f>LET(id,$A256,code,UPPER(TRIM($D256)),rawStart,$F256,rawEnd,$G256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6" s="2">
        <f>LET(id,$A256,code,UPPER(TRIM($D256)),rawStart,$F256,rawEnd,$G256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6" s="2">
        <f>LET(id,$A256,code,UPPER(TRIM($D256)),rawStart,$F256,rawEnd,$G256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6" s="2">
        <f>LET(id,$A256,code,UPPER(TRIM($D256)),rawStart,$F256,rawEnd,$G256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6" s="2">
        <f>LET(id,$A256,code,UPPER(TRIM($D256)),rawStart,$F256,rawEnd,$G256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6" s="2">
        <f>LET(id,$A256,code,UPPER(TRIM($D256)),rawStart,$F256,rawEnd,$G256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6" s="2">
        <f>LET(id,$A256,code,UPPER(TRIM($D256)),rawStart,$F256,rawEnd,$G256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6" s="2">
        <f>LET(id,$A256,code,UPPER(TRIM($D256)),rawStart,$F256,rawEnd,$G256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6" s="2">
        <f>LET(id,$A256,code,UPPER(TRIM($D256)),rawStart,$F256,rawEnd,$G256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6" s="2">
        <f>LET(id,$A256,code,UPPER(TRIM($D256)),rawStart,$F256,rawEnd,$G256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6" s="2">
        <f>LET(id,$A256,code,UPPER(TRIM($D256)),rawStart,$F256,rawEnd,$G256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6" s="2">
        <f>LET(id,$A256,code,UPPER(TRIM($D256)),rawStart,$F256,rawEnd,$G256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6" s="2">
        <f>LET(id,$A256,code,UPPER(TRIM($D256)),rawStart,$F256,rawEnd,$G256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6" s="2">
        <f>LET(id,$A256,code,UPPER(TRIM($D256)),rawStart,$F256,rawEnd,$G256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6" s="2">
        <f>LET(id,$A256,code,UPPER(TRIM($D256)),rawStart,$F256,rawEnd,$G256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6" s="2">
        <f>LET(id,$A256,code,UPPER(TRIM($D256)),rawStart,$F256,rawEnd,$G256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56" s="2">
        <f>Calc_Engine!BD256</f>
        <v/>
      </c>
    </row>
    <row r="257">
      <c r="A257" s="2">
        <f>Calc_Engine!A257</f>
        <v/>
      </c>
      <c r="B257" s="2">
        <f>Calc_Engine!B257</f>
        <v/>
      </c>
      <c r="C257" s="2">
        <f>Calc_Engine!C257</f>
        <v/>
      </c>
      <c r="D257" s="2">
        <f>Calc_Engine!D257</f>
        <v/>
      </c>
      <c r="E257" s="4">
        <f>Calc_Engine!E257</f>
        <v/>
      </c>
      <c r="F257" s="5">
        <f>Calc_Engine!F257</f>
        <v/>
      </c>
      <c r="G257" s="5">
        <f>Calc_Engine!G257</f>
        <v/>
      </c>
      <c r="H257" s="2">
        <f>LET(id,$A257,code,UPPER(TRIM($D257)),rawStart,$F257,rawEnd,$G257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7" s="2">
        <f>LET(id,$A257,code,UPPER(TRIM($D257)),rawStart,$F257,rawEnd,$G257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7" s="2">
        <f>LET(id,$A257,code,UPPER(TRIM($D257)),rawStart,$F257,rawEnd,$G257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7" s="2">
        <f>LET(id,$A257,code,UPPER(TRIM($D257)),rawStart,$F257,rawEnd,$G257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7" s="2">
        <f>LET(id,$A257,code,UPPER(TRIM($D257)),rawStart,$F257,rawEnd,$G257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7" s="2">
        <f>LET(id,$A257,code,UPPER(TRIM($D257)),rawStart,$F257,rawEnd,$G257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7" s="2">
        <f>LET(id,$A257,code,UPPER(TRIM($D257)),rawStart,$F257,rawEnd,$G257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7" s="2">
        <f>LET(id,$A257,code,UPPER(TRIM($D257)),rawStart,$F257,rawEnd,$G257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7" s="2">
        <f>LET(id,$A257,code,UPPER(TRIM($D257)),rawStart,$F257,rawEnd,$G257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7" s="2">
        <f>LET(id,$A257,code,UPPER(TRIM($D257)),rawStart,$F257,rawEnd,$G257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7" s="2">
        <f>LET(id,$A257,code,UPPER(TRIM($D257)),rawStart,$F257,rawEnd,$G257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7" s="2">
        <f>LET(id,$A257,code,UPPER(TRIM($D257)),rawStart,$F257,rawEnd,$G257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7" s="2">
        <f>LET(id,$A257,code,UPPER(TRIM($D257)),rawStart,$F257,rawEnd,$G257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7" s="2">
        <f>LET(id,$A257,code,UPPER(TRIM($D257)),rawStart,$F257,rawEnd,$G257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7" s="2">
        <f>LET(id,$A257,code,UPPER(TRIM($D257)),rawStart,$F257,rawEnd,$G257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7" s="2">
        <f>LET(id,$A257,code,UPPER(TRIM($D257)),rawStart,$F257,rawEnd,$G257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7" s="2">
        <f>LET(id,$A257,code,UPPER(TRIM($D257)),rawStart,$F257,rawEnd,$G257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7" s="2">
        <f>LET(id,$A257,code,UPPER(TRIM($D257)),rawStart,$F257,rawEnd,$G257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7" s="2">
        <f>LET(id,$A257,code,UPPER(TRIM($D257)),rawStart,$F257,rawEnd,$G257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7" s="2">
        <f>LET(id,$A257,code,UPPER(TRIM($D257)),rawStart,$F257,rawEnd,$G257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7" s="2">
        <f>LET(id,$A257,code,UPPER(TRIM($D257)),rawStart,$F257,rawEnd,$G257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7" s="2">
        <f>LET(id,$A257,code,UPPER(TRIM($D257)),rawStart,$F257,rawEnd,$G257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7" s="2">
        <f>LET(id,$A257,code,UPPER(TRIM($D257)),rawStart,$F257,rawEnd,$G257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7" s="2">
        <f>LET(id,$A257,code,UPPER(TRIM($D257)),rawStart,$F257,rawEnd,$G257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7" s="2">
        <f>LET(id,$A257,code,UPPER(TRIM($D257)),rawStart,$F257,rawEnd,$G257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7" s="2">
        <f>LET(id,$A257,code,UPPER(TRIM($D257)),rawStart,$F257,rawEnd,$G257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7" s="2">
        <f>LET(id,$A257,code,UPPER(TRIM($D257)),rawStart,$F257,rawEnd,$G257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7" s="2">
        <f>LET(id,$A257,code,UPPER(TRIM($D257)),rawStart,$F257,rawEnd,$G257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7" s="2">
        <f>LET(id,$A257,code,UPPER(TRIM($D257)),rawStart,$F257,rawEnd,$G257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7" s="2">
        <f>LET(id,$A257,code,UPPER(TRIM($D257)),rawStart,$F257,rawEnd,$G257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7" s="2">
        <f>LET(id,$A257,code,UPPER(TRIM($D257)),rawStart,$F257,rawEnd,$G257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7" s="2">
        <f>LET(id,$A257,code,UPPER(TRIM($D257)),rawStart,$F257,rawEnd,$G257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7" s="2">
        <f>LET(id,$A257,code,UPPER(TRIM($D257)),rawStart,$F257,rawEnd,$G257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7" s="2">
        <f>LET(id,$A257,code,UPPER(TRIM($D257)),rawStart,$F257,rawEnd,$G257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7" s="2">
        <f>LET(id,$A257,code,UPPER(TRIM($D257)),rawStart,$F257,rawEnd,$G257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7" s="2">
        <f>LET(id,$A257,code,UPPER(TRIM($D257)),rawStart,$F257,rawEnd,$G257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7" s="2">
        <f>LET(id,$A257,code,UPPER(TRIM($D257)),rawStart,$F257,rawEnd,$G257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7" s="2">
        <f>LET(id,$A257,code,UPPER(TRIM($D257)),rawStart,$F257,rawEnd,$G257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7" s="2">
        <f>LET(id,$A257,code,UPPER(TRIM($D257)),rawStart,$F257,rawEnd,$G257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7" s="2">
        <f>LET(id,$A257,code,UPPER(TRIM($D257)),rawStart,$F257,rawEnd,$G257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7" s="2">
        <f>LET(id,$A257,code,UPPER(TRIM($D257)),rawStart,$F257,rawEnd,$G257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7" s="2">
        <f>LET(id,$A257,code,UPPER(TRIM($D257)),rawStart,$F257,rawEnd,$G257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7" s="2">
        <f>LET(id,$A257,code,UPPER(TRIM($D257)),rawStart,$F257,rawEnd,$G257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7" s="2">
        <f>LET(id,$A257,code,UPPER(TRIM($D257)),rawStart,$F257,rawEnd,$G257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7" s="2">
        <f>LET(id,$A257,code,UPPER(TRIM($D257)),rawStart,$F257,rawEnd,$G257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7" s="2">
        <f>LET(id,$A257,code,UPPER(TRIM($D257)),rawStart,$F257,rawEnd,$G257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7" s="2">
        <f>LET(id,$A257,code,UPPER(TRIM($D257)),rawStart,$F257,rawEnd,$G257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7" s="2">
        <f>LET(id,$A257,code,UPPER(TRIM($D257)),rawStart,$F257,rawEnd,$G257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  <c r="BD257" s="2">
        <f>Calc_Engine!BD257</f>
        <v/>
      </c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  <c r="AL258" s="2" t="n"/>
      <c r="AM258" s="2" t="n"/>
      <c r="AN258" s="2" t="n"/>
      <c r="AO258" s="2" t="n"/>
      <c r="AP258" s="2" t="n"/>
      <c r="AQ258" s="2" t="n"/>
      <c r="AR258" s="2" t="n"/>
      <c r="AS258" s="2" t="n"/>
      <c r="AT258" s="2" t="n"/>
      <c r="AU258" s="2" t="n"/>
      <c r="AV258" s="2" t="n"/>
      <c r="AW258" s="2" t="n"/>
      <c r="AX258" s="2" t="n"/>
      <c r="AY258" s="2" t="n"/>
      <c r="AZ258" s="2" t="n"/>
      <c r="BA258" s="2" t="n"/>
      <c r="BB258" s="2" t="n"/>
      <c r="BC258" s="2" t="n"/>
      <c r="BD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  <c r="AV259" s="2" t="n"/>
      <c r="AW259" s="2" t="n"/>
      <c r="AX259" s="2" t="n"/>
      <c r="AY259" s="2" t="n"/>
      <c r="AZ259" s="2" t="n"/>
      <c r="BA259" s="2" t="n"/>
      <c r="BB259" s="2" t="n"/>
      <c r="BC259" s="2" t="n"/>
      <c r="BD259" s="2" t="n"/>
    </row>
    <row r="260">
      <c r="A260" s="1" t="n"/>
      <c r="B260" s="1" t="n"/>
      <c r="C260" s="1" t="n"/>
      <c r="D260" s="1" t="n"/>
      <c r="E260" s="1" t="n"/>
      <c r="F260" s="1" t="n"/>
      <c r="G260" s="1" t="inlineStr">
        <is>
          <t>Scheduled Productive</t>
        </is>
      </c>
      <c r="H260" s="7">
        <f>SUM(Calc_Engine!H$8:H$257)</f>
        <v/>
      </c>
      <c r="I260" s="7">
        <f>SUM(Calc_Engine!I$8:I$257)</f>
        <v/>
      </c>
      <c r="J260" s="7">
        <f>SUM(Calc_Engine!J$8:J$257)</f>
        <v/>
      </c>
      <c r="K260" s="7">
        <f>SUM(Calc_Engine!K$8:K$257)</f>
        <v/>
      </c>
      <c r="L260" s="7">
        <f>SUM(Calc_Engine!L$8:L$257)</f>
        <v/>
      </c>
      <c r="M260" s="7">
        <f>SUM(Calc_Engine!M$8:M$257)</f>
        <v/>
      </c>
      <c r="N260" s="7">
        <f>SUM(Calc_Engine!N$8:N$257)</f>
        <v/>
      </c>
      <c r="O260" s="7">
        <f>SUM(Calc_Engine!O$8:O$257)</f>
        <v/>
      </c>
      <c r="P260" s="7">
        <f>SUM(Calc_Engine!P$8:P$257)</f>
        <v/>
      </c>
      <c r="Q260" s="7">
        <f>SUM(Calc_Engine!Q$8:Q$257)</f>
        <v/>
      </c>
      <c r="R260" s="7">
        <f>SUM(Calc_Engine!R$8:R$257)</f>
        <v/>
      </c>
      <c r="S260" s="7">
        <f>SUM(Calc_Engine!S$8:S$257)</f>
        <v/>
      </c>
      <c r="T260" s="7">
        <f>SUM(Calc_Engine!T$8:T$257)</f>
        <v/>
      </c>
      <c r="U260" s="7">
        <f>SUM(Calc_Engine!U$8:U$257)</f>
        <v/>
      </c>
      <c r="V260" s="7">
        <f>SUM(Calc_Engine!V$8:V$257)</f>
        <v/>
      </c>
      <c r="W260" s="7">
        <f>SUM(Calc_Engine!W$8:W$257)</f>
        <v/>
      </c>
      <c r="X260" s="7">
        <f>SUM(Calc_Engine!X$8:X$257)</f>
        <v/>
      </c>
      <c r="Y260" s="7">
        <f>SUM(Calc_Engine!Y$8:Y$257)</f>
        <v/>
      </c>
      <c r="Z260" s="7">
        <f>SUM(Calc_Engine!Z$8:Z$257)</f>
        <v/>
      </c>
      <c r="AA260" s="7">
        <f>SUM(Calc_Engine!AA$8:AA$257)</f>
        <v/>
      </c>
      <c r="AB260" s="7">
        <f>SUM(Calc_Engine!AB$8:AB$257)</f>
        <v/>
      </c>
      <c r="AC260" s="7">
        <f>SUM(Calc_Engine!AC$8:AC$257)</f>
        <v/>
      </c>
      <c r="AD260" s="7">
        <f>SUM(Calc_Engine!AD$8:AD$257)</f>
        <v/>
      </c>
      <c r="AE260" s="7">
        <f>SUM(Calc_Engine!AE$8:AE$257)</f>
        <v/>
      </c>
      <c r="AF260" s="7">
        <f>SUM(Calc_Engine!AF$8:AF$257)</f>
        <v/>
      </c>
      <c r="AG260" s="7">
        <f>SUM(Calc_Engine!AG$8:AG$257)</f>
        <v/>
      </c>
      <c r="AH260" s="7">
        <f>SUM(Calc_Engine!AH$8:AH$257)</f>
        <v/>
      </c>
      <c r="AI260" s="7">
        <f>SUM(Calc_Engine!AI$8:AI$257)</f>
        <v/>
      </c>
      <c r="AJ260" s="7">
        <f>SUM(Calc_Engine!AJ$8:AJ$257)</f>
        <v/>
      </c>
      <c r="AK260" s="7">
        <f>SUM(Calc_Engine!AK$8:AK$257)</f>
        <v/>
      </c>
      <c r="AL260" s="7">
        <f>SUM(Calc_Engine!AL$8:AL$257)</f>
        <v/>
      </c>
      <c r="AM260" s="7">
        <f>SUM(Calc_Engine!AM$8:AM$257)</f>
        <v/>
      </c>
      <c r="AN260" s="7">
        <f>SUM(Calc_Engine!AN$8:AN$257)</f>
        <v/>
      </c>
      <c r="AO260" s="7">
        <f>SUM(Calc_Engine!AO$8:AO$257)</f>
        <v/>
      </c>
      <c r="AP260" s="7">
        <f>SUM(Calc_Engine!AP$8:AP$257)</f>
        <v/>
      </c>
      <c r="AQ260" s="7">
        <f>SUM(Calc_Engine!AQ$8:AQ$257)</f>
        <v/>
      </c>
      <c r="AR260" s="7">
        <f>SUM(Calc_Engine!AR$8:AR$257)</f>
        <v/>
      </c>
      <c r="AS260" s="7">
        <f>SUM(Calc_Engine!AS$8:AS$257)</f>
        <v/>
      </c>
      <c r="AT260" s="7">
        <f>SUM(Calc_Engine!AT$8:AT$257)</f>
        <v/>
      </c>
      <c r="AU260" s="7">
        <f>SUM(Calc_Engine!AU$8:AU$257)</f>
        <v/>
      </c>
      <c r="AV260" s="7">
        <f>SUM(Calc_Engine!AV$8:AV$257)</f>
        <v/>
      </c>
      <c r="AW260" s="7">
        <f>SUM(Calc_Engine!AW$8:AW$257)</f>
        <v/>
      </c>
      <c r="AX260" s="7">
        <f>SUM(Calc_Engine!AX$8:AX$257)</f>
        <v/>
      </c>
      <c r="AY260" s="7">
        <f>SUM(Calc_Engine!AY$8:AY$257)</f>
        <v/>
      </c>
      <c r="AZ260" s="7">
        <f>SUM(Calc_Engine!AZ$8:AZ$257)</f>
        <v/>
      </c>
      <c r="BA260" s="7">
        <f>SUM(Calc_Engine!BA$8:BA$257)</f>
        <v/>
      </c>
      <c r="BB260" s="7">
        <f>SUM(Calc_Engine!BB$8:BB$257)</f>
        <v/>
      </c>
      <c r="BC260" s="7">
        <f>SUM(Calc_Engine!BC$8:BC$257)</f>
        <v/>
      </c>
      <c r="BD260" s="1" t="n"/>
    </row>
    <row r="261">
      <c r="A261" s="1" t="n"/>
      <c r="B261" s="1" t="n"/>
      <c r="C261" s="1" t="n"/>
      <c r="D261" s="1" t="n"/>
      <c r="E261" s="1" t="n"/>
      <c r="F261" s="1" t="n"/>
      <c r="G261" s="1" t="inlineStr">
        <is>
          <t>Required</t>
        </is>
      </c>
      <c r="H261" s="7">
        <f>IF(COUNTIFS(tblRequirements[OperationalDate],$E$2,tblRequirements[IntervalStart],H$1)=0,"",SUMIFS(tblRequirements[RequiredHeadcount],tblRequirements[OperationalDate],$E$2,tblRequirements[IntervalStart],H$1))</f>
        <v/>
      </c>
      <c r="I261" s="7">
        <f>IF(COUNTIFS(tblRequirements[OperationalDate],$E$2,tblRequirements[IntervalStart],I$1)=0,"",SUMIFS(tblRequirements[RequiredHeadcount],tblRequirements[OperationalDate],$E$2,tblRequirements[IntervalStart],I$1))</f>
        <v/>
      </c>
      <c r="J261" s="7">
        <f>IF(COUNTIFS(tblRequirements[OperationalDate],$E$2,tblRequirements[IntervalStart],J$1)=0,"",SUMIFS(tblRequirements[RequiredHeadcount],tblRequirements[OperationalDate],$E$2,tblRequirements[IntervalStart],J$1))</f>
        <v/>
      </c>
      <c r="K261" s="7">
        <f>IF(COUNTIFS(tblRequirements[OperationalDate],$E$2,tblRequirements[IntervalStart],K$1)=0,"",SUMIFS(tblRequirements[RequiredHeadcount],tblRequirements[OperationalDate],$E$2,tblRequirements[IntervalStart],K$1))</f>
        <v/>
      </c>
      <c r="L261" s="7">
        <f>IF(COUNTIFS(tblRequirements[OperationalDate],$E$2,tblRequirements[IntervalStart],L$1)=0,"",SUMIFS(tblRequirements[RequiredHeadcount],tblRequirements[OperationalDate],$E$2,tblRequirements[IntervalStart],L$1))</f>
        <v/>
      </c>
      <c r="M261" s="7">
        <f>IF(COUNTIFS(tblRequirements[OperationalDate],$E$2,tblRequirements[IntervalStart],M$1)=0,"",SUMIFS(tblRequirements[RequiredHeadcount],tblRequirements[OperationalDate],$E$2,tblRequirements[IntervalStart],M$1))</f>
        <v/>
      </c>
      <c r="N261" s="7">
        <f>IF(COUNTIFS(tblRequirements[OperationalDate],$E$2,tblRequirements[IntervalStart],N$1)=0,"",SUMIFS(tblRequirements[RequiredHeadcount],tblRequirements[OperationalDate],$E$2,tblRequirements[IntervalStart],N$1))</f>
        <v/>
      </c>
      <c r="O261" s="7">
        <f>IF(COUNTIFS(tblRequirements[OperationalDate],$E$2,tblRequirements[IntervalStart],O$1)=0,"",SUMIFS(tblRequirements[RequiredHeadcount],tblRequirements[OperationalDate],$E$2,tblRequirements[IntervalStart],O$1))</f>
        <v/>
      </c>
      <c r="P261" s="7">
        <f>IF(COUNTIFS(tblRequirements[OperationalDate],$E$2,tblRequirements[IntervalStart],P$1)=0,"",SUMIFS(tblRequirements[RequiredHeadcount],tblRequirements[OperationalDate],$E$2,tblRequirements[IntervalStart],P$1))</f>
        <v/>
      </c>
      <c r="Q261" s="7">
        <f>IF(COUNTIFS(tblRequirements[OperationalDate],$E$2,tblRequirements[IntervalStart],Q$1)=0,"",SUMIFS(tblRequirements[RequiredHeadcount],tblRequirements[OperationalDate],$E$2,tblRequirements[IntervalStart],Q$1))</f>
        <v/>
      </c>
      <c r="R261" s="7">
        <f>IF(COUNTIFS(tblRequirements[OperationalDate],$E$2,tblRequirements[IntervalStart],R$1)=0,"",SUMIFS(tblRequirements[RequiredHeadcount],tblRequirements[OperationalDate],$E$2,tblRequirements[IntervalStart],R$1))</f>
        <v/>
      </c>
      <c r="S261" s="7">
        <f>IF(COUNTIFS(tblRequirements[OperationalDate],$E$2,tblRequirements[IntervalStart],S$1)=0,"",SUMIFS(tblRequirements[RequiredHeadcount],tblRequirements[OperationalDate],$E$2,tblRequirements[IntervalStart],S$1))</f>
        <v/>
      </c>
      <c r="T261" s="7">
        <f>IF(COUNTIFS(tblRequirements[OperationalDate],$E$2,tblRequirements[IntervalStart],T$1)=0,"",SUMIFS(tblRequirements[RequiredHeadcount],tblRequirements[OperationalDate],$E$2,tblRequirements[IntervalStart],T$1))</f>
        <v/>
      </c>
      <c r="U261" s="7">
        <f>IF(COUNTIFS(tblRequirements[OperationalDate],$E$2,tblRequirements[IntervalStart],U$1)=0,"",SUMIFS(tblRequirements[RequiredHeadcount],tblRequirements[OperationalDate],$E$2,tblRequirements[IntervalStart],U$1))</f>
        <v/>
      </c>
      <c r="V261" s="7">
        <f>IF(COUNTIFS(tblRequirements[OperationalDate],$E$2,tblRequirements[IntervalStart],V$1)=0,"",SUMIFS(tblRequirements[RequiredHeadcount],tblRequirements[OperationalDate],$E$2,tblRequirements[IntervalStart],V$1))</f>
        <v/>
      </c>
      <c r="W261" s="7">
        <f>IF(COUNTIFS(tblRequirements[OperationalDate],$E$2,tblRequirements[IntervalStart],W$1)=0,"",SUMIFS(tblRequirements[RequiredHeadcount],tblRequirements[OperationalDate],$E$2,tblRequirements[IntervalStart],W$1))</f>
        <v/>
      </c>
      <c r="X261" s="7">
        <f>IF(COUNTIFS(tblRequirements[OperationalDate],$E$2,tblRequirements[IntervalStart],X$1)=0,"",SUMIFS(tblRequirements[RequiredHeadcount],tblRequirements[OperationalDate],$E$2,tblRequirements[IntervalStart],X$1))</f>
        <v/>
      </c>
      <c r="Y261" s="7">
        <f>IF(COUNTIFS(tblRequirements[OperationalDate],$E$2,tblRequirements[IntervalStart],Y$1)=0,"",SUMIFS(tblRequirements[RequiredHeadcount],tblRequirements[OperationalDate],$E$2,tblRequirements[IntervalStart],Y$1))</f>
        <v/>
      </c>
      <c r="Z261" s="7">
        <f>IF(COUNTIFS(tblRequirements[OperationalDate],$E$2,tblRequirements[IntervalStart],Z$1)=0,"",SUMIFS(tblRequirements[RequiredHeadcount],tblRequirements[OperationalDate],$E$2,tblRequirements[IntervalStart],Z$1))</f>
        <v/>
      </c>
      <c r="AA261" s="7">
        <f>IF(COUNTIFS(tblRequirements[OperationalDate],$E$2,tblRequirements[IntervalStart],AA$1)=0,"",SUMIFS(tblRequirements[RequiredHeadcount],tblRequirements[OperationalDate],$E$2,tblRequirements[IntervalStart],AA$1))</f>
        <v/>
      </c>
      <c r="AB261" s="7">
        <f>IF(COUNTIFS(tblRequirements[OperationalDate],$E$2,tblRequirements[IntervalStart],AB$1)=0,"",SUMIFS(tblRequirements[RequiredHeadcount],tblRequirements[OperationalDate],$E$2,tblRequirements[IntervalStart],AB$1))</f>
        <v/>
      </c>
      <c r="AC261" s="7">
        <f>IF(COUNTIFS(tblRequirements[OperationalDate],$E$2,tblRequirements[IntervalStart],AC$1)=0,"",SUMIFS(tblRequirements[RequiredHeadcount],tblRequirements[OperationalDate],$E$2,tblRequirements[IntervalStart],AC$1))</f>
        <v/>
      </c>
      <c r="AD261" s="7">
        <f>IF(COUNTIFS(tblRequirements[OperationalDate],$E$2,tblRequirements[IntervalStart],AD$1)=0,"",SUMIFS(tblRequirements[RequiredHeadcount],tblRequirements[OperationalDate],$E$2,tblRequirements[IntervalStart],AD$1))</f>
        <v/>
      </c>
      <c r="AE261" s="7">
        <f>IF(COUNTIFS(tblRequirements[OperationalDate],$E$2,tblRequirements[IntervalStart],AE$1)=0,"",SUMIFS(tblRequirements[RequiredHeadcount],tblRequirements[OperationalDate],$E$2,tblRequirements[IntervalStart],AE$1))</f>
        <v/>
      </c>
      <c r="AF261" s="7">
        <f>IF(COUNTIFS(tblRequirements[OperationalDate],$E$2,tblRequirements[IntervalStart],AF$1)=0,"",SUMIFS(tblRequirements[RequiredHeadcount],tblRequirements[OperationalDate],$E$2,tblRequirements[IntervalStart],AF$1))</f>
        <v/>
      </c>
      <c r="AG261" s="7">
        <f>IF(COUNTIFS(tblRequirements[OperationalDate],$E$2,tblRequirements[IntervalStart],AG$1)=0,"",SUMIFS(tblRequirements[RequiredHeadcount],tblRequirements[OperationalDate],$E$2,tblRequirements[IntervalStart],AG$1))</f>
        <v/>
      </c>
      <c r="AH261" s="7">
        <f>IF(COUNTIFS(tblRequirements[OperationalDate],$E$2,tblRequirements[IntervalStart],AH$1)=0,"",SUMIFS(tblRequirements[RequiredHeadcount],tblRequirements[OperationalDate],$E$2,tblRequirements[IntervalStart],AH$1))</f>
        <v/>
      </c>
      <c r="AI261" s="7">
        <f>IF(COUNTIFS(tblRequirements[OperationalDate],$E$2,tblRequirements[IntervalStart],AI$1)=0,"",SUMIFS(tblRequirements[RequiredHeadcount],tblRequirements[OperationalDate],$E$2,tblRequirements[IntervalStart],AI$1))</f>
        <v/>
      </c>
      <c r="AJ261" s="7">
        <f>IF(COUNTIFS(tblRequirements[OperationalDate],$E$2,tblRequirements[IntervalStart],AJ$1)=0,"",SUMIFS(tblRequirements[RequiredHeadcount],tblRequirements[OperationalDate],$E$2,tblRequirements[IntervalStart],AJ$1))</f>
        <v/>
      </c>
      <c r="AK261" s="7">
        <f>IF(COUNTIFS(tblRequirements[OperationalDate],$E$2,tblRequirements[IntervalStart],AK$1)=0,"",SUMIFS(tblRequirements[RequiredHeadcount],tblRequirements[OperationalDate],$E$2,tblRequirements[IntervalStart],AK$1))</f>
        <v/>
      </c>
      <c r="AL261" s="7">
        <f>IF(COUNTIFS(tblRequirements[OperationalDate],$E$2,tblRequirements[IntervalStart],AL$1)=0,"",SUMIFS(tblRequirements[RequiredHeadcount],tblRequirements[OperationalDate],$E$2,tblRequirements[IntervalStart],AL$1))</f>
        <v/>
      </c>
      <c r="AM261" s="7">
        <f>IF(COUNTIFS(tblRequirements[OperationalDate],$E$2,tblRequirements[IntervalStart],AM$1)=0,"",SUMIFS(tblRequirements[RequiredHeadcount],tblRequirements[OperationalDate],$E$2,tblRequirements[IntervalStart],AM$1))</f>
        <v/>
      </c>
      <c r="AN261" s="7">
        <f>IF(COUNTIFS(tblRequirements[OperationalDate],$E$2,tblRequirements[IntervalStart],AN$1)=0,"",SUMIFS(tblRequirements[RequiredHeadcount],tblRequirements[OperationalDate],$E$2,tblRequirements[IntervalStart],AN$1))</f>
        <v/>
      </c>
      <c r="AO261" s="7">
        <f>IF(COUNTIFS(tblRequirements[OperationalDate],$E$2,tblRequirements[IntervalStart],AO$1)=0,"",SUMIFS(tblRequirements[RequiredHeadcount],tblRequirements[OperationalDate],$E$2,tblRequirements[IntervalStart],AO$1))</f>
        <v/>
      </c>
      <c r="AP261" s="7">
        <f>IF(COUNTIFS(tblRequirements[OperationalDate],$E$2,tblRequirements[IntervalStart],AP$1)=0,"",SUMIFS(tblRequirements[RequiredHeadcount],tblRequirements[OperationalDate],$E$2,tblRequirements[IntervalStart],AP$1))</f>
        <v/>
      </c>
      <c r="AQ261" s="7">
        <f>IF(COUNTIFS(tblRequirements[OperationalDate],$E$2,tblRequirements[IntervalStart],AQ$1)=0,"",SUMIFS(tblRequirements[RequiredHeadcount],tblRequirements[OperationalDate],$E$2,tblRequirements[IntervalStart],AQ$1))</f>
        <v/>
      </c>
      <c r="AR261" s="7">
        <f>IF(COUNTIFS(tblRequirements[OperationalDate],$E$2,tblRequirements[IntervalStart],AR$1)=0,"",SUMIFS(tblRequirements[RequiredHeadcount],tblRequirements[OperationalDate],$E$2,tblRequirements[IntervalStart],AR$1))</f>
        <v/>
      </c>
      <c r="AS261" s="7">
        <f>IF(COUNTIFS(tblRequirements[OperationalDate],$E$2,tblRequirements[IntervalStart],AS$1)=0,"",SUMIFS(tblRequirements[RequiredHeadcount],tblRequirements[OperationalDate],$E$2,tblRequirements[IntervalStart],AS$1))</f>
        <v/>
      </c>
      <c r="AT261" s="7">
        <f>IF(COUNTIFS(tblRequirements[OperationalDate],$E$2,tblRequirements[IntervalStart],AT$1)=0,"",SUMIFS(tblRequirements[RequiredHeadcount],tblRequirements[OperationalDate],$E$2,tblRequirements[IntervalStart],AT$1))</f>
        <v/>
      </c>
      <c r="AU261" s="7">
        <f>IF(COUNTIFS(tblRequirements[OperationalDate],$E$2,tblRequirements[IntervalStart],AU$1)=0,"",SUMIFS(tblRequirements[RequiredHeadcount],tblRequirements[OperationalDate],$E$2,tblRequirements[IntervalStart],AU$1))</f>
        <v/>
      </c>
      <c r="AV261" s="7">
        <f>IF(COUNTIFS(tblRequirements[OperationalDate],$E$2,tblRequirements[IntervalStart],AV$1)=0,"",SUMIFS(tblRequirements[RequiredHeadcount],tblRequirements[OperationalDate],$E$2,tblRequirements[IntervalStart],AV$1))</f>
        <v/>
      </c>
      <c r="AW261" s="7">
        <f>IF(COUNTIFS(tblRequirements[OperationalDate],$E$2,tblRequirements[IntervalStart],AW$1)=0,"",SUMIFS(tblRequirements[RequiredHeadcount],tblRequirements[OperationalDate],$E$2,tblRequirements[IntervalStart],AW$1))</f>
        <v/>
      </c>
      <c r="AX261" s="7">
        <f>IF(COUNTIFS(tblRequirements[OperationalDate],$E$2,tblRequirements[IntervalStart],AX$1)=0,"",SUMIFS(tblRequirements[RequiredHeadcount],tblRequirements[OperationalDate],$E$2,tblRequirements[IntervalStart],AX$1))</f>
        <v/>
      </c>
      <c r="AY261" s="7">
        <f>IF(COUNTIFS(tblRequirements[OperationalDate],$E$2,tblRequirements[IntervalStart],AY$1)=0,"",SUMIFS(tblRequirements[RequiredHeadcount],tblRequirements[OperationalDate],$E$2,tblRequirements[IntervalStart],AY$1))</f>
        <v/>
      </c>
      <c r="AZ261" s="7">
        <f>IF(COUNTIFS(tblRequirements[OperationalDate],$E$2,tblRequirements[IntervalStart],AZ$1)=0,"",SUMIFS(tblRequirements[RequiredHeadcount],tblRequirements[OperationalDate],$E$2,tblRequirements[IntervalStart],AZ$1))</f>
        <v/>
      </c>
      <c r="BA261" s="7">
        <f>IF(COUNTIFS(tblRequirements[OperationalDate],$E$2,tblRequirements[IntervalStart],BA$1)=0,"",SUMIFS(tblRequirements[RequiredHeadcount],tblRequirements[OperationalDate],$E$2,tblRequirements[IntervalStart],BA$1))</f>
        <v/>
      </c>
      <c r="BB261" s="7">
        <f>IF(COUNTIFS(tblRequirements[OperationalDate],$E$2,tblRequirements[IntervalStart],BB$1)=0,"",SUMIFS(tblRequirements[RequiredHeadcount],tblRequirements[OperationalDate],$E$2,tblRequirements[IntervalStart],BB$1))</f>
        <v/>
      </c>
      <c r="BC261" s="7">
        <f>IF(COUNTIFS(tblRequirements[OperationalDate],$E$2,tblRequirements[IntervalStart],BC$1)=0,"",SUMIFS(tblRequirements[RequiredHeadcount],tblRequirements[OperationalDate],$E$2,tblRequirements[IntervalStart],BC$1))</f>
        <v/>
      </c>
      <c r="BD261" s="1" t="n"/>
    </row>
    <row r="262">
      <c r="A262" s="1" t="n"/>
      <c r="B262" s="1" t="n"/>
      <c r="C262" s="1" t="n"/>
      <c r="D262" s="1" t="n"/>
      <c r="E262" s="1" t="n"/>
      <c r="F262" s="1" t="n"/>
      <c r="G262" s="1" t="inlineStr">
        <is>
          <t>Over/Under</t>
        </is>
      </c>
      <c r="H262" s="7">
        <f>IF($E$2="","MissingDate",IF(H$261="","MissingRequirement",ROUND(H$260-H$261,2)))</f>
        <v/>
      </c>
      <c r="I262" s="7">
        <f>IF($E$2="","MissingDate",IF(I$261="","MissingRequirement",ROUND(I$260-I$261,2)))</f>
        <v/>
      </c>
      <c r="J262" s="7">
        <f>IF($E$2="","MissingDate",IF(J$261="","MissingRequirement",ROUND(J$260-J$261,2)))</f>
        <v/>
      </c>
      <c r="K262" s="7">
        <f>IF($E$2="","MissingDate",IF(K$261="","MissingRequirement",ROUND(K$260-K$261,2)))</f>
        <v/>
      </c>
      <c r="L262" s="7">
        <f>IF($E$2="","MissingDate",IF(L$261="","MissingRequirement",ROUND(L$260-L$261,2)))</f>
        <v/>
      </c>
      <c r="M262" s="7">
        <f>IF($E$2="","MissingDate",IF(M$261="","MissingRequirement",ROUND(M$260-M$261,2)))</f>
        <v/>
      </c>
      <c r="N262" s="7">
        <f>IF($E$2="","MissingDate",IF(N$261="","MissingRequirement",ROUND(N$260-N$261,2)))</f>
        <v/>
      </c>
      <c r="O262" s="7">
        <f>IF($E$2="","MissingDate",IF(O$261="","MissingRequirement",ROUND(O$260-O$261,2)))</f>
        <v/>
      </c>
      <c r="P262" s="7">
        <f>IF($E$2="","MissingDate",IF(P$261="","MissingRequirement",ROUND(P$260-P$261,2)))</f>
        <v/>
      </c>
      <c r="Q262" s="7">
        <f>IF($E$2="","MissingDate",IF(Q$261="","MissingRequirement",ROUND(Q$260-Q$261,2)))</f>
        <v/>
      </c>
      <c r="R262" s="7">
        <f>IF($E$2="","MissingDate",IF(R$261="","MissingRequirement",ROUND(R$260-R$261,2)))</f>
        <v/>
      </c>
      <c r="S262" s="7">
        <f>IF($E$2="","MissingDate",IF(S$261="","MissingRequirement",ROUND(S$260-S$261,2)))</f>
        <v/>
      </c>
      <c r="T262" s="7">
        <f>IF($E$2="","MissingDate",IF(T$261="","MissingRequirement",ROUND(T$260-T$261,2)))</f>
        <v/>
      </c>
      <c r="U262" s="7">
        <f>IF($E$2="","MissingDate",IF(U$261="","MissingRequirement",ROUND(U$260-U$261,2)))</f>
        <v/>
      </c>
      <c r="V262" s="7">
        <f>IF($E$2="","MissingDate",IF(V$261="","MissingRequirement",ROUND(V$260-V$261,2)))</f>
        <v/>
      </c>
      <c r="W262" s="7">
        <f>IF($E$2="","MissingDate",IF(W$261="","MissingRequirement",ROUND(W$260-W$261,2)))</f>
        <v/>
      </c>
      <c r="X262" s="7">
        <f>IF($E$2="","MissingDate",IF(X$261="","MissingRequirement",ROUND(X$260-X$261,2)))</f>
        <v/>
      </c>
      <c r="Y262" s="7">
        <f>IF($E$2="","MissingDate",IF(Y$261="","MissingRequirement",ROUND(Y$260-Y$261,2)))</f>
        <v/>
      </c>
      <c r="Z262" s="7">
        <f>IF($E$2="","MissingDate",IF(Z$261="","MissingRequirement",ROUND(Z$260-Z$261,2)))</f>
        <v/>
      </c>
      <c r="AA262" s="7">
        <f>IF($E$2="","MissingDate",IF(AA$261="","MissingRequirement",ROUND(AA$260-AA$261,2)))</f>
        <v/>
      </c>
      <c r="AB262" s="7">
        <f>IF($E$2="","MissingDate",IF(AB$261="","MissingRequirement",ROUND(AB$260-AB$261,2)))</f>
        <v/>
      </c>
      <c r="AC262" s="7">
        <f>IF($E$2="","MissingDate",IF(AC$261="","MissingRequirement",ROUND(AC$260-AC$261,2)))</f>
        <v/>
      </c>
      <c r="AD262" s="7">
        <f>IF($E$2="","MissingDate",IF(AD$261="","MissingRequirement",ROUND(AD$260-AD$261,2)))</f>
        <v/>
      </c>
      <c r="AE262" s="7">
        <f>IF($E$2="","MissingDate",IF(AE$261="","MissingRequirement",ROUND(AE$260-AE$261,2)))</f>
        <v/>
      </c>
      <c r="AF262" s="7">
        <f>IF($E$2="","MissingDate",IF(AF$261="","MissingRequirement",ROUND(AF$260-AF$261,2)))</f>
        <v/>
      </c>
      <c r="AG262" s="7">
        <f>IF($E$2="","MissingDate",IF(AG$261="","MissingRequirement",ROUND(AG$260-AG$261,2)))</f>
        <v/>
      </c>
      <c r="AH262" s="7">
        <f>IF($E$2="","MissingDate",IF(AH$261="","MissingRequirement",ROUND(AH$260-AH$261,2)))</f>
        <v/>
      </c>
      <c r="AI262" s="7">
        <f>IF($E$2="","MissingDate",IF(AI$261="","MissingRequirement",ROUND(AI$260-AI$261,2)))</f>
        <v/>
      </c>
      <c r="AJ262" s="7">
        <f>IF($E$2="","MissingDate",IF(AJ$261="","MissingRequirement",ROUND(AJ$260-AJ$261,2)))</f>
        <v/>
      </c>
      <c r="AK262" s="7">
        <f>IF($E$2="","MissingDate",IF(AK$261="","MissingRequirement",ROUND(AK$260-AK$261,2)))</f>
        <v/>
      </c>
      <c r="AL262" s="7">
        <f>IF($E$2="","MissingDate",IF(AL$261="","MissingRequirement",ROUND(AL$260-AL$261,2)))</f>
        <v/>
      </c>
      <c r="AM262" s="7">
        <f>IF($E$2="","MissingDate",IF(AM$261="","MissingRequirement",ROUND(AM$260-AM$261,2)))</f>
        <v/>
      </c>
      <c r="AN262" s="7">
        <f>IF($E$2="","MissingDate",IF(AN$261="","MissingRequirement",ROUND(AN$260-AN$261,2)))</f>
        <v/>
      </c>
      <c r="AO262" s="7">
        <f>IF($E$2="","MissingDate",IF(AO$261="","MissingRequirement",ROUND(AO$260-AO$261,2)))</f>
        <v/>
      </c>
      <c r="AP262" s="7">
        <f>IF($E$2="","MissingDate",IF(AP$261="","MissingRequirement",ROUND(AP$260-AP$261,2)))</f>
        <v/>
      </c>
      <c r="AQ262" s="7">
        <f>IF($E$2="","MissingDate",IF(AQ$261="","MissingRequirement",ROUND(AQ$260-AQ$261,2)))</f>
        <v/>
      </c>
      <c r="AR262" s="7">
        <f>IF($E$2="","MissingDate",IF(AR$261="","MissingRequirement",ROUND(AR$260-AR$261,2)))</f>
        <v/>
      </c>
      <c r="AS262" s="7">
        <f>IF($E$2="","MissingDate",IF(AS$261="","MissingRequirement",ROUND(AS$260-AS$261,2)))</f>
        <v/>
      </c>
      <c r="AT262" s="7">
        <f>IF($E$2="","MissingDate",IF(AT$261="","MissingRequirement",ROUND(AT$260-AT$261,2)))</f>
        <v/>
      </c>
      <c r="AU262" s="7">
        <f>IF($E$2="","MissingDate",IF(AU$261="","MissingRequirement",ROUND(AU$260-AU$261,2)))</f>
        <v/>
      </c>
      <c r="AV262" s="7">
        <f>IF($E$2="","MissingDate",IF(AV$261="","MissingRequirement",ROUND(AV$260-AV$261,2)))</f>
        <v/>
      </c>
      <c r="AW262" s="7">
        <f>IF($E$2="","MissingDate",IF(AW$261="","MissingRequirement",ROUND(AW$260-AW$261,2)))</f>
        <v/>
      </c>
      <c r="AX262" s="7">
        <f>IF($E$2="","MissingDate",IF(AX$261="","MissingRequirement",ROUND(AX$260-AX$261,2)))</f>
        <v/>
      </c>
      <c r="AY262" s="7">
        <f>IF($E$2="","MissingDate",IF(AY$261="","MissingRequirement",ROUND(AY$260-AY$261,2)))</f>
        <v/>
      </c>
      <c r="AZ262" s="7">
        <f>IF($E$2="","MissingDate",IF(AZ$261="","MissingRequirement",ROUND(AZ$260-AZ$261,2)))</f>
        <v/>
      </c>
      <c r="BA262" s="7">
        <f>IF($E$2="","MissingDate",IF(BA$261="","MissingRequirement",ROUND(BA$260-BA$261,2)))</f>
        <v/>
      </c>
      <c r="BB262" s="7">
        <f>IF($E$2="","MissingDate",IF(BB$261="","MissingRequirement",ROUND(BB$260-BB$261,2)))</f>
        <v/>
      </c>
      <c r="BC262" s="7">
        <f>IF($E$2="","MissingDate",IF(BC$261="","MissingRequirement",ROUND(BC$260-BC$261,2)))</f>
        <v/>
      </c>
      <c r="BD262" s="1" t="n"/>
    </row>
  </sheetData>
  <conditionalFormatting sqref="H8:BC257">
    <cfRule type="expression" priority="1" dxfId="4">
      <formula>H8="OWD"</formula>
    </cfRule>
    <cfRule type="expression" priority="2" dxfId="5">
      <formula>OR(H8="BRK",H8="LCH",H8="MT",H8="TRN")</formula>
    </cfRule>
  </conditionalFormatting>
  <conditionalFormatting sqref="A8:BC257">
    <cfRule type="expression" priority="3" dxfId="0">
      <formula>$BD8="InvalidCode"</formula>
    </cfRule>
    <cfRule type="expression" priority="4" dxfId="1">
      <formula>$BD8="InvalidSchedule"</formula>
    </cfRule>
    <cfRule type="expression" priority="5" dxfId="2">
      <formula>$BD8="Duplicate"</formula>
    </cfRule>
    <cfRule type="expression" priority="6" dxfId="3">
      <formula>$BD8="MissingDate"</formula>
    </cfRule>
  </conditionalFormatting>
  <conditionalFormatting sqref="E2">
    <cfRule type="expression" priority="7" dxfId="3">
      <formula>$E$2=""</formula>
    </cfRule>
  </conditionalFormatting>
  <conditionalFormatting sqref="H7:BC7">
    <cfRule type="expression" priority="8" dxfId="3">
      <formula>H7="MissingDate"</formula>
    </cfRule>
    <cfRule type="expression" priority="9" dxfId="6">
      <formula>H7="MissingRequirement"</formula>
    </cfRule>
    <cfRule type="cellIs" priority="12" operator="lessThan" dxfId="7">
      <formula>0</formula>
    </cfRule>
    <cfRule type="cellIs" priority="13" operator="equal" dxfId="8">
      <formula>0</formula>
    </cfRule>
    <cfRule type="cellIs" priority="14" operator="greaterThan" dxfId="9">
      <formula>0</formula>
    </cfRule>
  </conditionalFormatting>
  <conditionalFormatting sqref="H262:BC262">
    <cfRule type="expression" priority="10" dxfId="3">
      <formula>H262="MissingDate"</formula>
    </cfRule>
    <cfRule type="expression" priority="11" dxfId="6">
      <formula>H262="MissingRequirement"</formula>
    </cfRule>
    <cfRule type="cellIs" priority="15" operator="lessThan" dxfId="7">
      <formula>0</formula>
    </cfRule>
    <cfRule type="cellIs" priority="16" operator="equal" dxfId="8">
      <formula>0</formula>
    </cfRule>
    <cfRule type="cellIs" priority="17" operator="greaterThan" dxfId="9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9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Interval</t>
        </is>
      </c>
      <c r="B1" s="1" t="inlineStr">
        <is>
          <t>Scheduled Productive</t>
        </is>
      </c>
      <c r="C1" s="1" t="inlineStr">
        <is>
          <t>Required</t>
        </is>
      </c>
      <c r="D1" s="1" t="inlineStr">
        <is>
          <t>Over/Under</t>
        </is>
      </c>
    </row>
    <row r="2">
      <c r="A2" s="11">
        <f>Schedule_Matrix!H$1</f>
        <v/>
      </c>
      <c r="B2" s="8">
        <f>Schedule_Matrix!H$260</f>
        <v/>
      </c>
      <c r="C2" s="8">
        <f>Schedule_Matrix!H$261</f>
        <v/>
      </c>
      <c r="D2" s="8">
        <f>Schedule_Matrix!H$262</f>
        <v/>
      </c>
    </row>
    <row r="3">
      <c r="A3" s="11">
        <f>Schedule_Matrix!I$1</f>
        <v/>
      </c>
      <c r="B3" s="8">
        <f>Schedule_Matrix!I$260</f>
        <v/>
      </c>
      <c r="C3" s="8">
        <f>Schedule_Matrix!I$261</f>
        <v/>
      </c>
      <c r="D3" s="8">
        <f>Schedule_Matrix!I$262</f>
        <v/>
      </c>
    </row>
    <row r="4">
      <c r="A4" s="11">
        <f>Schedule_Matrix!J$1</f>
        <v/>
      </c>
      <c r="B4" s="8">
        <f>Schedule_Matrix!J$260</f>
        <v/>
      </c>
      <c r="C4" s="8">
        <f>Schedule_Matrix!J$261</f>
        <v/>
      </c>
      <c r="D4" s="8">
        <f>Schedule_Matrix!J$262</f>
        <v/>
      </c>
    </row>
    <row r="5">
      <c r="A5" s="11">
        <f>Schedule_Matrix!K$1</f>
        <v/>
      </c>
      <c r="B5" s="8">
        <f>Schedule_Matrix!K$260</f>
        <v/>
      </c>
      <c r="C5" s="8">
        <f>Schedule_Matrix!K$261</f>
        <v/>
      </c>
      <c r="D5" s="8">
        <f>Schedule_Matrix!K$262</f>
        <v/>
      </c>
    </row>
    <row r="6">
      <c r="A6" s="11">
        <f>Schedule_Matrix!L$1</f>
        <v/>
      </c>
      <c r="B6" s="8">
        <f>Schedule_Matrix!L$260</f>
        <v/>
      </c>
      <c r="C6" s="8">
        <f>Schedule_Matrix!L$261</f>
        <v/>
      </c>
      <c r="D6" s="8">
        <f>Schedule_Matrix!L$262</f>
        <v/>
      </c>
    </row>
    <row r="7">
      <c r="A7" s="11">
        <f>Schedule_Matrix!M$1</f>
        <v/>
      </c>
      <c r="B7" s="8">
        <f>Schedule_Matrix!M$260</f>
        <v/>
      </c>
      <c r="C7" s="8">
        <f>Schedule_Matrix!M$261</f>
        <v/>
      </c>
      <c r="D7" s="8">
        <f>Schedule_Matrix!M$262</f>
        <v/>
      </c>
    </row>
    <row r="8">
      <c r="A8" s="11">
        <f>Schedule_Matrix!N$1</f>
        <v/>
      </c>
      <c r="B8" s="8">
        <f>Schedule_Matrix!N$260</f>
        <v/>
      </c>
      <c r="C8" s="8">
        <f>Schedule_Matrix!N$261</f>
        <v/>
      </c>
      <c r="D8" s="8">
        <f>Schedule_Matrix!N$262</f>
        <v/>
      </c>
    </row>
    <row r="9">
      <c r="A9" s="11">
        <f>Schedule_Matrix!O$1</f>
        <v/>
      </c>
      <c r="B9" s="8">
        <f>Schedule_Matrix!O$260</f>
        <v/>
      </c>
      <c r="C9" s="8">
        <f>Schedule_Matrix!O$261</f>
        <v/>
      </c>
      <c r="D9" s="8">
        <f>Schedule_Matrix!O$262</f>
        <v/>
      </c>
    </row>
    <row r="10">
      <c r="A10" s="11">
        <f>Schedule_Matrix!P$1</f>
        <v/>
      </c>
      <c r="B10" s="8">
        <f>Schedule_Matrix!P$260</f>
        <v/>
      </c>
      <c r="C10" s="8">
        <f>Schedule_Matrix!P$261</f>
        <v/>
      </c>
      <c r="D10" s="8">
        <f>Schedule_Matrix!P$262</f>
        <v/>
      </c>
    </row>
    <row r="11">
      <c r="A11" s="11">
        <f>Schedule_Matrix!Q$1</f>
        <v/>
      </c>
      <c r="B11" s="8">
        <f>Schedule_Matrix!Q$260</f>
        <v/>
      </c>
      <c r="C11" s="8">
        <f>Schedule_Matrix!Q$261</f>
        <v/>
      </c>
      <c r="D11" s="8">
        <f>Schedule_Matrix!Q$262</f>
        <v/>
      </c>
    </row>
    <row r="12">
      <c r="A12" s="11">
        <f>Schedule_Matrix!R$1</f>
        <v/>
      </c>
      <c r="B12" s="8">
        <f>Schedule_Matrix!R$260</f>
        <v/>
      </c>
      <c r="C12" s="8">
        <f>Schedule_Matrix!R$261</f>
        <v/>
      </c>
      <c r="D12" s="8">
        <f>Schedule_Matrix!R$262</f>
        <v/>
      </c>
    </row>
    <row r="13">
      <c r="A13" s="11">
        <f>Schedule_Matrix!S$1</f>
        <v/>
      </c>
      <c r="B13" s="8">
        <f>Schedule_Matrix!S$260</f>
        <v/>
      </c>
      <c r="C13" s="8">
        <f>Schedule_Matrix!S$261</f>
        <v/>
      </c>
      <c r="D13" s="8">
        <f>Schedule_Matrix!S$262</f>
        <v/>
      </c>
    </row>
    <row r="14">
      <c r="A14" s="11">
        <f>Schedule_Matrix!T$1</f>
        <v/>
      </c>
      <c r="B14" s="8">
        <f>Schedule_Matrix!T$260</f>
        <v/>
      </c>
      <c r="C14" s="8">
        <f>Schedule_Matrix!T$261</f>
        <v/>
      </c>
      <c r="D14" s="8">
        <f>Schedule_Matrix!T$262</f>
        <v/>
      </c>
    </row>
    <row r="15">
      <c r="A15" s="11">
        <f>Schedule_Matrix!U$1</f>
        <v/>
      </c>
      <c r="B15" s="8">
        <f>Schedule_Matrix!U$260</f>
        <v/>
      </c>
      <c r="C15" s="8">
        <f>Schedule_Matrix!U$261</f>
        <v/>
      </c>
      <c r="D15" s="8">
        <f>Schedule_Matrix!U$262</f>
        <v/>
      </c>
    </row>
    <row r="16">
      <c r="A16" s="11">
        <f>Schedule_Matrix!V$1</f>
        <v/>
      </c>
      <c r="B16" s="8">
        <f>Schedule_Matrix!V$260</f>
        <v/>
      </c>
      <c r="C16" s="8">
        <f>Schedule_Matrix!V$261</f>
        <v/>
      </c>
      <c r="D16" s="8">
        <f>Schedule_Matrix!V$262</f>
        <v/>
      </c>
    </row>
    <row r="17">
      <c r="A17" s="11">
        <f>Schedule_Matrix!W$1</f>
        <v/>
      </c>
      <c r="B17" s="8">
        <f>Schedule_Matrix!W$260</f>
        <v/>
      </c>
      <c r="C17" s="8">
        <f>Schedule_Matrix!W$261</f>
        <v/>
      </c>
      <c r="D17" s="8">
        <f>Schedule_Matrix!W$262</f>
        <v/>
      </c>
    </row>
    <row r="18">
      <c r="A18" s="11">
        <f>Schedule_Matrix!X$1</f>
        <v/>
      </c>
      <c r="B18" s="8">
        <f>Schedule_Matrix!X$260</f>
        <v/>
      </c>
      <c r="C18" s="8">
        <f>Schedule_Matrix!X$261</f>
        <v/>
      </c>
      <c r="D18" s="8">
        <f>Schedule_Matrix!X$262</f>
        <v/>
      </c>
    </row>
    <row r="19">
      <c r="A19" s="11">
        <f>Schedule_Matrix!Y$1</f>
        <v/>
      </c>
      <c r="B19" s="8">
        <f>Schedule_Matrix!Y$260</f>
        <v/>
      </c>
      <c r="C19" s="8">
        <f>Schedule_Matrix!Y$261</f>
        <v/>
      </c>
      <c r="D19" s="8">
        <f>Schedule_Matrix!Y$262</f>
        <v/>
      </c>
    </row>
    <row r="20">
      <c r="A20" s="11">
        <f>Schedule_Matrix!Z$1</f>
        <v/>
      </c>
      <c r="B20" s="8">
        <f>Schedule_Matrix!Z$260</f>
        <v/>
      </c>
      <c r="C20" s="8">
        <f>Schedule_Matrix!Z$261</f>
        <v/>
      </c>
      <c r="D20" s="8">
        <f>Schedule_Matrix!Z$262</f>
        <v/>
      </c>
    </row>
    <row r="21">
      <c r="A21" s="11">
        <f>Schedule_Matrix!AA$1</f>
        <v/>
      </c>
      <c r="B21" s="8">
        <f>Schedule_Matrix!AA$260</f>
        <v/>
      </c>
      <c r="C21" s="8">
        <f>Schedule_Matrix!AA$261</f>
        <v/>
      </c>
      <c r="D21" s="8">
        <f>Schedule_Matrix!AA$262</f>
        <v/>
      </c>
    </row>
    <row r="22">
      <c r="A22" s="11">
        <f>Schedule_Matrix!AB$1</f>
        <v/>
      </c>
      <c r="B22" s="8">
        <f>Schedule_Matrix!AB$260</f>
        <v/>
      </c>
      <c r="C22" s="8">
        <f>Schedule_Matrix!AB$261</f>
        <v/>
      </c>
      <c r="D22" s="8">
        <f>Schedule_Matrix!AB$262</f>
        <v/>
      </c>
    </row>
    <row r="23">
      <c r="A23" s="11">
        <f>Schedule_Matrix!AC$1</f>
        <v/>
      </c>
      <c r="B23" s="8">
        <f>Schedule_Matrix!AC$260</f>
        <v/>
      </c>
      <c r="C23" s="8">
        <f>Schedule_Matrix!AC$261</f>
        <v/>
      </c>
      <c r="D23" s="8">
        <f>Schedule_Matrix!AC$262</f>
        <v/>
      </c>
    </row>
    <row r="24">
      <c r="A24" s="11">
        <f>Schedule_Matrix!AD$1</f>
        <v/>
      </c>
      <c r="B24" s="8">
        <f>Schedule_Matrix!AD$260</f>
        <v/>
      </c>
      <c r="C24" s="8">
        <f>Schedule_Matrix!AD$261</f>
        <v/>
      </c>
      <c r="D24" s="8">
        <f>Schedule_Matrix!AD$262</f>
        <v/>
      </c>
    </row>
    <row r="25">
      <c r="A25" s="11">
        <f>Schedule_Matrix!AE$1</f>
        <v/>
      </c>
      <c r="B25" s="8">
        <f>Schedule_Matrix!AE$260</f>
        <v/>
      </c>
      <c r="C25" s="8">
        <f>Schedule_Matrix!AE$261</f>
        <v/>
      </c>
      <c r="D25" s="8">
        <f>Schedule_Matrix!AE$262</f>
        <v/>
      </c>
    </row>
    <row r="26">
      <c r="A26" s="11">
        <f>Schedule_Matrix!AF$1</f>
        <v/>
      </c>
      <c r="B26" s="8">
        <f>Schedule_Matrix!AF$260</f>
        <v/>
      </c>
      <c r="C26" s="8">
        <f>Schedule_Matrix!AF$261</f>
        <v/>
      </c>
      <c r="D26" s="8">
        <f>Schedule_Matrix!AF$262</f>
        <v/>
      </c>
    </row>
    <row r="27">
      <c r="A27" s="11">
        <f>Schedule_Matrix!AG$1</f>
        <v/>
      </c>
      <c r="B27" s="8">
        <f>Schedule_Matrix!AG$260</f>
        <v/>
      </c>
      <c r="C27" s="8">
        <f>Schedule_Matrix!AG$261</f>
        <v/>
      </c>
      <c r="D27" s="8">
        <f>Schedule_Matrix!AG$262</f>
        <v/>
      </c>
    </row>
    <row r="28">
      <c r="A28" s="11">
        <f>Schedule_Matrix!AH$1</f>
        <v/>
      </c>
      <c r="B28" s="8">
        <f>Schedule_Matrix!AH$260</f>
        <v/>
      </c>
      <c r="C28" s="8">
        <f>Schedule_Matrix!AH$261</f>
        <v/>
      </c>
      <c r="D28" s="8">
        <f>Schedule_Matrix!AH$262</f>
        <v/>
      </c>
    </row>
    <row r="29">
      <c r="A29" s="11">
        <f>Schedule_Matrix!AI$1</f>
        <v/>
      </c>
      <c r="B29" s="8">
        <f>Schedule_Matrix!AI$260</f>
        <v/>
      </c>
      <c r="C29" s="8">
        <f>Schedule_Matrix!AI$261</f>
        <v/>
      </c>
      <c r="D29" s="8">
        <f>Schedule_Matrix!AI$262</f>
        <v/>
      </c>
    </row>
    <row r="30">
      <c r="A30" s="11">
        <f>Schedule_Matrix!AJ$1</f>
        <v/>
      </c>
      <c r="B30" s="8">
        <f>Schedule_Matrix!AJ$260</f>
        <v/>
      </c>
      <c r="C30" s="8">
        <f>Schedule_Matrix!AJ$261</f>
        <v/>
      </c>
      <c r="D30" s="8">
        <f>Schedule_Matrix!AJ$262</f>
        <v/>
      </c>
    </row>
    <row r="31">
      <c r="A31" s="11">
        <f>Schedule_Matrix!AK$1</f>
        <v/>
      </c>
      <c r="B31" s="8">
        <f>Schedule_Matrix!AK$260</f>
        <v/>
      </c>
      <c r="C31" s="8">
        <f>Schedule_Matrix!AK$261</f>
        <v/>
      </c>
      <c r="D31" s="8">
        <f>Schedule_Matrix!AK$262</f>
        <v/>
      </c>
    </row>
    <row r="32">
      <c r="A32" s="11">
        <f>Schedule_Matrix!AL$1</f>
        <v/>
      </c>
      <c r="B32" s="8">
        <f>Schedule_Matrix!AL$260</f>
        <v/>
      </c>
      <c r="C32" s="8">
        <f>Schedule_Matrix!AL$261</f>
        <v/>
      </c>
      <c r="D32" s="8">
        <f>Schedule_Matrix!AL$262</f>
        <v/>
      </c>
    </row>
    <row r="33">
      <c r="A33" s="11">
        <f>Schedule_Matrix!AM$1</f>
        <v/>
      </c>
      <c r="B33" s="8">
        <f>Schedule_Matrix!AM$260</f>
        <v/>
      </c>
      <c r="C33" s="8">
        <f>Schedule_Matrix!AM$261</f>
        <v/>
      </c>
      <c r="D33" s="8">
        <f>Schedule_Matrix!AM$262</f>
        <v/>
      </c>
    </row>
    <row r="34">
      <c r="A34" s="11">
        <f>Schedule_Matrix!AN$1</f>
        <v/>
      </c>
      <c r="B34" s="8">
        <f>Schedule_Matrix!AN$260</f>
        <v/>
      </c>
      <c r="C34" s="8">
        <f>Schedule_Matrix!AN$261</f>
        <v/>
      </c>
      <c r="D34" s="8">
        <f>Schedule_Matrix!AN$262</f>
        <v/>
      </c>
    </row>
    <row r="35">
      <c r="A35" s="11">
        <f>Schedule_Matrix!AO$1</f>
        <v/>
      </c>
      <c r="B35" s="8">
        <f>Schedule_Matrix!AO$260</f>
        <v/>
      </c>
      <c r="C35" s="8">
        <f>Schedule_Matrix!AO$261</f>
        <v/>
      </c>
      <c r="D35" s="8">
        <f>Schedule_Matrix!AO$262</f>
        <v/>
      </c>
    </row>
    <row r="36">
      <c r="A36" s="11">
        <f>Schedule_Matrix!AP$1</f>
        <v/>
      </c>
      <c r="B36" s="8">
        <f>Schedule_Matrix!AP$260</f>
        <v/>
      </c>
      <c r="C36" s="8">
        <f>Schedule_Matrix!AP$261</f>
        <v/>
      </c>
      <c r="D36" s="8">
        <f>Schedule_Matrix!AP$262</f>
        <v/>
      </c>
    </row>
    <row r="37">
      <c r="A37" s="11">
        <f>Schedule_Matrix!AQ$1</f>
        <v/>
      </c>
      <c r="B37" s="8">
        <f>Schedule_Matrix!AQ$260</f>
        <v/>
      </c>
      <c r="C37" s="8">
        <f>Schedule_Matrix!AQ$261</f>
        <v/>
      </c>
      <c r="D37" s="8">
        <f>Schedule_Matrix!AQ$262</f>
        <v/>
      </c>
    </row>
    <row r="38">
      <c r="A38" s="11">
        <f>Schedule_Matrix!AR$1</f>
        <v/>
      </c>
      <c r="B38" s="8">
        <f>Schedule_Matrix!AR$260</f>
        <v/>
      </c>
      <c r="C38" s="8">
        <f>Schedule_Matrix!AR$261</f>
        <v/>
      </c>
      <c r="D38" s="8">
        <f>Schedule_Matrix!AR$262</f>
        <v/>
      </c>
    </row>
    <row r="39">
      <c r="A39" s="11">
        <f>Schedule_Matrix!AS$1</f>
        <v/>
      </c>
      <c r="B39" s="8">
        <f>Schedule_Matrix!AS$260</f>
        <v/>
      </c>
      <c r="C39" s="8">
        <f>Schedule_Matrix!AS$261</f>
        <v/>
      </c>
      <c r="D39" s="8">
        <f>Schedule_Matrix!AS$262</f>
        <v/>
      </c>
    </row>
    <row r="40">
      <c r="A40" s="11">
        <f>Schedule_Matrix!AT$1</f>
        <v/>
      </c>
      <c r="B40" s="8">
        <f>Schedule_Matrix!AT$260</f>
        <v/>
      </c>
      <c r="C40" s="8">
        <f>Schedule_Matrix!AT$261</f>
        <v/>
      </c>
      <c r="D40" s="8">
        <f>Schedule_Matrix!AT$262</f>
        <v/>
      </c>
    </row>
    <row r="41">
      <c r="A41" s="11">
        <f>Schedule_Matrix!AU$1</f>
        <v/>
      </c>
      <c r="B41" s="8">
        <f>Schedule_Matrix!AU$260</f>
        <v/>
      </c>
      <c r="C41" s="8">
        <f>Schedule_Matrix!AU$261</f>
        <v/>
      </c>
      <c r="D41" s="8">
        <f>Schedule_Matrix!AU$262</f>
        <v/>
      </c>
    </row>
    <row r="42">
      <c r="A42" s="11">
        <f>Schedule_Matrix!AV$1</f>
        <v/>
      </c>
      <c r="B42" s="8">
        <f>Schedule_Matrix!AV$260</f>
        <v/>
      </c>
      <c r="C42" s="8">
        <f>Schedule_Matrix!AV$261</f>
        <v/>
      </c>
      <c r="D42" s="8">
        <f>Schedule_Matrix!AV$262</f>
        <v/>
      </c>
    </row>
    <row r="43">
      <c r="A43" s="11">
        <f>Schedule_Matrix!AW$1</f>
        <v/>
      </c>
      <c r="B43" s="8">
        <f>Schedule_Matrix!AW$260</f>
        <v/>
      </c>
      <c r="C43" s="8">
        <f>Schedule_Matrix!AW$261</f>
        <v/>
      </c>
      <c r="D43" s="8">
        <f>Schedule_Matrix!AW$262</f>
        <v/>
      </c>
    </row>
    <row r="44">
      <c r="A44" s="11">
        <f>Schedule_Matrix!AX$1</f>
        <v/>
      </c>
      <c r="B44" s="8">
        <f>Schedule_Matrix!AX$260</f>
        <v/>
      </c>
      <c r="C44" s="8">
        <f>Schedule_Matrix!AX$261</f>
        <v/>
      </c>
      <c r="D44" s="8">
        <f>Schedule_Matrix!AX$262</f>
        <v/>
      </c>
    </row>
    <row r="45">
      <c r="A45" s="11">
        <f>Schedule_Matrix!AY$1</f>
        <v/>
      </c>
      <c r="B45" s="8">
        <f>Schedule_Matrix!AY$260</f>
        <v/>
      </c>
      <c r="C45" s="8">
        <f>Schedule_Matrix!AY$261</f>
        <v/>
      </c>
      <c r="D45" s="8">
        <f>Schedule_Matrix!AY$262</f>
        <v/>
      </c>
    </row>
    <row r="46">
      <c r="A46" s="11">
        <f>Schedule_Matrix!AZ$1</f>
        <v/>
      </c>
      <c r="B46" s="8">
        <f>Schedule_Matrix!AZ$260</f>
        <v/>
      </c>
      <c r="C46" s="8">
        <f>Schedule_Matrix!AZ$261</f>
        <v/>
      </c>
      <c r="D46" s="8">
        <f>Schedule_Matrix!AZ$262</f>
        <v/>
      </c>
    </row>
    <row r="47">
      <c r="A47" s="11">
        <f>Schedule_Matrix!BA$1</f>
        <v/>
      </c>
      <c r="B47" s="8">
        <f>Schedule_Matrix!BA$260</f>
        <v/>
      </c>
      <c r="C47" s="8">
        <f>Schedule_Matrix!BA$261</f>
        <v/>
      </c>
      <c r="D47" s="8">
        <f>Schedule_Matrix!BA$262</f>
        <v/>
      </c>
    </row>
    <row r="48">
      <c r="A48" s="11">
        <f>Schedule_Matrix!BB$1</f>
        <v/>
      </c>
      <c r="B48" s="8">
        <f>Schedule_Matrix!BB$260</f>
        <v/>
      </c>
      <c r="C48" s="8">
        <f>Schedule_Matrix!BB$261</f>
        <v/>
      </c>
      <c r="D48" s="8">
        <f>Schedule_Matrix!BB$262</f>
        <v/>
      </c>
    </row>
    <row r="49">
      <c r="A49" s="11">
        <f>Schedule_Matrix!BC$1</f>
        <v/>
      </c>
      <c r="B49" s="8">
        <f>Schedule_Matrix!BC$260</f>
        <v/>
      </c>
      <c r="C49" s="8">
        <f>Schedule_Matrix!BC$261</f>
        <v/>
      </c>
      <c r="D49" s="8">
        <f>Schedule_Matrix!BC$262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TestID</t>
        </is>
      </c>
      <c r="B1" s="1" t="inlineStr">
        <is>
          <t>Scenario</t>
        </is>
      </c>
      <c r="C1" s="1" t="inlineStr">
        <is>
          <t>Input</t>
        </is>
      </c>
      <c r="D1" s="1" t="inlineStr">
        <is>
          <t>Expected</t>
        </is>
      </c>
      <c r="E1" s="1" t="inlineStr">
        <is>
          <t>Actual</t>
        </is>
      </c>
      <c r="F1" s="1" t="inlineStr">
        <is>
          <t>Pass</t>
        </is>
      </c>
      <c r="G1" s="1" t="inlineStr">
        <is>
          <t>Requirement</t>
        </is>
      </c>
      <c r="H1" s="1" t="inlineStr">
        <is>
          <t>Notes</t>
        </is>
      </c>
      <c r="I1" s="1" t="n"/>
      <c r="J1" s="1" t="inlineStr">
        <is>
          <t>OverallStatus</t>
        </is>
      </c>
      <c r="K1" s="1">
        <f>IF(COUNTIF(F2:F8,FALSE)=0,"PASS","FAIL")</f>
        <v/>
      </c>
    </row>
    <row r="2">
      <c r="A2" s="2" t="inlineStr">
        <is>
          <t>TEST-01</t>
        </is>
      </c>
      <c r="B2" s="2" t="inlineStr">
        <is>
          <t>Same-day productive shift</t>
        </is>
      </c>
      <c r="C2" s="2" t="inlineStr">
        <is>
          <t>09:00-17:00 OWD</t>
        </is>
      </c>
      <c r="D2" s="2" t="n">
        <v>16</v>
      </c>
      <c r="E2" s="2">
        <f>(DATE(2026,6,11)+TIME(17,0,0)-(DATE(2026,6,11)+TIME(9,0,0)))/TIME(0,30,0)</f>
        <v/>
      </c>
      <c r="F2" s="2">
        <f>ABS(E2-D2)&lt;0.000001</f>
        <v/>
      </c>
      <c r="G2" s="2" t="inlineStr">
        <is>
          <t>TEST-01</t>
        </is>
      </c>
      <c r="H2" s="2" t="inlineStr">
        <is>
          <t>Verifies same-day half-hour interval count.</t>
        </is>
      </c>
      <c r="I2" s="2" t="n"/>
      <c r="J2" s="2" t="n"/>
      <c r="K2" s="2" t="n"/>
    </row>
    <row r="3">
      <c r="A3" s="2" t="inlineStr">
        <is>
          <t>TEST-02</t>
        </is>
      </c>
      <c r="B3" s="2" t="inlineStr">
        <is>
          <t>Overnight productive shift</t>
        </is>
      </c>
      <c r="C3" s="2" t="inlineStr">
        <is>
          <t>22:00-06:00 OWD</t>
        </is>
      </c>
      <c r="D3" s="2" t="n">
        <v>16</v>
      </c>
      <c r="E3" s="2">
        <f>(DATE(2026,6,12)+TIME(6,0,0)-(DATE(2026,6,11)+TIME(22,0,0)))/TIME(0,30,0)</f>
        <v/>
      </c>
      <c r="F3" s="2">
        <f>ABS(E3-D3)&lt;0.000001</f>
        <v/>
      </c>
      <c r="G3" s="2" t="inlineStr">
        <is>
          <t>TEST-02</t>
        </is>
      </c>
      <c r="H3" s="2" t="inlineStr">
        <is>
          <t>Verifies midnight-crossing interval count.</t>
        </is>
      </c>
      <c r="I3" s="2" t="n"/>
      <c r="J3" s="2" t="n"/>
      <c r="K3" s="2" t="n"/>
    </row>
    <row r="4">
      <c r="A4" s="2" t="inlineStr">
        <is>
          <t>TEST-03</t>
        </is>
      </c>
      <c r="B4" s="2" t="inlineStr">
        <is>
          <t>Boundary overlap</t>
        </is>
      </c>
      <c r="C4" s="2" t="inlineStr">
        <is>
          <t>08:15 start against 08:00-08:30 interval</t>
        </is>
      </c>
      <c r="D4" s="2" t="n">
        <v>0.5</v>
      </c>
      <c r="E4" s="2">
        <f>MAX(0,MIN(DATE(2026,6,11)+TIME(8,30,0),DATE(2026,6,11)+TIME(12,0,0))-MAX(DATE(2026,6,11)+TIME(8,0,0),DATE(2026,6,11)+TIME(8,15,0)))/TIME(0,30,0)</f>
        <v/>
      </c>
      <c r="F4" s="2">
        <f>ABS(E4-D4)&lt;0.000001</f>
        <v/>
      </c>
      <c r="G4" s="2" t="inlineStr">
        <is>
          <t>TEST-03</t>
        </is>
      </c>
      <c r="H4" s="2" t="inlineStr">
        <is>
          <t>Verifies partial interval proration.</t>
        </is>
      </c>
      <c r="I4" s="2" t="n"/>
      <c r="J4" s="2" t="n"/>
      <c r="K4" s="2" t="n"/>
    </row>
    <row r="5">
      <c r="A5" s="2" t="inlineStr">
        <is>
          <t>TEST-04</t>
        </is>
      </c>
      <c r="B5" s="2" t="inlineStr">
        <is>
          <t>Productive code lookup</t>
        </is>
      </c>
      <c r="C5" s="2" t="inlineStr">
        <is>
          <t>OWD CountsAsStaffed</t>
        </is>
      </c>
      <c r="D5" s="2" t="n">
        <v>1</v>
      </c>
      <c r="E5" s="2">
        <f>--INDEX(tblActivityCodes[CountsAsStaffed],MATCH("OWD",tblActivityCodes[Code],0))</f>
        <v/>
      </c>
      <c r="F5" s="2">
        <f>ABS(E5-D5)&lt;0.000001</f>
        <v/>
      </c>
      <c r="G5" s="2" t="inlineStr">
        <is>
          <t>TEST-04</t>
        </is>
      </c>
      <c r="H5" s="2" t="inlineStr">
        <is>
          <t>Verifies OWD counts as staffed through config lookup.</t>
        </is>
      </c>
      <c r="I5" s="2" t="n"/>
      <c r="J5" s="2" t="n"/>
      <c r="K5" s="2" t="n"/>
    </row>
    <row r="6">
      <c r="A6" s="2" t="inlineStr">
        <is>
          <t>TEST-05</t>
        </is>
      </c>
      <c r="B6" s="2" t="inlineStr">
        <is>
          <t>Nonproductive code lookup</t>
        </is>
      </c>
      <c r="C6" s="2" t="inlineStr">
        <is>
          <t>Brk/Lch/Mt/Trn CountsAsStaffed</t>
        </is>
      </c>
      <c r="D6" s="2" t="n">
        <v>0</v>
      </c>
      <c r="E6" s="2">
        <f>SUM(--INDEX(tblActivityCodes[CountsAsStaffed],MATCH("Brk",tblActivityCodes[Code],0)),--INDEX(tblActivityCodes[CountsAsStaffed],MATCH("Lch",tblActivityCodes[Code],0)),--INDEX(tblActivityCodes[CountsAsStaffed],MATCH("Mt",tblActivityCodes[Code],0)),--INDEX(tblActivityCodes[CountsAsStaffed],MATCH("Trn",tblActivityCodes[Code],0)))</f>
        <v/>
      </c>
      <c r="F6" s="2">
        <f>ABS(E6-D6)&lt;0.000001</f>
        <v/>
      </c>
      <c r="G6" s="2" t="inlineStr">
        <is>
          <t>TEST-05</t>
        </is>
      </c>
      <c r="H6" s="2" t="inlineStr">
        <is>
          <t>Verifies visible nonproductive states do not count as staffed.</t>
        </is>
      </c>
      <c r="I6" s="2" t="n"/>
      <c r="J6" s="2" t="n"/>
      <c r="K6" s="2" t="n"/>
    </row>
    <row r="7">
      <c r="A7" s="2" t="inlineStr">
        <is>
          <t>TEST-06</t>
        </is>
      </c>
      <c r="B7" s="2" t="inlineStr">
        <is>
          <t>Validation and variance states</t>
        </is>
      </c>
      <c r="C7" s="2" t="inlineStr">
        <is>
          <t>Invalid code / blank req / exact / under / over</t>
        </is>
      </c>
      <c r="D7" s="2" t="inlineStr">
        <is>
          <t>InvalidCode|MissingRequirement|Exact|Under|Over</t>
        </is>
      </c>
      <c r="E7" s="2">
        <f>TEXTJOIN("|",TRUE,IF(COUNTIF(ActiveActivityCodes,"BAD")=0,"InvalidCode",""),IF(COUNTIFS(tblRequirements[OperationalDate],DATE(2099,1,1),tblRequirements[IntervalStart],TIME(0,0,0))=0,"MissingRequirement",""),IF(4-4=0,"Exact",""),IF(3-4&lt;0,"Under",""),IF(5-4&gt;0,"Over",""))</f>
        <v/>
      </c>
      <c r="F7" s="2">
        <f>E7=D7</f>
        <v/>
      </c>
      <c r="G7" s="2" t="inlineStr">
        <is>
          <t>TEST-06</t>
        </is>
      </c>
      <c r="H7" s="2" t="inlineStr">
        <is>
          <t>Verifies key validation and variance labels.</t>
        </is>
      </c>
      <c r="I7" s="2" t="n"/>
      <c r="J7" s="2" t="n"/>
      <c r="K7" s="2" t="n"/>
    </row>
    <row r="8">
      <c r="A8" s="2" t="inlineStr">
        <is>
          <t>TEST-07</t>
        </is>
      </c>
      <c r="B8" s="2" t="inlineStr">
        <is>
          <t>Overall workbook test status</t>
        </is>
      </c>
      <c r="C8" s="2" t="inlineStr">
        <is>
          <t>Rows TEST-01 through TEST-06</t>
        </is>
      </c>
      <c r="D8" s="2" t="inlineStr">
        <is>
          <t>PASS</t>
        </is>
      </c>
      <c r="E8" s="2">
        <f>IF(COUNTIF(F2:F7,FALSE)=0,"PASS","FAIL")</f>
        <v/>
      </c>
      <c r="F8" s="2">
        <f>E8=D8</f>
        <v/>
      </c>
      <c r="G8" s="2" t="inlineStr">
        <is>
          <t>TEST-07</t>
        </is>
      </c>
      <c r="H8" s="2" t="inlineStr">
        <is>
          <t>Exposes an overall pass/fail status for workbook formula tests.</t>
        </is>
      </c>
      <c r="I8" s="2" t="n"/>
      <c r="J8" s="2" t="n"/>
      <c r="K8" s="2" t="n"/>
    </row>
    <row r="9">
      <c r="A9" s="2" t="inlineStr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2" t="inlineStr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s="2" t="inlineStr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2" t="inlineStr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>
      <c r="A13" s="2" t="inlineStr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>
      <c r="A14" s="2" t="inlineStr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>
      <c r="A15" s="2" t="inlineStr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s="2" t="inlineStr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2" t="inlineStr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inlineStr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2" t="inlineStr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inlineStr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s="2" t="inlineStr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2" t="inlineStr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s="2" t="inlineStr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s="2" t="inlineStr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>
      <c r="A25" s="2" t="inlineStr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s="2" t="inlineStr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s="2" t="inlineStr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s="2" t="inlineStr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2" t="inlineStr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2" t="inlineStr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>
      <c r="A31" s="2" t="inlineStr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>
      <c r="A32" s="2" t="inlineStr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s="2" t="inlineStr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s="2" t="inlineStr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s="2" t="inlineStr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s="2" t="inlineStr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inlineStr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inlineStr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inlineStr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inlineStr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inlineStr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inlineStr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inlineStr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inlineStr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inlineStr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inlineStr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inlineStr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inlineStr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inlineStr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inlineStr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inlineStr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inlineStr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inlineStr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inlineStr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inlineStr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inlineStr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inlineStr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inlineStr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inlineStr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inlineStr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inlineStr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inlineStr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inlineStr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inlineStr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inlineStr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inlineStr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inlineStr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inlineStr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inlineStr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inlineStr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inlineStr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inlineStr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inlineStr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inlineStr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inlineStr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inlineStr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inlineStr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inlineStr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inlineStr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>
      <c r="A80" s="2" t="inlineStr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>
      <c r="A81" s="2" t="inlineStr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>
      <c r="A82" s="2" t="inlineStr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>
      <c r="A83" s="2" t="inlineStr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>
      <c r="A84" s="2" t="inlineStr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>
      <c r="A85" s="2" t="inlineStr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>
      <c r="A86" s="2" t="inlineStr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>
      <c r="A87" s="2" t="inlineStr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>
      <c r="A88" s="2" t="inlineStr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>
      <c r="A89" s="2" t="inlineStr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>
      <c r="A90" s="2" t="inlineStr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>
      <c r="A91" s="2" t="inlineStr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>
      <c r="A92" s="2" t="inlineStr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>
      <c r="A93" s="2" t="inlineStr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>
      <c r="A94" s="2" t="inlineStr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>
      <c r="A95" s="2" t="inlineStr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>
      <c r="A96" s="2" t="inlineStr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>
      <c r="A97" s="2" t="inlineStr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>
      <c r="A98" s="2" t="inlineStr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>
      <c r="A99" s="2" t="inlineStr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>
      <c r="A100" s="2" t="inlineStr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</sheetData>
  <conditionalFormatting sqref="F2:F8">
    <cfRule type="expression" priority="1" dxfId="4">
      <formula>F2=TRUE</formula>
    </cfRule>
    <cfRule type="expression" priority="2" dxfId="7">
      <formula>F2=FALSE</formula>
    </cfRule>
  </conditionalFormatting>
  <conditionalFormatting sqref="K1">
    <cfRule type="expression" priority="3" dxfId="4">
      <formula>K1="PASS"</formula>
    </cfRule>
    <cfRule type="expression" priority="4" dxfId="7">
      <formula>K1="FAIL"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2026-06-11T13:10:27Z</dcterms:created>
  <dcterms:modified xmlns:dcterms="http://purl.org/dc/terms/" xmlns:xsi="http://www.w3.org/2001/XMLSchema-instance" xsi:type="dcterms:W3CDTF">2026-06-11T13:10:27Z</dcterms:modified>
</cp:coreProperties>
</file>